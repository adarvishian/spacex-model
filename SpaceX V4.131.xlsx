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ladsaigau/Documents/Claude/Projects/final spacex model/SpaceX Monte Carlo/"/>
    </mc:Choice>
  </mc:AlternateContent>
  <xr:revisionPtr revIDLastSave="0" documentId="8_{2A6CF052-7FFB-9D42-A914-BB3ABB2C649E}" xr6:coauthVersionLast="47" xr6:coauthVersionMax="47" xr10:uidLastSave="{00000000-0000-0000-0000-000000000000}"/>
  <bookViews>
    <workbookView xWindow="0" yWindow="660" windowWidth="16380" windowHeight="8200" xr2:uid="{00000000-000D-0000-FFFF-FFFF00000000}"/>
  </bookViews>
  <sheets>
    <sheet name="Assumptions" sheetId="1" r:id="rId1"/>
    <sheet name="Demand Curves" sheetId="2" r:id="rId2"/>
    <sheet name="Starlink" sheetId="3" r:id="rId3"/>
    <sheet name="Customer Launch" sheetId="4" r:id="rId4"/>
    <sheet name="Cash Allocation Engine" sheetId="5" r:id="rId5"/>
    <sheet name="AI - Compute" sheetId="6" r:id="rId6"/>
    <sheet name="Lunar - Mars" sheetId="7" r:id="rId7"/>
    <sheet name="Vehicle Build" sheetId="8" r:id="rId8"/>
    <sheet name="Facilities Build" sheetId="9" r:id="rId9"/>
    <sheet name="Group P&amp;L" sheetId="10" r:id="rId10"/>
    <sheet name="Segment P&amp;L" sheetId="11" r:id="rId11"/>
    <sheet name="Conservation" sheetId="12" r:id="rId12"/>
    <sheet name="SoTP - Valuation" sheetId="13" r:id="rId13"/>
    <sheet name="Launch Dashboard" sheetId="14" r:id="rId14"/>
  </sheets>
  <definedNames>
    <definedName name="_xlnm._FilterDatabase" localSheetId="0" hidden="1">Assumptions!$A$1:$A$389</definedName>
  </definedNames>
  <calcPr calcId="191029" iterate="1" iterateCount="1000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7" i="14" l="1"/>
  <c r="Y26" i="14"/>
  <c r="X26" i="14"/>
  <c r="AC23" i="14"/>
  <c r="AC27" i="14" s="1"/>
  <c r="W23" i="14"/>
  <c r="W27" i="14" s="1"/>
  <c r="T23" i="14"/>
  <c r="T27" i="14" s="1"/>
  <c r="AC22" i="14"/>
  <c r="AB22" i="14"/>
  <c r="AB23" i="14" s="1"/>
  <c r="AA22" i="14"/>
  <c r="Z22" i="14"/>
  <c r="Y22" i="14"/>
  <c r="X22" i="14"/>
  <c r="W22" i="14"/>
  <c r="V22" i="14"/>
  <c r="U22" i="14"/>
  <c r="T22" i="14"/>
  <c r="AC21" i="14"/>
  <c r="AB21" i="14"/>
  <c r="AA21" i="14"/>
  <c r="AA23" i="14" s="1"/>
  <c r="AA27" i="14" s="1"/>
  <c r="Z21" i="14"/>
  <c r="Z23" i="14" s="1"/>
  <c r="Z27" i="14" s="1"/>
  <c r="Y21" i="14"/>
  <c r="Y23" i="14" s="1"/>
  <c r="Y27" i="14" s="1"/>
  <c r="X21" i="14"/>
  <c r="X23" i="14" s="1"/>
  <c r="X27" i="14" s="1"/>
  <c r="W21" i="14"/>
  <c r="V21" i="14"/>
  <c r="V23" i="14" s="1"/>
  <c r="V27" i="14" s="1"/>
  <c r="V28" i="14" s="1"/>
  <c r="U21" i="14"/>
  <c r="U23" i="14" s="1"/>
  <c r="U27" i="14" s="1"/>
  <c r="T21" i="14"/>
  <c r="AC16" i="14"/>
  <c r="X16" i="14"/>
  <c r="W16" i="14"/>
  <c r="V16" i="14"/>
  <c r="AC15" i="14"/>
  <c r="AA15" i="14"/>
  <c r="Z12" i="14"/>
  <c r="Z26" i="14" s="1"/>
  <c r="Z28" i="14" s="1"/>
  <c r="Y12" i="14"/>
  <c r="X12" i="14"/>
  <c r="W12" i="14"/>
  <c r="W26" i="14" s="1"/>
  <c r="W28" i="14" s="1"/>
  <c r="V12" i="14"/>
  <c r="V26" i="14" s="1"/>
  <c r="U12" i="14"/>
  <c r="U26" i="14" s="1"/>
  <c r="U28" i="14" s="1"/>
  <c r="AC10" i="14"/>
  <c r="AC17" i="14" s="1"/>
  <c r="AB10" i="14"/>
  <c r="AA10" i="14"/>
  <c r="AA17" i="14" s="1"/>
  <c r="Z10" i="14"/>
  <c r="Y10" i="14"/>
  <c r="Y17" i="14" s="1"/>
  <c r="X10" i="14"/>
  <c r="W10" i="14"/>
  <c r="V10" i="14"/>
  <c r="U10" i="14"/>
  <c r="T10" i="14"/>
  <c r="AC9" i="14"/>
  <c r="AB9" i="14"/>
  <c r="AA9" i="14"/>
  <c r="AA16" i="14" s="1"/>
  <c r="Z9" i="14"/>
  <c r="Y9" i="14"/>
  <c r="X9" i="14"/>
  <c r="W9" i="14"/>
  <c r="V9" i="14"/>
  <c r="U9" i="14"/>
  <c r="T9" i="14"/>
  <c r="AC8" i="14"/>
  <c r="AC12" i="14" s="1"/>
  <c r="AC26" i="14" s="1"/>
  <c r="AB8" i="14"/>
  <c r="AA8" i="14"/>
  <c r="AA12" i="14" s="1"/>
  <c r="AA26" i="14" s="1"/>
  <c r="Z8" i="14"/>
  <c r="Y8" i="14"/>
  <c r="X8" i="14"/>
  <c r="W8" i="14"/>
  <c r="W15" i="14" s="1"/>
  <c r="V8" i="14"/>
  <c r="U8" i="14"/>
  <c r="T8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F99" i="13"/>
  <c r="E99" i="13"/>
  <c r="D99" i="13"/>
  <c r="C99" i="13"/>
  <c r="F89" i="13"/>
  <c r="E89" i="13"/>
  <c r="D89" i="13"/>
  <c r="C89" i="13"/>
  <c r="B80" i="13"/>
  <c r="B79" i="13"/>
  <c r="F30" i="13"/>
  <c r="D30" i="13"/>
  <c r="F29" i="13"/>
  <c r="D29" i="13"/>
  <c r="F28" i="13"/>
  <c r="D28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S23" i="13"/>
  <c r="N23" i="13"/>
  <c r="M23" i="13"/>
  <c r="L23" i="13"/>
  <c r="K23" i="13"/>
  <c r="J23" i="13"/>
  <c r="I23" i="13"/>
  <c r="H23" i="13"/>
  <c r="G23" i="13"/>
  <c r="F23" i="13"/>
  <c r="E23" i="13"/>
  <c r="D23" i="13"/>
  <c r="S22" i="13"/>
  <c r="R22" i="13"/>
  <c r="Q22" i="13"/>
  <c r="P22" i="13"/>
  <c r="O22" i="13"/>
  <c r="J22" i="13"/>
  <c r="I22" i="13"/>
  <c r="H22" i="13"/>
  <c r="G22" i="13"/>
  <c r="F22" i="13"/>
  <c r="E22" i="13"/>
  <c r="D22" i="13"/>
  <c r="P21" i="13"/>
  <c r="O21" i="13"/>
  <c r="N21" i="13"/>
  <c r="M21" i="13"/>
  <c r="L21" i="13"/>
  <c r="K21" i="13"/>
  <c r="I21" i="13"/>
  <c r="G21" i="13"/>
  <c r="F21" i="13"/>
  <c r="E21" i="13"/>
  <c r="D21" i="13"/>
  <c r="B11" i="13"/>
  <c r="B10" i="13"/>
  <c r="B9" i="13"/>
  <c r="B8" i="13"/>
  <c r="Q23" i="13" s="1"/>
  <c r="D18" i="12"/>
  <c r="D14" i="12"/>
  <c r="D12" i="12"/>
  <c r="D132" i="10"/>
  <c r="D131" i="10"/>
  <c r="D127" i="10"/>
  <c r="C127" i="10"/>
  <c r="B127" i="10"/>
  <c r="E127" i="10" s="1"/>
  <c r="D126" i="10"/>
  <c r="C126" i="10"/>
  <c r="B126" i="10"/>
  <c r="D125" i="10"/>
  <c r="C125" i="10"/>
  <c r="B125" i="10"/>
  <c r="E125" i="10" s="1"/>
  <c r="C122" i="10"/>
  <c r="C123" i="10" s="1"/>
  <c r="E121" i="10"/>
  <c r="D121" i="10"/>
  <c r="C121" i="10"/>
  <c r="B121" i="10"/>
  <c r="D120" i="10"/>
  <c r="C120" i="10"/>
  <c r="B120" i="10"/>
  <c r="E120" i="10" s="1"/>
  <c r="D119" i="10"/>
  <c r="C119" i="10"/>
  <c r="B119" i="10"/>
  <c r="E119" i="10" s="1"/>
  <c r="D118" i="10"/>
  <c r="C118" i="10"/>
  <c r="B118" i="10"/>
  <c r="E118" i="10" s="1"/>
  <c r="D117" i="10"/>
  <c r="C117" i="10"/>
  <c r="B117" i="10"/>
  <c r="D116" i="10"/>
  <c r="C116" i="10"/>
  <c r="B116" i="10"/>
  <c r="S101" i="10"/>
  <c r="I101" i="10"/>
  <c r="I15" i="12" s="1"/>
  <c r="D101" i="10"/>
  <c r="D15" i="12" s="1"/>
  <c r="S100" i="10"/>
  <c r="R100" i="10"/>
  <c r="R101" i="10" s="1"/>
  <c r="R15" i="12" s="1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S99" i="10"/>
  <c r="R99" i="10"/>
  <c r="Q99" i="10"/>
  <c r="P99" i="10"/>
  <c r="O99" i="10"/>
  <c r="O101" i="10" s="1"/>
  <c r="O15" i="12" s="1"/>
  <c r="N99" i="10"/>
  <c r="M99" i="10"/>
  <c r="M101" i="10" s="1"/>
  <c r="M15" i="12" s="1"/>
  <c r="L99" i="10"/>
  <c r="K99" i="10"/>
  <c r="K101" i="10" s="1"/>
  <c r="K15" i="12" s="1"/>
  <c r="J99" i="10"/>
  <c r="I99" i="10"/>
  <c r="H99" i="10"/>
  <c r="H101" i="10" s="1"/>
  <c r="H15" i="12" s="1"/>
  <c r="G99" i="10"/>
  <c r="F99" i="10"/>
  <c r="F101" i="10" s="1"/>
  <c r="E99" i="10"/>
  <c r="D99" i="10"/>
  <c r="S98" i="10"/>
  <c r="R98" i="10"/>
  <c r="Q98" i="10"/>
  <c r="Q101" i="10" s="1"/>
  <c r="Q15" i="12" s="1"/>
  <c r="P98" i="10"/>
  <c r="O98" i="10"/>
  <c r="N98" i="10"/>
  <c r="N101" i="10" s="1"/>
  <c r="N15" i="12" s="1"/>
  <c r="M98" i="10"/>
  <c r="L98" i="10"/>
  <c r="L101" i="10" s="1"/>
  <c r="L15" i="12" s="1"/>
  <c r="K98" i="10"/>
  <c r="J98" i="10"/>
  <c r="I98" i="10"/>
  <c r="H98" i="10"/>
  <c r="G98" i="10"/>
  <c r="G101" i="10" s="1"/>
  <c r="G15" i="12" s="1"/>
  <c r="F98" i="10"/>
  <c r="E98" i="10"/>
  <c r="D98" i="10"/>
  <c r="D95" i="10"/>
  <c r="AC94" i="10" a="1"/>
  <c r="AC94" i="10" s="1"/>
  <c r="AB94" i="10" a="1"/>
  <c r="AB94" i="10"/>
  <c r="AA94" i="10" a="1"/>
  <c r="AA94" i="10"/>
  <c r="Z94" i="10" a="1"/>
  <c r="Z94" i="10"/>
  <c r="Y94" i="10" a="1"/>
  <c r="Y94" i="10" s="1"/>
  <c r="X94" i="10" a="1"/>
  <c r="X94" i="10" s="1"/>
  <c r="W94" i="10" a="1"/>
  <c r="W94" i="10" s="1"/>
  <c r="V94" i="10" a="1"/>
  <c r="V94" i="10"/>
  <c r="U94" i="10" a="1"/>
  <c r="U94" i="10"/>
  <c r="T94" i="10" a="1"/>
  <c r="T94" i="10"/>
  <c r="D94" i="10" a="1"/>
  <c r="D94" i="10" s="1"/>
  <c r="D76" i="10"/>
  <c r="D84" i="11" s="1"/>
  <c r="S48" i="10"/>
  <c r="S56" i="11" s="1"/>
  <c r="R48" i="10"/>
  <c r="R56" i="11" s="1"/>
  <c r="Q48" i="10"/>
  <c r="Q56" i="11" s="1"/>
  <c r="P48" i="10"/>
  <c r="P56" i="11" s="1"/>
  <c r="O48" i="10"/>
  <c r="O56" i="11" s="1"/>
  <c r="N48" i="10"/>
  <c r="N56" i="11" s="1"/>
  <c r="M48" i="10"/>
  <c r="M56" i="11" s="1"/>
  <c r="L48" i="10"/>
  <c r="L56" i="11" s="1"/>
  <c r="K48" i="10"/>
  <c r="K56" i="11" s="1"/>
  <c r="J48" i="10"/>
  <c r="J56" i="11" s="1"/>
  <c r="I48" i="10"/>
  <c r="I56" i="11" s="1"/>
  <c r="H48" i="10"/>
  <c r="H56" i="11" s="1"/>
  <c r="G48" i="10"/>
  <c r="G56" i="11" s="1"/>
  <c r="F48" i="10"/>
  <c r="F56" i="11" s="1"/>
  <c r="E48" i="10"/>
  <c r="E56" i="11" s="1"/>
  <c r="D48" i="10"/>
  <c r="D56" i="11" s="1"/>
  <c r="R21" i="10"/>
  <c r="R30" i="11" s="1"/>
  <c r="Q21" i="10"/>
  <c r="Q30" i="11" s="1"/>
  <c r="O21" i="10"/>
  <c r="O30" i="11" s="1"/>
  <c r="N21" i="10"/>
  <c r="N30" i="11" s="1"/>
  <c r="M21" i="10"/>
  <c r="M30" i="11" s="1"/>
  <c r="L21" i="10"/>
  <c r="L30" i="11" s="1"/>
  <c r="K21" i="10"/>
  <c r="K30" i="11" s="1"/>
  <c r="I21" i="10"/>
  <c r="I30" i="11" s="1"/>
  <c r="H21" i="10"/>
  <c r="H30" i="11" s="1"/>
  <c r="G21" i="10"/>
  <c r="G30" i="11" s="1"/>
  <c r="D21" i="10"/>
  <c r="D30" i="11" s="1"/>
  <c r="S20" i="10"/>
  <c r="S29" i="11" s="1"/>
  <c r="R20" i="10"/>
  <c r="R29" i="11" s="1"/>
  <c r="Q20" i="10"/>
  <c r="Q29" i="11" s="1"/>
  <c r="P20" i="10"/>
  <c r="P29" i="11" s="1"/>
  <c r="O20" i="10"/>
  <c r="O29" i="11" s="1"/>
  <c r="N20" i="10"/>
  <c r="N29" i="11" s="1"/>
  <c r="M20" i="10"/>
  <c r="M29" i="11" s="1"/>
  <c r="L20" i="10"/>
  <c r="L29" i="11" s="1"/>
  <c r="K20" i="10"/>
  <c r="K29" i="11" s="1"/>
  <c r="J20" i="10"/>
  <c r="J29" i="11" s="1"/>
  <c r="I20" i="10"/>
  <c r="I29" i="11" s="1"/>
  <c r="H20" i="10"/>
  <c r="H29" i="11" s="1"/>
  <c r="G20" i="10"/>
  <c r="G29" i="11" s="1"/>
  <c r="F20" i="10"/>
  <c r="F29" i="11" s="1"/>
  <c r="E20" i="10"/>
  <c r="E29" i="11" s="1"/>
  <c r="D20" i="10"/>
  <c r="D29" i="11" s="1"/>
  <c r="S13" i="10"/>
  <c r="S22" i="11" s="1"/>
  <c r="R13" i="10"/>
  <c r="R22" i="11" s="1"/>
  <c r="Q13" i="10"/>
  <c r="Q22" i="11" s="1"/>
  <c r="O13" i="10"/>
  <c r="O22" i="11" s="1"/>
  <c r="N13" i="10"/>
  <c r="N22" i="11" s="1"/>
  <c r="M13" i="10"/>
  <c r="M22" i="11" s="1"/>
  <c r="L13" i="10"/>
  <c r="L22" i="11" s="1"/>
  <c r="K13" i="10"/>
  <c r="K22" i="11" s="1"/>
  <c r="I13" i="10"/>
  <c r="I22" i="11" s="1"/>
  <c r="H13" i="10"/>
  <c r="H22" i="11" s="1"/>
  <c r="G13" i="10"/>
  <c r="G22" i="11" s="1"/>
  <c r="F52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P52" i="9" s="1"/>
  <c r="R21" i="9"/>
  <c r="H21" i="9"/>
  <c r="D21" i="9"/>
  <c r="S20" i="9"/>
  <c r="S21" i="9" s="1"/>
  <c r="R20" i="9"/>
  <c r="Q20" i="9"/>
  <c r="Q21" i="9" s="1"/>
  <c r="N20" i="9"/>
  <c r="N21" i="9" s="1"/>
  <c r="H20" i="9"/>
  <c r="G20" i="9"/>
  <c r="G21" i="9" s="1"/>
  <c r="S19" i="9"/>
  <c r="R19" i="9"/>
  <c r="Q19" i="9"/>
  <c r="P19" i="9"/>
  <c r="O19" i="9"/>
  <c r="N19" i="9"/>
  <c r="M19" i="9"/>
  <c r="L19" i="9"/>
  <c r="K19" i="9"/>
  <c r="K20" i="9" s="1"/>
  <c r="K21" i="9" s="1"/>
  <c r="J19" i="9"/>
  <c r="I19" i="9"/>
  <c r="H19" i="9"/>
  <c r="G19" i="9"/>
  <c r="F19" i="9"/>
  <c r="E19" i="9"/>
  <c r="D19" i="9"/>
  <c r="D12" i="9"/>
  <c r="D13" i="9" s="1"/>
  <c r="S107" i="8" a="1"/>
  <c r="S107" i="8" s="1"/>
  <c r="R107" i="8" a="1"/>
  <c r="R107" i="8"/>
  <c r="Q107" i="8" a="1"/>
  <c r="Q107" i="8" s="1"/>
  <c r="P107" i="8" a="1"/>
  <c r="P107" i="8" s="1"/>
  <c r="N107" i="8" a="1"/>
  <c r="N107" i="8" s="1"/>
  <c r="M107" i="8" a="1"/>
  <c r="M107" i="8"/>
  <c r="L107" i="8" a="1"/>
  <c r="L107" i="8" s="1"/>
  <c r="J107" i="8" a="1"/>
  <c r="J107" i="8" s="1"/>
  <c r="I107" i="8" a="1"/>
  <c r="I107" i="8" s="1"/>
  <c r="H107" i="8" a="1"/>
  <c r="H107" i="8"/>
  <c r="G107" i="8" a="1"/>
  <c r="G107" i="8" s="1"/>
  <c r="F107" i="8" a="1"/>
  <c r="F107" i="8" s="1"/>
  <c r="D107" i="8" a="1"/>
  <c r="D107" i="8" s="1"/>
  <c r="D106" i="8"/>
  <c r="D100" i="8"/>
  <c r="D99" i="8"/>
  <c r="D98" i="8"/>
  <c r="D97" i="8"/>
  <c r="D62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R46" i="8"/>
  <c r="L46" i="8"/>
  <c r="J46" i="8"/>
  <c r="O45" i="8"/>
  <c r="O46" i="8" s="1"/>
  <c r="M45" i="8"/>
  <c r="M46" i="8" s="1"/>
  <c r="L45" i="8"/>
  <c r="K45" i="8"/>
  <c r="K46" i="8" s="1"/>
  <c r="J45" i="8"/>
  <c r="E45" i="8"/>
  <c r="E46" i="8" s="1"/>
  <c r="S44" i="8"/>
  <c r="R44" i="8"/>
  <c r="R45" i="8" s="1"/>
  <c r="Q44" i="8"/>
  <c r="P44" i="8"/>
  <c r="O44" i="8"/>
  <c r="N44" i="8"/>
  <c r="N45" i="8" s="1"/>
  <c r="N46" i="8" s="1"/>
  <c r="M44" i="8"/>
  <c r="L44" i="8"/>
  <c r="K44" i="8"/>
  <c r="J44" i="8"/>
  <c r="I44" i="8"/>
  <c r="H44" i="8"/>
  <c r="H45" i="8" s="1"/>
  <c r="H46" i="8" s="1"/>
  <c r="G44" i="8"/>
  <c r="F44" i="8"/>
  <c r="E44" i="8"/>
  <c r="D44" i="8"/>
  <c r="S19" i="8" a="1"/>
  <c r="S19" i="8"/>
  <c r="R19" i="8" a="1"/>
  <c r="R19" i="8" s="1"/>
  <c r="Q19" i="8" a="1"/>
  <c r="Q19" i="8"/>
  <c r="P19" i="8" a="1"/>
  <c r="P19" i="8" s="1"/>
  <c r="O19" i="8" a="1"/>
  <c r="O19" i="8"/>
  <c r="N19" i="8" a="1"/>
  <c r="N19" i="8" s="1"/>
  <c r="M19" i="8" a="1"/>
  <c r="M19" i="8"/>
  <c r="L19" i="8" a="1"/>
  <c r="L19" i="8"/>
  <c r="K19" i="8" a="1"/>
  <c r="K19" i="8" s="1"/>
  <c r="J19" i="8" a="1"/>
  <c r="J19" i="8"/>
  <c r="S15" i="8" a="1"/>
  <c r="S15" i="8"/>
  <c r="R15" i="8" a="1"/>
  <c r="R15" i="8"/>
  <c r="Q15" i="8" a="1"/>
  <c r="Q15" i="8"/>
  <c r="P15" i="8" a="1"/>
  <c r="P15" i="8" s="1"/>
  <c r="O15" i="8" a="1"/>
  <c r="O15" i="8" s="1"/>
  <c r="N15" i="8" a="1"/>
  <c r="N15" i="8" s="1"/>
  <c r="M15" i="8" a="1"/>
  <c r="M15" i="8"/>
  <c r="L15" i="8" a="1"/>
  <c r="L15" i="8"/>
  <c r="K15" i="8" a="1"/>
  <c r="K15" i="8" s="1"/>
  <c r="J15" i="8" a="1"/>
  <c r="J15" i="8" s="1"/>
  <c r="I15" i="8" a="1"/>
  <c r="I15" i="8" s="1"/>
  <c r="H15" i="8" a="1"/>
  <c r="H15" i="8"/>
  <c r="G15" i="8" a="1"/>
  <c r="G15" i="8"/>
  <c r="F15" i="8" a="1"/>
  <c r="F15" i="8" s="1"/>
  <c r="E15" i="8" a="1"/>
  <c r="E15" i="8" s="1"/>
  <c r="D15" i="8" a="1"/>
  <c r="D15" i="8" s="1"/>
  <c r="D11" i="8"/>
  <c r="R10" i="8"/>
  <c r="O10" i="8"/>
  <c r="M10" i="8"/>
  <c r="L10" i="8"/>
  <c r="K10" i="8"/>
  <c r="J10" i="8"/>
  <c r="H10" i="8"/>
  <c r="E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C120" i="7"/>
  <c r="AB120" i="7"/>
  <c r="AA120" i="7"/>
  <c r="AA11" i="14" s="1"/>
  <c r="AA18" i="14" s="1"/>
  <c r="Z120" i="7"/>
  <c r="Z11" i="14" s="1"/>
  <c r="Z18" i="14" s="1"/>
  <c r="Y120" i="7"/>
  <c r="Y11" i="14" s="1"/>
  <c r="Y18" i="14" s="1"/>
  <c r="X120" i="7"/>
  <c r="X11" i="14" s="1"/>
  <c r="X18" i="14" s="1"/>
  <c r="W120" i="7"/>
  <c r="W11" i="14" s="1"/>
  <c r="W18" i="14" s="1"/>
  <c r="V120" i="7"/>
  <c r="U120" i="7"/>
  <c r="T120" i="7"/>
  <c r="AC116" i="7"/>
  <c r="AB116" i="7"/>
  <c r="AA116" i="7"/>
  <c r="Z116" i="7"/>
  <c r="Y116" i="7"/>
  <c r="X116" i="7"/>
  <c r="W116" i="7"/>
  <c r="V116" i="7"/>
  <c r="U116" i="7"/>
  <c r="T116" i="7"/>
  <c r="S116" i="7"/>
  <c r="S105" i="10" s="1"/>
  <c r="R116" i="7"/>
  <c r="R105" i="10" s="1"/>
  <c r="Q116" i="7"/>
  <c r="Q105" i="10" s="1"/>
  <c r="P116" i="7"/>
  <c r="P105" i="10" s="1"/>
  <c r="O116" i="7"/>
  <c r="O105" i="10" s="1"/>
  <c r="N116" i="7"/>
  <c r="N105" i="10" s="1"/>
  <c r="M116" i="7"/>
  <c r="M105" i="10" s="1"/>
  <c r="L116" i="7"/>
  <c r="L105" i="10" s="1"/>
  <c r="K116" i="7"/>
  <c r="K105" i="10" s="1"/>
  <c r="J116" i="7"/>
  <c r="J105" i="10" s="1"/>
  <c r="I116" i="7"/>
  <c r="I105" i="10" s="1"/>
  <c r="H116" i="7"/>
  <c r="H105" i="10" s="1"/>
  <c r="G116" i="7"/>
  <c r="G105" i="10" s="1"/>
  <c r="F116" i="7"/>
  <c r="F105" i="10" s="1"/>
  <c r="E116" i="7"/>
  <c r="E105" i="10" s="1"/>
  <c r="D116" i="7"/>
  <c r="D105" i="10" s="1"/>
  <c r="AC115" i="7"/>
  <c r="AB115" i="7"/>
  <c r="AA115" i="7"/>
  <c r="Z115" i="7"/>
  <c r="Y115" i="7"/>
  <c r="X115" i="7"/>
  <c r="W115" i="7"/>
  <c r="V115" i="7"/>
  <c r="U115" i="7"/>
  <c r="T115" i="7"/>
  <c r="AA114" i="7"/>
  <c r="Z114" i="7"/>
  <c r="Y114" i="7"/>
  <c r="X114" i="7"/>
  <c r="W114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R106" i="7"/>
  <c r="Q106" i="7"/>
  <c r="N106" i="7"/>
  <c r="L106" i="7"/>
  <c r="K106" i="7"/>
  <c r="H106" i="7"/>
  <c r="G106" i="7"/>
  <c r="E106" i="7"/>
  <c r="S83" i="7"/>
  <c r="R83" i="7"/>
  <c r="S81" i="7"/>
  <c r="S106" i="7" s="1"/>
  <c r="R81" i="7"/>
  <c r="Q81" i="7"/>
  <c r="P81" i="7"/>
  <c r="O81" i="7"/>
  <c r="N81" i="7"/>
  <c r="M81" i="7"/>
  <c r="L81" i="7"/>
  <c r="K81" i="7"/>
  <c r="J81" i="7"/>
  <c r="J106" i="7" s="1"/>
  <c r="I81" i="7"/>
  <c r="I106" i="7" s="1"/>
  <c r="H81" i="7"/>
  <c r="G81" i="7"/>
  <c r="F81" i="7"/>
  <c r="E81" i="7"/>
  <c r="D81" i="7"/>
  <c r="D106" i="7" s="1"/>
  <c r="G65" i="7" a="1"/>
  <c r="G65" i="7" s="1"/>
  <c r="F65" i="7" a="1"/>
  <c r="F65" i="7"/>
  <c r="E65" i="7" a="1"/>
  <c r="E65" i="7" s="1"/>
  <c r="H64" i="7" a="1"/>
  <c r="H64" i="7" s="1"/>
  <c r="F64" i="7" a="1"/>
  <c r="F64" i="7" s="1"/>
  <c r="E64" i="7" a="1"/>
  <c r="E64" i="7" s="1"/>
  <c r="S61" i="7"/>
  <c r="R61" i="7"/>
  <c r="Q61" i="7"/>
  <c r="P61" i="7"/>
  <c r="O61" i="7"/>
  <c r="L61" i="7"/>
  <c r="K61" i="7"/>
  <c r="J61" i="7"/>
  <c r="I61" i="7"/>
  <c r="H61" i="7"/>
  <c r="G61" i="7"/>
  <c r="F61" i="7"/>
  <c r="E61" i="7"/>
  <c r="G54" i="7"/>
  <c r="F54" i="7"/>
  <c r="E54" i="7"/>
  <c r="D52" i="7"/>
  <c r="D44" i="7" a="1"/>
  <c r="D44" i="7" s="1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268" i="6"/>
  <c r="D82" i="10" s="1"/>
  <c r="D90" i="11" s="1"/>
  <c r="D267" i="6"/>
  <c r="D266" i="6"/>
  <c r="D62" i="10" s="1"/>
  <c r="D70" i="11" s="1"/>
  <c r="D264" i="6"/>
  <c r="D130" i="10" s="1"/>
  <c r="D263" i="6"/>
  <c r="D34" i="10" s="1"/>
  <c r="D43" i="11" s="1"/>
  <c r="D262" i="6"/>
  <c r="D41" i="10" s="1"/>
  <c r="D50" i="11" s="1"/>
  <c r="D261" i="6"/>
  <c r="D19" i="10" s="1"/>
  <c r="D28" i="11" s="1"/>
  <c r="D260" i="6"/>
  <c r="D11" i="10" s="1"/>
  <c r="P253" i="6"/>
  <c r="J253" i="6"/>
  <c r="J116" i="6" s="1"/>
  <c r="J122" i="6" s="1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F251" i="6"/>
  <c r="E251" i="6"/>
  <c r="D251" i="6"/>
  <c r="L250" i="6"/>
  <c r="L252" i="6" s="1"/>
  <c r="F250" i="6"/>
  <c r="F252" i="6" s="1"/>
  <c r="E250" i="6"/>
  <c r="E252" i="6" s="1"/>
  <c r="N249" i="6"/>
  <c r="L249" i="6"/>
  <c r="J249" i="6"/>
  <c r="O248" i="6"/>
  <c r="N248" i="6"/>
  <c r="M248" i="6"/>
  <c r="J248" i="6"/>
  <c r="S247" i="6"/>
  <c r="R247" i="6"/>
  <c r="Q247" i="6"/>
  <c r="Q249" i="6" s="1"/>
  <c r="P247" i="6"/>
  <c r="O247" i="6"/>
  <c r="N247" i="6"/>
  <c r="M247" i="6"/>
  <c r="L247" i="6"/>
  <c r="K247" i="6"/>
  <c r="J247" i="6"/>
  <c r="I247" i="6"/>
  <c r="H247" i="6"/>
  <c r="G247" i="6"/>
  <c r="G249" i="6" s="1"/>
  <c r="F247" i="6"/>
  <c r="E247" i="6"/>
  <c r="D247" i="6"/>
  <c r="S246" i="6"/>
  <c r="R246" i="6"/>
  <c r="Q246" i="6"/>
  <c r="Q248" i="6" s="1"/>
  <c r="P246" i="6"/>
  <c r="O246" i="6"/>
  <c r="N246" i="6"/>
  <c r="M246" i="6"/>
  <c r="L246" i="6"/>
  <c r="K246" i="6"/>
  <c r="J246" i="6"/>
  <c r="I246" i="6"/>
  <c r="H246" i="6"/>
  <c r="G246" i="6"/>
  <c r="G248" i="6" s="1"/>
  <c r="F246" i="6"/>
  <c r="E246" i="6"/>
  <c r="E248" i="6" s="1"/>
  <c r="D246" i="6"/>
  <c r="S245" i="6"/>
  <c r="R245" i="6"/>
  <c r="Q245" i="6"/>
  <c r="P245" i="6"/>
  <c r="P249" i="6" s="1"/>
  <c r="O245" i="6"/>
  <c r="O249" i="6" s="1"/>
  <c r="N245" i="6"/>
  <c r="M245" i="6"/>
  <c r="M249" i="6" s="1"/>
  <c r="L245" i="6"/>
  <c r="K245" i="6"/>
  <c r="K248" i="6" s="1"/>
  <c r="J245" i="6"/>
  <c r="I245" i="6"/>
  <c r="I248" i="6" s="1"/>
  <c r="H245" i="6"/>
  <c r="G245" i="6"/>
  <c r="F245" i="6"/>
  <c r="E245" i="6"/>
  <c r="E249" i="6" s="1"/>
  <c r="D245" i="6"/>
  <c r="D249" i="6" s="1"/>
  <c r="Q244" i="6"/>
  <c r="J244" i="6"/>
  <c r="H244" i="6"/>
  <c r="S243" i="6"/>
  <c r="F243" i="6"/>
  <c r="E243" i="6"/>
  <c r="S242" i="6"/>
  <c r="R242" i="6"/>
  <c r="Q242" i="6"/>
  <c r="P242" i="6"/>
  <c r="O242" i="6"/>
  <c r="N242" i="6"/>
  <c r="M242" i="6"/>
  <c r="L242" i="6"/>
  <c r="K242" i="6"/>
  <c r="K244" i="6" s="1"/>
  <c r="J242" i="6"/>
  <c r="I242" i="6"/>
  <c r="H242" i="6"/>
  <c r="G242" i="6"/>
  <c r="F242" i="6"/>
  <c r="E242" i="6"/>
  <c r="D242" i="6"/>
  <c r="S241" i="6"/>
  <c r="R241" i="6"/>
  <c r="R243" i="6" s="1"/>
  <c r="Q241" i="6"/>
  <c r="Q243" i="6" s="1"/>
  <c r="P241" i="6"/>
  <c r="P243" i="6" s="1"/>
  <c r="O241" i="6"/>
  <c r="N241" i="6"/>
  <c r="M241" i="6"/>
  <c r="L241" i="6"/>
  <c r="K241" i="6"/>
  <c r="K243" i="6" s="1"/>
  <c r="J241" i="6"/>
  <c r="J243" i="6" s="1"/>
  <c r="I241" i="6"/>
  <c r="I243" i="6" s="1"/>
  <c r="H241" i="6"/>
  <c r="H243" i="6" s="1"/>
  <c r="G241" i="6"/>
  <c r="G243" i="6" s="1"/>
  <c r="F241" i="6"/>
  <c r="E241" i="6"/>
  <c r="D241" i="6"/>
  <c r="S240" i="6"/>
  <c r="S244" i="6" s="1"/>
  <c r="R240" i="6"/>
  <c r="R244" i="6" s="1"/>
  <c r="Q240" i="6"/>
  <c r="P240" i="6"/>
  <c r="P244" i="6" s="1"/>
  <c r="O240" i="6"/>
  <c r="O253" i="6" s="1"/>
  <c r="N240" i="6"/>
  <c r="M240" i="6"/>
  <c r="L240" i="6"/>
  <c r="K240" i="6"/>
  <c r="J240" i="6"/>
  <c r="I240" i="6"/>
  <c r="I244" i="6" s="1"/>
  <c r="H240" i="6"/>
  <c r="G240" i="6"/>
  <c r="G244" i="6" s="1"/>
  <c r="F240" i="6"/>
  <c r="F244" i="6" s="1"/>
  <c r="E240" i="6"/>
  <c r="D240" i="6"/>
  <c r="R239" i="6"/>
  <c r="L239" i="6"/>
  <c r="K239" i="6"/>
  <c r="H239" i="6"/>
  <c r="Q238" i="6"/>
  <c r="P238" i="6"/>
  <c r="O238" i="6"/>
  <c r="N238" i="6"/>
  <c r="K238" i="6"/>
  <c r="D238" i="6"/>
  <c r="S237" i="6"/>
  <c r="R237" i="6"/>
  <c r="Q237" i="6"/>
  <c r="P237" i="6"/>
  <c r="O237" i="6"/>
  <c r="O239" i="6" s="1"/>
  <c r="N237" i="6"/>
  <c r="M237" i="6"/>
  <c r="L237" i="6"/>
  <c r="K237" i="6"/>
  <c r="J237" i="6"/>
  <c r="J239" i="6" s="1"/>
  <c r="I237" i="6"/>
  <c r="H237" i="6"/>
  <c r="G237" i="6"/>
  <c r="G239" i="6" s="1"/>
  <c r="F237" i="6"/>
  <c r="E237" i="6"/>
  <c r="D237" i="6"/>
  <c r="S236" i="6"/>
  <c r="R236" i="6"/>
  <c r="Q236" i="6"/>
  <c r="P236" i="6"/>
  <c r="O236" i="6"/>
  <c r="N236" i="6"/>
  <c r="M236" i="6"/>
  <c r="M238" i="6" s="1"/>
  <c r="L236" i="6"/>
  <c r="K236" i="6"/>
  <c r="J236" i="6"/>
  <c r="J238" i="6" s="1"/>
  <c r="I236" i="6"/>
  <c r="H236" i="6"/>
  <c r="H238" i="6" s="1"/>
  <c r="G236" i="6"/>
  <c r="F236" i="6"/>
  <c r="F238" i="6" s="1"/>
  <c r="E236" i="6"/>
  <c r="E238" i="6" s="1"/>
  <c r="D236" i="6"/>
  <c r="S235" i="6"/>
  <c r="R235" i="6"/>
  <c r="R238" i="6" s="1"/>
  <c r="Q235" i="6"/>
  <c r="P235" i="6"/>
  <c r="P239" i="6" s="1"/>
  <c r="O235" i="6"/>
  <c r="N235" i="6"/>
  <c r="N239" i="6" s="1"/>
  <c r="M235" i="6"/>
  <c r="M239" i="6" s="1"/>
  <c r="L235" i="6"/>
  <c r="L238" i="6" s="1"/>
  <c r="K235" i="6"/>
  <c r="J235" i="6"/>
  <c r="I235" i="6"/>
  <c r="H235" i="6"/>
  <c r="G235" i="6"/>
  <c r="G238" i="6" s="1"/>
  <c r="F235" i="6"/>
  <c r="F239" i="6" s="1"/>
  <c r="E235" i="6"/>
  <c r="E239" i="6" s="1"/>
  <c r="D235" i="6"/>
  <c r="D239" i="6" s="1"/>
  <c r="R234" i="6"/>
  <c r="O234" i="6"/>
  <c r="N234" i="6"/>
  <c r="H234" i="6"/>
  <c r="G234" i="6"/>
  <c r="E234" i="6"/>
  <c r="D234" i="6"/>
  <c r="N233" i="6"/>
  <c r="J233" i="6"/>
  <c r="I233" i="6"/>
  <c r="H233" i="6"/>
  <c r="S232" i="6"/>
  <c r="R232" i="6"/>
  <c r="Q232" i="6"/>
  <c r="P232" i="6"/>
  <c r="O232" i="6"/>
  <c r="N232" i="6"/>
  <c r="M232" i="6"/>
  <c r="L232" i="6"/>
  <c r="L234" i="6" s="1"/>
  <c r="K232" i="6"/>
  <c r="J232" i="6"/>
  <c r="J234" i="6" s="1"/>
  <c r="I232" i="6"/>
  <c r="I234" i="6" s="1"/>
  <c r="H232" i="6"/>
  <c r="G232" i="6"/>
  <c r="F232" i="6"/>
  <c r="E232" i="6"/>
  <c r="D232" i="6"/>
  <c r="S231" i="6"/>
  <c r="R231" i="6"/>
  <c r="Q231" i="6"/>
  <c r="P231" i="6"/>
  <c r="O231" i="6"/>
  <c r="N231" i="6"/>
  <c r="M231" i="6"/>
  <c r="M233" i="6" s="1"/>
  <c r="L231" i="6"/>
  <c r="K231" i="6"/>
  <c r="J231" i="6"/>
  <c r="I231" i="6"/>
  <c r="H231" i="6"/>
  <c r="G231" i="6"/>
  <c r="F231" i="6"/>
  <c r="E231" i="6"/>
  <c r="E233" i="6" s="1"/>
  <c r="D231" i="6"/>
  <c r="S230" i="6"/>
  <c r="R230" i="6"/>
  <c r="Q230" i="6"/>
  <c r="Q234" i="6" s="1"/>
  <c r="P230" i="6"/>
  <c r="O230" i="6"/>
  <c r="N230" i="6"/>
  <c r="M230" i="6"/>
  <c r="M234" i="6" s="1"/>
  <c r="L230" i="6"/>
  <c r="K230" i="6"/>
  <c r="J230" i="6"/>
  <c r="I230" i="6"/>
  <c r="H230" i="6"/>
  <c r="G230" i="6"/>
  <c r="F230" i="6"/>
  <c r="E230" i="6"/>
  <c r="D230" i="6"/>
  <c r="Q229" i="6"/>
  <c r="O229" i="6"/>
  <c r="N229" i="6"/>
  <c r="M229" i="6"/>
  <c r="L229" i="6"/>
  <c r="S228" i="6"/>
  <c r="P228" i="6"/>
  <c r="J228" i="6"/>
  <c r="I228" i="6"/>
  <c r="S227" i="6"/>
  <c r="S229" i="6" s="1"/>
  <c r="R227" i="6"/>
  <c r="Q227" i="6"/>
  <c r="P227" i="6"/>
  <c r="O227" i="6"/>
  <c r="N227" i="6"/>
  <c r="M227" i="6"/>
  <c r="L227" i="6"/>
  <c r="K227" i="6"/>
  <c r="K229" i="6" s="1"/>
  <c r="J227" i="6"/>
  <c r="J229" i="6" s="1"/>
  <c r="I227" i="6"/>
  <c r="I229" i="6" s="1"/>
  <c r="H227" i="6"/>
  <c r="G227" i="6"/>
  <c r="F227" i="6"/>
  <c r="E227" i="6"/>
  <c r="E229" i="6" s="1"/>
  <c r="D227" i="6"/>
  <c r="D229" i="6" s="1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S225" i="6"/>
  <c r="R225" i="6"/>
  <c r="Q225" i="6"/>
  <c r="Q250" i="6" s="1"/>
  <c r="P225" i="6"/>
  <c r="O225" i="6"/>
  <c r="N225" i="6"/>
  <c r="M225" i="6"/>
  <c r="M228" i="6" s="1"/>
  <c r="L225" i="6"/>
  <c r="K225" i="6"/>
  <c r="K228" i="6" s="1"/>
  <c r="J225" i="6"/>
  <c r="J250" i="6" s="1"/>
  <c r="J252" i="6" s="1"/>
  <c r="I225" i="6"/>
  <c r="H225" i="6"/>
  <c r="G225" i="6"/>
  <c r="F225" i="6"/>
  <c r="E225" i="6"/>
  <c r="E228" i="6" s="1"/>
  <c r="D225" i="6"/>
  <c r="S222" i="6"/>
  <c r="J222" i="6"/>
  <c r="I222" i="6"/>
  <c r="H222" i="6"/>
  <c r="R221" i="6"/>
  <c r="R222" i="6" s="1"/>
  <c r="Q221" i="6"/>
  <c r="Q222" i="6" s="1"/>
  <c r="P221" i="6"/>
  <c r="P222" i="6" s="1"/>
  <c r="O221" i="6"/>
  <c r="O222" i="6" s="1"/>
  <c r="N221" i="6"/>
  <c r="N222" i="6" s="1"/>
  <c r="H221" i="6"/>
  <c r="G221" i="6"/>
  <c r="G222" i="6" s="1"/>
  <c r="F221" i="6"/>
  <c r="F222" i="6" s="1"/>
  <c r="F26" i="6" s="1"/>
  <c r="E221" i="6"/>
  <c r="E222" i="6" s="1"/>
  <c r="D221" i="6"/>
  <c r="D222" i="6" s="1"/>
  <c r="S220" i="6"/>
  <c r="S221" i="6" s="1"/>
  <c r="R220" i="6"/>
  <c r="Q220" i="6"/>
  <c r="P220" i="6"/>
  <c r="O220" i="6"/>
  <c r="N220" i="6"/>
  <c r="M220" i="6"/>
  <c r="M221" i="6" s="1"/>
  <c r="M222" i="6" s="1"/>
  <c r="L220" i="6"/>
  <c r="L221" i="6" s="1"/>
  <c r="L222" i="6" s="1"/>
  <c r="K220" i="6"/>
  <c r="K221" i="6" s="1"/>
  <c r="K222" i="6" s="1"/>
  <c r="K26" i="6" s="1"/>
  <c r="J220" i="6"/>
  <c r="J221" i="6" s="1"/>
  <c r="I220" i="6"/>
  <c r="I221" i="6" s="1"/>
  <c r="H220" i="6"/>
  <c r="G220" i="6"/>
  <c r="F220" i="6"/>
  <c r="E220" i="6"/>
  <c r="D220" i="6"/>
  <c r="S219" i="6"/>
  <c r="R219" i="6"/>
  <c r="Q219" i="6"/>
  <c r="Q25" i="6" s="1"/>
  <c r="P219" i="6"/>
  <c r="O219" i="6"/>
  <c r="N219" i="6"/>
  <c r="M219" i="6"/>
  <c r="L219" i="6"/>
  <c r="K219" i="6"/>
  <c r="J219" i="6"/>
  <c r="I219" i="6"/>
  <c r="H219" i="6"/>
  <c r="G219" i="6"/>
  <c r="F219" i="6"/>
  <c r="F25" i="6" s="1"/>
  <c r="F34" i="6" s="1"/>
  <c r="E219" i="6"/>
  <c r="D219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S217" i="6"/>
  <c r="S25" i="6" s="1"/>
  <c r="S26" i="6" s="1"/>
  <c r="S215" i="6" s="1"/>
  <c r="R217" i="6"/>
  <c r="Q217" i="6"/>
  <c r="L217" i="6"/>
  <c r="I217" i="6"/>
  <c r="I25" i="6" s="1"/>
  <c r="I34" i="6" s="1"/>
  <c r="H217" i="6"/>
  <c r="H25" i="6" s="1"/>
  <c r="H34" i="6" s="1"/>
  <c r="G217" i="6"/>
  <c r="G25" i="6" s="1"/>
  <c r="G34" i="6" s="1"/>
  <c r="E217" i="6"/>
  <c r="E25" i="6" s="1"/>
  <c r="S216" i="6"/>
  <c r="R216" i="6"/>
  <c r="Q216" i="6"/>
  <c r="P216" i="6"/>
  <c r="P217" i="6" s="1"/>
  <c r="O216" i="6"/>
  <c r="O217" i="6" s="1"/>
  <c r="N216" i="6"/>
  <c r="N217" i="6" s="1"/>
  <c r="N25" i="6" s="1"/>
  <c r="M216" i="6"/>
  <c r="M217" i="6" s="1"/>
  <c r="L216" i="6"/>
  <c r="K216" i="6"/>
  <c r="K217" i="6" s="1"/>
  <c r="K25" i="6" s="1"/>
  <c r="K34" i="6" s="1"/>
  <c r="J216" i="6"/>
  <c r="J217" i="6" s="1"/>
  <c r="I216" i="6"/>
  <c r="H216" i="6"/>
  <c r="G216" i="6"/>
  <c r="F216" i="6"/>
  <c r="F217" i="6" s="1"/>
  <c r="E216" i="6"/>
  <c r="D216" i="6"/>
  <c r="D217" i="6" s="1"/>
  <c r="D25" i="6" s="1"/>
  <c r="D26" i="6" s="1"/>
  <c r="D215" i="6" s="1"/>
  <c r="P215" i="6"/>
  <c r="D213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R188" i="6"/>
  <c r="L188" i="6"/>
  <c r="G188" i="6"/>
  <c r="F188" i="6"/>
  <c r="D18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S175" i="6"/>
  <c r="J175" i="6"/>
  <c r="I175" i="6"/>
  <c r="S166" i="6"/>
  <c r="M166" i="6"/>
  <c r="M175" i="6" s="1"/>
  <c r="L166" i="6"/>
  <c r="L175" i="6" s="1"/>
  <c r="K166" i="6"/>
  <c r="K175" i="6" s="1"/>
  <c r="J166" i="6"/>
  <c r="I166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P122" i="6"/>
  <c r="P123" i="6" s="1"/>
  <c r="P125" i="6" s="1"/>
  <c r="P116" i="6"/>
  <c r="O116" i="6"/>
  <c r="O122" i="6" s="1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D88" i="6"/>
  <c r="S82" i="6"/>
  <c r="R82" i="6"/>
  <c r="R166" i="6" s="1"/>
  <c r="R175" i="6" s="1"/>
  <c r="Q82" i="6"/>
  <c r="Q166" i="6" s="1"/>
  <c r="Q175" i="6" s="1"/>
  <c r="P82" i="6"/>
  <c r="P166" i="6" s="1"/>
  <c r="P175" i="6" s="1"/>
  <c r="O82" i="6"/>
  <c r="O166" i="6" s="1"/>
  <c r="O175" i="6" s="1"/>
  <c r="N82" i="6"/>
  <c r="N166" i="6" s="1"/>
  <c r="N175" i="6" s="1"/>
  <c r="M82" i="6"/>
  <c r="L82" i="6"/>
  <c r="K82" i="6"/>
  <c r="J82" i="6"/>
  <c r="I82" i="6"/>
  <c r="H82" i="6"/>
  <c r="H166" i="6" s="1"/>
  <c r="H175" i="6" s="1"/>
  <c r="G82" i="6"/>
  <c r="G166" i="6" s="1"/>
  <c r="G175" i="6" s="1"/>
  <c r="F82" i="6"/>
  <c r="F166" i="6" s="1"/>
  <c r="F175" i="6" s="1"/>
  <c r="E82" i="6"/>
  <c r="E166" i="6" s="1"/>
  <c r="E175" i="6" s="1"/>
  <c r="D82" i="6"/>
  <c r="D166" i="6" s="1"/>
  <c r="D175" i="6" s="1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P57" i="6"/>
  <c r="J57" i="6"/>
  <c r="H57" i="6"/>
  <c r="H44" i="6"/>
  <c r="G44" i="6"/>
  <c r="F44" i="6"/>
  <c r="E44" i="6"/>
  <c r="D44" i="6"/>
  <c r="I39" i="6"/>
  <c r="S35" i="6" a="1"/>
  <c r="S35" i="6" s="1"/>
  <c r="P35" i="6"/>
  <c r="S34" i="6"/>
  <c r="E34" i="6"/>
  <c r="Q33" i="6"/>
  <c r="Q39" i="6" s="1"/>
  <c r="K33" i="6"/>
  <c r="H33" i="6"/>
  <c r="G33" i="6"/>
  <c r="F30" i="6"/>
  <c r="E30" i="6"/>
  <c r="D30" i="6"/>
  <c r="P26" i="6"/>
  <c r="P35" i="6" s="1" a="1"/>
  <c r="R25" i="6"/>
  <c r="R26" i="6" s="1"/>
  <c r="P25" i="6"/>
  <c r="P34" i="6" s="1"/>
  <c r="M25" i="6"/>
  <c r="M34" i="6" s="1"/>
  <c r="L25" i="6"/>
  <c r="L34" i="6" s="1"/>
  <c r="J25" i="6"/>
  <c r="S24" i="6"/>
  <c r="P24" i="6"/>
  <c r="L24" i="6"/>
  <c r="J24" i="6"/>
  <c r="I24" i="6"/>
  <c r="G24" i="6"/>
  <c r="D24" i="6"/>
  <c r="D23" i="6"/>
  <c r="D22" i="6"/>
  <c r="S21" i="6"/>
  <c r="R21" i="6"/>
  <c r="R94" i="6" s="1"/>
  <c r="Q21" i="6"/>
  <c r="Q24" i="6" s="1"/>
  <c r="P21" i="6"/>
  <c r="O21" i="6"/>
  <c r="N21" i="6"/>
  <c r="M21" i="6"/>
  <c r="L21" i="6"/>
  <c r="K21" i="6"/>
  <c r="J21" i="6"/>
  <c r="J94" i="6" s="1"/>
  <c r="I21" i="6"/>
  <c r="H21" i="6"/>
  <c r="H94" i="6" s="1"/>
  <c r="G21" i="6"/>
  <c r="F21" i="6"/>
  <c r="F57" i="6" s="1"/>
  <c r="E21" i="6"/>
  <c r="E57" i="6" s="1"/>
  <c r="D21" i="6"/>
  <c r="S20" i="6"/>
  <c r="S33" i="6" s="1"/>
  <c r="Q20" i="6"/>
  <c r="L20" i="6"/>
  <c r="L33" i="6" s="1"/>
  <c r="L39" i="6" s="1"/>
  <c r="K20" i="6"/>
  <c r="J20" i="6"/>
  <c r="J33" i="6" s="1"/>
  <c r="J39" i="6" s="1"/>
  <c r="I20" i="6"/>
  <c r="I33" i="6" s="1"/>
  <c r="H20" i="6"/>
  <c r="G20" i="6"/>
  <c r="S15" i="6"/>
  <c r="D140" i="5"/>
  <c r="E138" i="5"/>
  <c r="E135" i="5"/>
  <c r="S134" i="5"/>
  <c r="R134" i="5"/>
  <c r="Q134" i="5"/>
  <c r="P134" i="5"/>
  <c r="O134" i="5"/>
  <c r="F134" i="5"/>
  <c r="E134" i="5"/>
  <c r="D111" i="5"/>
  <c r="E106" i="5"/>
  <c r="S105" i="5"/>
  <c r="R105" i="5"/>
  <c r="Q105" i="5"/>
  <c r="P105" i="5"/>
  <c r="O105" i="5"/>
  <c r="N105" i="5"/>
  <c r="M105" i="5"/>
  <c r="L105" i="5"/>
  <c r="K105" i="5"/>
  <c r="J105" i="5"/>
  <c r="H98" i="5"/>
  <c r="G98" i="5"/>
  <c r="F98" i="5"/>
  <c r="D98" i="5"/>
  <c r="H97" i="5"/>
  <c r="G97" i="5"/>
  <c r="F97" i="5"/>
  <c r="E97" i="5"/>
  <c r="E98" i="5" s="1"/>
  <c r="D96" i="5"/>
  <c r="AC90" i="5"/>
  <c r="AB90" i="5"/>
  <c r="AA90" i="5"/>
  <c r="X90" i="5"/>
  <c r="U90" i="5"/>
  <c r="T90" i="5"/>
  <c r="AC86" i="5"/>
  <c r="AB86" i="5"/>
  <c r="AA86" i="5"/>
  <c r="Z86" i="5"/>
  <c r="Z90" i="5" s="1"/>
  <c r="Y86" i="5"/>
  <c r="Y90" i="5" s="1"/>
  <c r="X86" i="5"/>
  <c r="W86" i="5"/>
  <c r="W90" i="5" s="1"/>
  <c r="V86" i="5"/>
  <c r="V90" i="5" s="1"/>
  <c r="U86" i="5"/>
  <c r="T86" i="5"/>
  <c r="AC85" i="5"/>
  <c r="AB85" i="5"/>
  <c r="AA85" i="5"/>
  <c r="Z85" i="5"/>
  <c r="Y85" i="5"/>
  <c r="X85" i="5"/>
  <c r="W85" i="5"/>
  <c r="V85" i="5"/>
  <c r="U85" i="5"/>
  <c r="T85" i="5"/>
  <c r="D74" i="5" a="1"/>
  <c r="D74" i="5"/>
  <c r="D69" i="5"/>
  <c r="D68" i="5"/>
  <c r="D67" i="5"/>
  <c r="AC65" i="5"/>
  <c r="AB65" i="5"/>
  <c r="AA65" i="5"/>
  <c r="Z65" i="5"/>
  <c r="Y65" i="5"/>
  <c r="X65" i="5"/>
  <c r="W65" i="5"/>
  <c r="V65" i="5"/>
  <c r="U65" i="5"/>
  <c r="T65" i="5"/>
  <c r="AC64" i="5"/>
  <c r="AB64" i="5"/>
  <c r="AA64" i="5"/>
  <c r="Z64" i="5"/>
  <c r="Y64" i="5"/>
  <c r="X64" i="5"/>
  <c r="W64" i="5"/>
  <c r="V64" i="5"/>
  <c r="U64" i="5"/>
  <c r="T64" i="5"/>
  <c r="H60" i="5"/>
  <c r="G60" i="5"/>
  <c r="F60" i="5"/>
  <c r="D60" i="5"/>
  <c r="D57" i="5"/>
  <c r="Y52" i="5"/>
  <c r="U52" i="5"/>
  <c r="T52" i="5"/>
  <c r="T51" i="5"/>
  <c r="AA50" i="5"/>
  <c r="Y50" i="5"/>
  <c r="Y51" i="5" s="1"/>
  <c r="V50" i="5"/>
  <c r="U50" i="5"/>
  <c r="U51" i="5" s="1"/>
  <c r="T50" i="5"/>
  <c r="AC48" i="5"/>
  <c r="AC50" i="5" s="1"/>
  <c r="AB48" i="5"/>
  <c r="AA48" i="5"/>
  <c r="AA52" i="5" s="1"/>
  <c r="Z48" i="5"/>
  <c r="Z50" i="5" s="1"/>
  <c r="Y48" i="5"/>
  <c r="X48" i="5"/>
  <c r="W48" i="5"/>
  <c r="V48" i="5"/>
  <c r="U48" i="5"/>
  <c r="T48" i="5"/>
  <c r="AC40" i="5"/>
  <c r="AB40" i="5"/>
  <c r="AA40" i="5"/>
  <c r="Z40" i="5"/>
  <c r="Y40" i="5"/>
  <c r="X40" i="5"/>
  <c r="W40" i="5"/>
  <c r="V40" i="5"/>
  <c r="U40" i="5"/>
  <c r="T40" i="5"/>
  <c r="AC39" i="5"/>
  <c r="AB39" i="5"/>
  <c r="AA39" i="5"/>
  <c r="Z39" i="5"/>
  <c r="Y39" i="5"/>
  <c r="X39" i="5"/>
  <c r="W39" i="5"/>
  <c r="V39" i="5"/>
  <c r="U39" i="5"/>
  <c r="T39" i="5"/>
  <c r="H24" i="5"/>
  <c r="H30" i="7" s="1"/>
  <c r="G24" i="5"/>
  <c r="G30" i="7" s="1"/>
  <c r="F24" i="5"/>
  <c r="F30" i="7" s="1"/>
  <c r="E24" i="5"/>
  <c r="D24" i="5"/>
  <c r="D30" i="7" s="1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E8" i="5"/>
  <c r="S115" i="4"/>
  <c r="D113" i="4"/>
  <c r="D107" i="4"/>
  <c r="D61" i="10" s="1"/>
  <c r="D69" i="11" s="1"/>
  <c r="D105" i="4"/>
  <c r="D40" i="10" s="1"/>
  <c r="D49" i="11" s="1"/>
  <c r="D104" i="4"/>
  <c r="D33" i="10" s="1"/>
  <c r="D42" i="11" s="1"/>
  <c r="D102" i="4"/>
  <c r="D101" i="4"/>
  <c r="D53" i="4" a="1"/>
  <c r="D53" i="4" s="1"/>
  <c r="D14" i="11" s="1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D24" i="4" a="1"/>
  <c r="D24" i="4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M18" i="4" a="1"/>
  <c r="M18" i="4" s="1"/>
  <c r="F18" i="4" a="1"/>
  <c r="F18" i="4" s="1"/>
  <c r="E18" i="4" a="1"/>
  <c r="E18" i="4" s="1"/>
  <c r="D18" i="4" a="1"/>
  <c r="D18" i="4" s="1"/>
  <c r="D17" i="4" a="1"/>
  <c r="D17" i="4" s="1"/>
  <c r="D16" i="4" a="1"/>
  <c r="D16" i="4" s="1"/>
  <c r="J15" i="4" a="1"/>
  <c r="J15" i="4" s="1"/>
  <c r="D15" i="4" a="1"/>
  <c r="D15" i="4" s="1"/>
  <c r="D14" i="4" a="1"/>
  <c r="D14" i="4" s="1"/>
  <c r="D13" i="4" a="1"/>
  <c r="D13" i="4"/>
  <c r="O12" i="4" a="1"/>
  <c r="O12" i="4"/>
  <c r="F12" i="4" a="1"/>
  <c r="F12" i="4" s="1"/>
  <c r="E12" i="4" a="1"/>
  <c r="E12" i="4"/>
  <c r="D12" i="4" a="1"/>
  <c r="D12" i="4"/>
  <c r="D138" i="4" s="1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L204" i="3"/>
  <c r="D190" i="3"/>
  <c r="D189" i="3"/>
  <c r="D181" i="3"/>
  <c r="L165" i="3"/>
  <c r="D156" i="3"/>
  <c r="D80" i="10" s="1"/>
  <c r="D151" i="3"/>
  <c r="D60" i="10" s="1"/>
  <c r="D150" i="3"/>
  <c r="D39" i="10" s="1"/>
  <c r="D148" i="3"/>
  <c r="D32" i="10" s="1"/>
  <c r="D146" i="3"/>
  <c r="D17" i="10" s="1"/>
  <c r="D145" i="3"/>
  <c r="S69" i="3"/>
  <c r="M69" i="3"/>
  <c r="J69" i="3"/>
  <c r="J165" i="3" s="1"/>
  <c r="G69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S59" i="3" a="1"/>
  <c r="S59" i="3" s="1"/>
  <c r="S63" i="3" s="1"/>
  <c r="F59" i="3" a="1"/>
  <c r="F59" i="3" s="1"/>
  <c r="F63" i="3" s="1"/>
  <c r="D59" i="3" a="1"/>
  <c r="D59" i="3" s="1"/>
  <c r="D63" i="3" s="1"/>
  <c r="D53" i="3"/>
  <c r="D55" i="3" s="1"/>
  <c r="D52" i="3"/>
  <c r="E52" i="3" s="1"/>
  <c r="E54" i="3" s="1"/>
  <c r="D48" i="3"/>
  <c r="D43" i="3"/>
  <c r="D42" i="3"/>
  <c r="F41" i="3"/>
  <c r="G41" i="3" s="1"/>
  <c r="H41" i="3" s="1"/>
  <c r="I41" i="3" s="1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D41" i="3"/>
  <c r="E41" i="3" s="1"/>
  <c r="D40" i="3"/>
  <c r="E40" i="3" s="1"/>
  <c r="E46" i="3" s="1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M32" i="3"/>
  <c r="L32" i="3"/>
  <c r="J32" i="3"/>
  <c r="G32" i="3"/>
  <c r="N29" i="3"/>
  <c r="J29" i="3"/>
  <c r="H29" i="3"/>
  <c r="F29" i="3"/>
  <c r="R28" i="3"/>
  <c r="R69" i="3" s="1"/>
  <c r="Q28" i="3"/>
  <c r="Q32" i="3" s="1"/>
  <c r="P28" i="3"/>
  <c r="P32" i="3" s="1"/>
  <c r="O28" i="3"/>
  <c r="O69" i="3" s="1"/>
  <c r="N28" i="3"/>
  <c r="M28" i="3"/>
  <c r="L28" i="3"/>
  <c r="L69" i="3" s="1"/>
  <c r="K28" i="3"/>
  <c r="K32" i="3" s="1"/>
  <c r="J28" i="3"/>
  <c r="H28" i="3"/>
  <c r="H69" i="3" s="1"/>
  <c r="G28" i="3"/>
  <c r="F28" i="3"/>
  <c r="F69" i="3" s="1"/>
  <c r="E28" i="3"/>
  <c r="D28" i="3"/>
  <c r="R25" i="3" a="1"/>
  <c r="R25" i="3"/>
  <c r="R204" i="3" s="1"/>
  <c r="O25" i="3" a="1"/>
  <c r="O25" i="3"/>
  <c r="O204" i="3" s="1"/>
  <c r="M25" i="3" a="1"/>
  <c r="M25" i="3" s="1"/>
  <c r="M204" i="3" s="1"/>
  <c r="L25" i="3" a="1"/>
  <c r="L25" i="3"/>
  <c r="K25" i="3" a="1"/>
  <c r="K25" i="3"/>
  <c r="K204" i="3" s="1"/>
  <c r="J25" i="3" a="1"/>
  <c r="J25" i="3"/>
  <c r="J204" i="3" s="1"/>
  <c r="H25" i="3" a="1"/>
  <c r="H25" i="3" s="1"/>
  <c r="H204" i="3" s="1"/>
  <c r="E25" i="3" a="1"/>
  <c r="E25" i="3" s="1"/>
  <c r="E204" i="3" s="1"/>
  <c r="S24" i="3" a="1"/>
  <c r="S24" i="3"/>
  <c r="R24" i="3" a="1"/>
  <c r="R24" i="3"/>
  <c r="Q24" i="3" a="1"/>
  <c r="Q24" i="3"/>
  <c r="P24" i="3" a="1"/>
  <c r="P24" i="3" s="1"/>
  <c r="O24" i="3" a="1"/>
  <c r="O24" i="3" s="1"/>
  <c r="N24" i="3" a="1"/>
  <c r="N24" i="3" s="1"/>
  <c r="M24" i="3" a="1"/>
  <c r="M24" i="3"/>
  <c r="L24" i="3" a="1"/>
  <c r="L24" i="3"/>
  <c r="K24" i="3" a="1"/>
  <c r="K24" i="3" s="1"/>
  <c r="J24" i="3" a="1"/>
  <c r="J24" i="3"/>
  <c r="I24" i="3" a="1"/>
  <c r="I24" i="3"/>
  <c r="H24" i="3" a="1"/>
  <c r="H24" i="3"/>
  <c r="G24" i="3" a="1"/>
  <c r="G24" i="3"/>
  <c r="F24" i="3" a="1"/>
  <c r="F24" i="3" s="1"/>
  <c r="E24" i="3" a="1"/>
  <c r="E24" i="3" s="1"/>
  <c r="D24" i="3" a="1"/>
  <c r="D24" i="3" s="1"/>
  <c r="D23" i="3"/>
  <c r="S28" i="3" s="1"/>
  <c r="S32" i="3" s="1"/>
  <c r="D22" i="3"/>
  <c r="S29" i="3" s="1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D20" i="3"/>
  <c r="D32" i="3" s="1"/>
  <c r="D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O14" i="3" a="1"/>
  <c r="O14" i="3" s="1"/>
  <c r="N14" i="3" a="1"/>
  <c r="N14" i="3" s="1"/>
  <c r="K14" i="3" a="1"/>
  <c r="K14" i="3" s="1"/>
  <c r="F14" i="3" a="1"/>
  <c r="F14" i="3"/>
  <c r="E14" i="3" a="1"/>
  <c r="E14" i="3" s="1"/>
  <c r="D14" i="3" a="1"/>
  <c r="D14" i="3" s="1"/>
  <c r="S13" i="3" a="1"/>
  <c r="S13" i="3"/>
  <c r="R13" i="3" a="1"/>
  <c r="R13" i="3"/>
  <c r="Q13" i="3" a="1"/>
  <c r="Q13" i="3"/>
  <c r="P13" i="3" a="1"/>
  <c r="P13" i="3" s="1"/>
  <c r="O13" i="3" a="1"/>
  <c r="O13" i="3" s="1"/>
  <c r="N13" i="3" a="1"/>
  <c r="N13" i="3"/>
  <c r="M13" i="3" a="1"/>
  <c r="M13" i="3"/>
  <c r="L13" i="3" a="1"/>
  <c r="L13" i="3"/>
  <c r="K13" i="3" a="1"/>
  <c r="K13" i="3" s="1"/>
  <c r="J13" i="3" a="1"/>
  <c r="J13" i="3" s="1"/>
  <c r="I13" i="3" a="1"/>
  <c r="I13" i="3"/>
  <c r="H13" i="3" a="1"/>
  <c r="H13" i="3"/>
  <c r="G13" i="3" a="1"/>
  <c r="G13" i="3" s="1"/>
  <c r="F13" i="3" a="1"/>
  <c r="F13" i="3" s="1"/>
  <c r="E13" i="3" a="1"/>
  <c r="E13" i="3" s="1"/>
  <c r="D13" i="3" a="1"/>
  <c r="D13" i="3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E141" i="2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D141" i="2"/>
  <c r="B480" i="1"/>
  <c r="E323" i="1"/>
  <c r="E88" i="6" s="1"/>
  <c r="S322" i="1"/>
  <c r="S23" i="6" s="1"/>
  <c r="R322" i="1"/>
  <c r="R23" i="6" s="1"/>
  <c r="Q322" i="1"/>
  <c r="Q23" i="6" s="1"/>
  <c r="P322" i="1"/>
  <c r="P23" i="6" s="1"/>
  <c r="O322" i="1"/>
  <c r="O23" i="6" s="1"/>
  <c r="N322" i="1"/>
  <c r="N23" i="6" s="1"/>
  <c r="M322" i="1"/>
  <c r="M23" i="6" s="1"/>
  <c r="L322" i="1"/>
  <c r="L23" i="6" s="1"/>
  <c r="L48" i="6" s="1"/>
  <c r="K322" i="1"/>
  <c r="K23" i="6" s="1"/>
  <c r="J322" i="1"/>
  <c r="J23" i="6" s="1"/>
  <c r="I322" i="1"/>
  <c r="I23" i="6" s="1"/>
  <c r="H322" i="1"/>
  <c r="H23" i="6" s="1"/>
  <c r="G322" i="1"/>
  <c r="G23" i="6" s="1"/>
  <c r="F322" i="1"/>
  <c r="F23" i="6" s="1"/>
  <c r="E322" i="1"/>
  <c r="E23" i="6" s="1"/>
  <c r="S321" i="1"/>
  <c r="S22" i="6" s="1"/>
  <c r="R321" i="1"/>
  <c r="R22" i="6" s="1"/>
  <c r="Q321" i="1"/>
  <c r="Q22" i="6" s="1"/>
  <c r="P321" i="1"/>
  <c r="P22" i="6" s="1"/>
  <c r="O321" i="1"/>
  <c r="O22" i="6" s="1"/>
  <c r="N321" i="1"/>
  <c r="N22" i="6" s="1"/>
  <c r="M321" i="1"/>
  <c r="M22" i="6" s="1"/>
  <c r="L321" i="1"/>
  <c r="L22" i="6" s="1"/>
  <c r="K321" i="1"/>
  <c r="K22" i="6" s="1"/>
  <c r="J321" i="1"/>
  <c r="J22" i="6" s="1"/>
  <c r="I321" i="1"/>
  <c r="I22" i="6" s="1"/>
  <c r="H321" i="1"/>
  <c r="H22" i="6" s="1"/>
  <c r="G321" i="1"/>
  <c r="G22" i="6" s="1"/>
  <c r="F321" i="1"/>
  <c r="F22" i="6" s="1"/>
  <c r="E321" i="1"/>
  <c r="E22" i="6" s="1"/>
  <c r="B258" i="1"/>
  <c r="E239" i="1"/>
  <c r="S213" i="1"/>
  <c r="S18" i="4" s="1" a="1"/>
  <c r="S18" i="4" s="1"/>
  <c r="R213" i="1"/>
  <c r="R18" i="4" s="1" a="1"/>
  <c r="R18" i="4" s="1"/>
  <c r="Q213" i="1"/>
  <c r="Q18" i="4" s="1" a="1"/>
  <c r="Q18" i="4" s="1"/>
  <c r="P213" i="1"/>
  <c r="P18" i="4" s="1" a="1"/>
  <c r="P18" i="4" s="1"/>
  <c r="O213" i="1"/>
  <c r="O18" i="4" s="1" a="1"/>
  <c r="O18" i="4" s="1"/>
  <c r="N213" i="1"/>
  <c r="N18" i="4" s="1" a="1"/>
  <c r="N18" i="4" s="1"/>
  <c r="M213" i="1"/>
  <c r="L213" i="1"/>
  <c r="L18" i="4" s="1" a="1"/>
  <c r="L18" i="4" s="1"/>
  <c r="K213" i="1"/>
  <c r="K18" i="4" s="1" a="1"/>
  <c r="K18" i="4" s="1"/>
  <c r="J213" i="1"/>
  <c r="J18" i="4" s="1" a="1"/>
  <c r="J18" i="4" s="1"/>
  <c r="I213" i="1"/>
  <c r="I18" i="4" s="1" a="1"/>
  <c r="I18" i="4" s="1"/>
  <c r="H213" i="1"/>
  <c r="H18" i="4" s="1" a="1"/>
  <c r="H18" i="4" s="1"/>
  <c r="G213" i="1"/>
  <c r="G18" i="4" s="1" a="1"/>
  <c r="G18" i="4" s="1"/>
  <c r="S212" i="1"/>
  <c r="R212" i="1"/>
  <c r="Q212" i="1"/>
  <c r="P212" i="1"/>
  <c r="P17" i="4" s="1" a="1"/>
  <c r="P17" i="4" s="1"/>
  <c r="O212" i="1"/>
  <c r="N212" i="1"/>
  <c r="N53" i="4" s="1" a="1"/>
  <c r="N53" i="4" s="1"/>
  <c r="N14" i="11" s="1"/>
  <c r="M212" i="1"/>
  <c r="L212" i="1"/>
  <c r="K212" i="1"/>
  <c r="K17" i="4" s="1" a="1"/>
  <c r="K17" i="4" s="1"/>
  <c r="J212" i="1"/>
  <c r="I212" i="1"/>
  <c r="H212" i="1"/>
  <c r="G212" i="1"/>
  <c r="F212" i="1"/>
  <c r="E212" i="1"/>
  <c r="S162" i="1"/>
  <c r="R162" i="1"/>
  <c r="R59" i="3" s="1" a="1"/>
  <c r="R59" i="3" s="1"/>
  <c r="R63" i="3" s="1"/>
  <c r="Q162" i="1"/>
  <c r="Q59" i="3" s="1" a="1"/>
  <c r="Q59" i="3" s="1"/>
  <c r="Q63" i="3" s="1"/>
  <c r="P162" i="1"/>
  <c r="P59" i="3" s="1" a="1"/>
  <c r="P59" i="3" s="1"/>
  <c r="P63" i="3" s="1"/>
  <c r="O162" i="1"/>
  <c r="O59" i="3" s="1" a="1"/>
  <c r="O59" i="3" s="1"/>
  <c r="O63" i="3" s="1"/>
  <c r="N162" i="1"/>
  <c r="N59" i="3" s="1" a="1"/>
  <c r="N59" i="3" s="1"/>
  <c r="N63" i="3" s="1"/>
  <c r="M162" i="1"/>
  <c r="M59" i="3" s="1" a="1"/>
  <c r="M59" i="3" s="1"/>
  <c r="M63" i="3" s="1"/>
  <c r="L162" i="1"/>
  <c r="L59" i="3" s="1" a="1"/>
  <c r="L59" i="3" s="1"/>
  <c r="L63" i="3" s="1"/>
  <c r="K162" i="1"/>
  <c r="K59" i="3" s="1" a="1"/>
  <c r="K59" i="3" s="1"/>
  <c r="K63" i="3" s="1"/>
  <c r="J162" i="1"/>
  <c r="J59" i="3" s="1" a="1"/>
  <c r="J59" i="3" s="1"/>
  <c r="J63" i="3" s="1"/>
  <c r="I162" i="1"/>
  <c r="I59" i="3" s="1" a="1"/>
  <c r="I59" i="3" s="1"/>
  <c r="I63" i="3" s="1"/>
  <c r="H162" i="1"/>
  <c r="H59" i="3" s="1" a="1"/>
  <c r="H59" i="3" s="1"/>
  <c r="H63" i="3" s="1"/>
  <c r="G162" i="1"/>
  <c r="G59" i="3" s="1" a="1"/>
  <c r="G59" i="3" s="1"/>
  <c r="G63" i="3" s="1"/>
  <c r="F162" i="1"/>
  <c r="E162" i="1"/>
  <c r="E59" i="3" s="1" a="1"/>
  <c r="E59" i="3" s="1"/>
  <c r="E63" i="3" s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I144" i="1"/>
  <c r="I19" i="8" s="1" a="1"/>
  <c r="I19" i="8" s="1"/>
  <c r="H144" i="1"/>
  <c r="H19" i="8" s="1" a="1"/>
  <c r="H19" i="8" s="1"/>
  <c r="G144" i="1"/>
  <c r="G19" i="8" s="1" a="1"/>
  <c r="G19" i="8" s="1"/>
  <c r="F144" i="1"/>
  <c r="F19" i="8" s="1" a="1"/>
  <c r="F19" i="8" s="1"/>
  <c r="E144" i="1"/>
  <c r="E19" i="8" s="1" a="1"/>
  <c r="E19" i="8" s="1"/>
  <c r="D144" i="1"/>
  <c r="D19" i="8" s="1" a="1"/>
  <c r="D19" i="8" s="1"/>
  <c r="D61" i="8" s="1"/>
  <c r="S143" i="1"/>
  <c r="S14" i="3" s="1" a="1"/>
  <c r="S14" i="3" s="1"/>
  <c r="R143" i="1"/>
  <c r="R14" i="3" s="1" a="1"/>
  <c r="R14" i="3" s="1"/>
  <c r="Q143" i="1"/>
  <c r="Q14" i="3" s="1" a="1"/>
  <c r="Q14" i="3" s="1"/>
  <c r="P143" i="1"/>
  <c r="P14" i="3" s="1" a="1"/>
  <c r="P14" i="3" s="1"/>
  <c r="O143" i="1"/>
  <c r="N143" i="1"/>
  <c r="M143" i="1"/>
  <c r="M14" i="3" s="1" a="1"/>
  <c r="M14" i="3" s="1"/>
  <c r="L143" i="1"/>
  <c r="L14" i="3" s="1" a="1"/>
  <c r="L14" i="3" s="1"/>
  <c r="K143" i="1"/>
  <c r="J143" i="1"/>
  <c r="J14" i="3" s="1" a="1"/>
  <c r="J14" i="3" s="1"/>
  <c r="I143" i="1"/>
  <c r="I14" i="3" s="1" a="1"/>
  <c r="I14" i="3" s="1"/>
  <c r="H143" i="1"/>
  <c r="H14" i="3" s="1" a="1"/>
  <c r="H14" i="3" s="1"/>
  <c r="G143" i="1"/>
  <c r="G14" i="3" s="1" a="1"/>
  <c r="G14" i="3" s="1"/>
  <c r="S114" i="1"/>
  <c r="S16" i="5" s="1"/>
  <c r="R114" i="1"/>
  <c r="R16" i="5" s="1"/>
  <c r="Q114" i="1"/>
  <c r="Q16" i="5" s="1"/>
  <c r="P114" i="1"/>
  <c r="P16" i="5" s="1"/>
  <c r="O114" i="1"/>
  <c r="O16" i="5" s="1"/>
  <c r="N114" i="1"/>
  <c r="N16" i="5" s="1"/>
  <c r="M114" i="1"/>
  <c r="M16" i="5" s="1"/>
  <c r="L114" i="1"/>
  <c r="L16" i="5" s="1"/>
  <c r="K114" i="1"/>
  <c r="K16" i="5" s="1"/>
  <c r="J114" i="1"/>
  <c r="J16" i="5" s="1"/>
  <c r="I114" i="1"/>
  <c r="I16" i="5" s="1"/>
  <c r="H114" i="1"/>
  <c r="H16" i="5" s="1"/>
  <c r="G114" i="1"/>
  <c r="G16" i="5" s="1"/>
  <c r="F114" i="1"/>
  <c r="F16" i="5" s="1"/>
  <c r="E114" i="1"/>
  <c r="E16" i="5" s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D43" i="10" s="1"/>
  <c r="S105" i="1"/>
  <c r="S44" i="7" s="1" a="1"/>
  <c r="S44" i="7" s="1"/>
  <c r="S52" i="7" s="1"/>
  <c r="R105" i="1"/>
  <c r="R44" i="7" s="1" a="1"/>
  <c r="R44" i="7" s="1"/>
  <c r="R52" i="7" s="1"/>
  <c r="Q105" i="1"/>
  <c r="Q44" i="7" s="1" a="1"/>
  <c r="Q44" i="7" s="1"/>
  <c r="Q52" i="7" s="1"/>
  <c r="P105" i="1"/>
  <c r="P44" i="7" s="1" a="1"/>
  <c r="P44" i="7" s="1"/>
  <c r="P52" i="7" s="1"/>
  <c r="O105" i="1"/>
  <c r="O44" i="7" s="1" a="1"/>
  <c r="O44" i="7" s="1"/>
  <c r="O52" i="7" s="1"/>
  <c r="N105" i="1"/>
  <c r="N44" i="7" s="1" a="1"/>
  <c r="N44" i="7" s="1"/>
  <c r="N52" i="7" s="1"/>
  <c r="M105" i="1"/>
  <c r="M44" i="7" s="1" a="1"/>
  <c r="M44" i="7" s="1"/>
  <c r="M52" i="7" s="1"/>
  <c r="L105" i="1"/>
  <c r="L44" i="7" s="1" a="1"/>
  <c r="L44" i="7" s="1"/>
  <c r="L52" i="7" s="1"/>
  <c r="K105" i="1"/>
  <c r="K44" i="7" s="1" a="1"/>
  <c r="K44" i="7" s="1"/>
  <c r="K52" i="7" s="1"/>
  <c r="J105" i="1"/>
  <c r="J44" i="7" s="1" a="1"/>
  <c r="J44" i="7" s="1"/>
  <c r="J52" i="7" s="1"/>
  <c r="I105" i="1"/>
  <c r="I44" i="7" s="1" a="1"/>
  <c r="I44" i="7" s="1"/>
  <c r="I52" i="7" s="1"/>
  <c r="H105" i="1"/>
  <c r="H44" i="7" s="1" a="1"/>
  <c r="H44" i="7" s="1"/>
  <c r="H52" i="7" s="1"/>
  <c r="G105" i="1"/>
  <c r="G44" i="7" s="1" a="1"/>
  <c r="G44" i="7" s="1"/>
  <c r="G52" i="7" s="1"/>
  <c r="F105" i="1"/>
  <c r="F44" i="7" s="1" a="1"/>
  <c r="F44" i="7" s="1"/>
  <c r="F52" i="7" s="1"/>
  <c r="E105" i="1"/>
  <c r="E44" i="7" s="1" a="1"/>
  <c r="E44" i="7" s="1"/>
  <c r="E52" i="7" s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S58" i="1"/>
  <c r="S16" i="4" s="1" a="1"/>
  <c r="S16" i="4" s="1"/>
  <c r="R58" i="1"/>
  <c r="R16" i="4" s="1" a="1"/>
  <c r="R16" i="4" s="1"/>
  <c r="Q58" i="1"/>
  <c r="Q16" i="4" s="1" a="1"/>
  <c r="Q16" i="4" s="1"/>
  <c r="P58" i="1"/>
  <c r="P16" i="4" s="1" a="1"/>
  <c r="P16" i="4" s="1"/>
  <c r="O58" i="1"/>
  <c r="O16" i="4" s="1" a="1"/>
  <c r="O16" i="4" s="1"/>
  <c r="N58" i="1"/>
  <c r="N16" i="4" s="1" a="1"/>
  <c r="N16" i="4" s="1"/>
  <c r="M58" i="1"/>
  <c r="M16" i="4" s="1" a="1"/>
  <c r="M16" i="4" s="1"/>
  <c r="L58" i="1"/>
  <c r="L16" i="4" s="1" a="1"/>
  <c r="L16" i="4" s="1"/>
  <c r="K58" i="1"/>
  <c r="K16" i="4" s="1" a="1"/>
  <c r="K16" i="4" s="1"/>
  <c r="J58" i="1"/>
  <c r="J16" i="4" s="1" a="1"/>
  <c r="J16" i="4" s="1"/>
  <c r="I58" i="1"/>
  <c r="I16" i="4" s="1" a="1"/>
  <c r="I16" i="4" s="1"/>
  <c r="H58" i="1"/>
  <c r="H16" i="4" s="1" a="1"/>
  <c r="H16" i="4" s="1"/>
  <c r="G58" i="1"/>
  <c r="G16" i="4" s="1" a="1"/>
  <c r="G16" i="4" s="1"/>
  <c r="F58" i="1"/>
  <c r="F16" i="4" s="1" a="1"/>
  <c r="F16" i="4" s="1"/>
  <c r="E58" i="1"/>
  <c r="E16" i="4" s="1" a="1"/>
  <c r="E16" i="4" s="1"/>
  <c r="S57" i="1"/>
  <c r="S15" i="4" s="1" a="1"/>
  <c r="S15" i="4" s="1"/>
  <c r="R57" i="1"/>
  <c r="R15" i="4" s="1" a="1"/>
  <c r="R15" i="4" s="1"/>
  <c r="Q57" i="1"/>
  <c r="Q15" i="4" s="1" a="1"/>
  <c r="Q15" i="4" s="1"/>
  <c r="P57" i="1"/>
  <c r="P15" i="4" s="1" a="1"/>
  <c r="P15" i="4" s="1"/>
  <c r="O57" i="1"/>
  <c r="O15" i="4" s="1" a="1"/>
  <c r="O15" i="4" s="1"/>
  <c r="N57" i="1"/>
  <c r="N15" i="4" s="1" a="1"/>
  <c r="N15" i="4" s="1"/>
  <c r="M57" i="1"/>
  <c r="M15" i="4" s="1" a="1"/>
  <c r="M15" i="4" s="1"/>
  <c r="L57" i="1"/>
  <c r="L15" i="4" s="1" a="1"/>
  <c r="L15" i="4" s="1"/>
  <c r="K57" i="1"/>
  <c r="K15" i="4" s="1" a="1"/>
  <c r="K15" i="4" s="1"/>
  <c r="J57" i="1"/>
  <c r="I57" i="1"/>
  <c r="I15" i="4" s="1" a="1"/>
  <c r="I15" i="4" s="1"/>
  <c r="H57" i="1"/>
  <c r="H15" i="4" s="1" a="1"/>
  <c r="H15" i="4" s="1"/>
  <c r="G57" i="1"/>
  <c r="G15" i="4" s="1" a="1"/>
  <c r="G15" i="4" s="1"/>
  <c r="F57" i="1"/>
  <c r="F15" i="4" s="1" a="1"/>
  <c r="F15" i="4" s="1"/>
  <c r="E57" i="1"/>
  <c r="E15" i="4" s="1" a="1"/>
  <c r="E15" i="4" s="1"/>
  <c r="S56" i="1"/>
  <c r="S14" i="4" s="1" a="1"/>
  <c r="S14" i="4" s="1"/>
  <c r="R56" i="1"/>
  <c r="R14" i="4" s="1" a="1"/>
  <c r="R14" i="4" s="1"/>
  <c r="Q56" i="1"/>
  <c r="Q14" i="4" s="1" a="1"/>
  <c r="Q14" i="4" s="1"/>
  <c r="P56" i="1"/>
  <c r="P14" i="4" s="1" a="1"/>
  <c r="P14" i="4" s="1"/>
  <c r="O56" i="1"/>
  <c r="O14" i="4" s="1" a="1"/>
  <c r="O14" i="4" s="1"/>
  <c r="N56" i="1"/>
  <c r="N14" i="4" s="1" a="1"/>
  <c r="N14" i="4" s="1"/>
  <c r="M56" i="1"/>
  <c r="M14" i="4" s="1" a="1"/>
  <c r="M14" i="4" s="1"/>
  <c r="L56" i="1"/>
  <c r="L14" i="4" s="1" a="1"/>
  <c r="L14" i="4" s="1"/>
  <c r="K56" i="1"/>
  <c r="K14" i="4" s="1" a="1"/>
  <c r="K14" i="4" s="1"/>
  <c r="J56" i="1"/>
  <c r="J14" i="4" s="1" a="1"/>
  <c r="J14" i="4" s="1"/>
  <c r="I56" i="1"/>
  <c r="I14" i="4" s="1" a="1"/>
  <c r="I14" i="4" s="1"/>
  <c r="H56" i="1"/>
  <c r="H14" i="4" s="1" a="1"/>
  <c r="H14" i="4" s="1"/>
  <c r="G56" i="1"/>
  <c r="G14" i="4" s="1" a="1"/>
  <c r="G14" i="4" s="1"/>
  <c r="F56" i="1"/>
  <c r="F14" i="4" s="1" a="1"/>
  <c r="F14" i="4" s="1"/>
  <c r="E56" i="1"/>
  <c r="E14" i="4" s="1" a="1"/>
  <c r="E14" i="4" s="1"/>
  <c r="S55" i="1"/>
  <c r="S13" i="4" s="1" a="1"/>
  <c r="S13" i="4" s="1"/>
  <c r="R55" i="1"/>
  <c r="R13" i="4" s="1" a="1"/>
  <c r="R13" i="4" s="1"/>
  <c r="Q55" i="1"/>
  <c r="Q13" i="4" s="1" a="1"/>
  <c r="Q13" i="4" s="1"/>
  <c r="P55" i="1"/>
  <c r="P13" i="4" s="1" a="1"/>
  <c r="P13" i="4" s="1"/>
  <c r="O55" i="1"/>
  <c r="O13" i="4" s="1" a="1"/>
  <c r="O13" i="4" s="1"/>
  <c r="N55" i="1"/>
  <c r="N13" i="4" s="1" a="1"/>
  <c r="N13" i="4" s="1"/>
  <c r="M55" i="1"/>
  <c r="M13" i="4" s="1" a="1"/>
  <c r="M13" i="4" s="1"/>
  <c r="L55" i="1"/>
  <c r="L13" i="4" s="1" a="1"/>
  <c r="L13" i="4" s="1"/>
  <c r="K55" i="1"/>
  <c r="K13" i="4" s="1" a="1"/>
  <c r="K13" i="4" s="1"/>
  <c r="J55" i="1"/>
  <c r="J13" i="4" s="1" a="1"/>
  <c r="J13" i="4" s="1"/>
  <c r="I55" i="1"/>
  <c r="I13" i="4" s="1" a="1"/>
  <c r="I13" i="4" s="1"/>
  <c r="H55" i="1"/>
  <c r="H13" i="4" s="1" a="1"/>
  <c r="H13" i="4" s="1"/>
  <c r="G55" i="1"/>
  <c r="G13" i="4" s="1" a="1"/>
  <c r="G13" i="4" s="1"/>
  <c r="F55" i="1"/>
  <c r="F13" i="4" s="1" a="1"/>
  <c r="F13" i="4" s="1"/>
  <c r="E55" i="1"/>
  <c r="E13" i="4" s="1" a="1"/>
  <c r="E13" i="4" s="1"/>
  <c r="S54" i="1"/>
  <c r="S12" i="4" s="1" a="1"/>
  <c r="S12" i="4" s="1"/>
  <c r="R54" i="1"/>
  <c r="R12" i="4" s="1" a="1"/>
  <c r="R12" i="4" s="1"/>
  <c r="Q54" i="1"/>
  <c r="Q12" i="4" s="1" a="1"/>
  <c r="Q12" i="4" s="1"/>
  <c r="P54" i="1"/>
  <c r="P12" i="4" s="1" a="1"/>
  <c r="P12" i="4" s="1"/>
  <c r="O54" i="1"/>
  <c r="N54" i="1"/>
  <c r="N12" i="4" s="1" a="1"/>
  <c r="N12" i="4" s="1"/>
  <c r="M54" i="1"/>
  <c r="M12" i="4" s="1" a="1"/>
  <c r="M12" i="4" s="1"/>
  <c r="L54" i="1"/>
  <c r="L12" i="4" s="1" a="1"/>
  <c r="L12" i="4" s="1"/>
  <c r="K54" i="1"/>
  <c r="K12" i="4" s="1" a="1"/>
  <c r="K12" i="4" s="1"/>
  <c r="J54" i="1"/>
  <c r="J12" i="4" s="1" a="1"/>
  <c r="J12" i="4" s="1"/>
  <c r="I54" i="1"/>
  <c r="I12" i="4" s="1" a="1"/>
  <c r="I12" i="4" s="1"/>
  <c r="H54" i="1"/>
  <c r="H12" i="4" s="1" a="1"/>
  <c r="H12" i="4" s="1"/>
  <c r="G54" i="1"/>
  <c r="G12" i="4" s="1" a="1"/>
  <c r="G12" i="4" s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N10" i="11" l="1"/>
  <c r="S10" i="11"/>
  <c r="R10" i="11"/>
  <c r="J10" i="11"/>
  <c r="K10" i="11"/>
  <c r="M10" i="11"/>
  <c r="L10" i="11"/>
  <c r="O10" i="11"/>
  <c r="G10" i="11"/>
  <c r="Q10" i="11"/>
  <c r="S161" i="3"/>
  <c r="D10" i="11"/>
  <c r="H10" i="11"/>
  <c r="I10" i="11"/>
  <c r="E10" i="11"/>
  <c r="J53" i="4" a="1"/>
  <c r="J53" i="4" s="1"/>
  <c r="J14" i="11" s="1"/>
  <c r="J17" i="4" a="1"/>
  <c r="J17" i="4" s="1"/>
  <c r="K138" i="4"/>
  <c r="L53" i="4" a="1"/>
  <c r="L53" i="4" s="1"/>
  <c r="L14" i="11" s="1"/>
  <c r="L17" i="4" a="1"/>
  <c r="L17" i="4" s="1"/>
  <c r="S21" i="14"/>
  <c r="S70" i="8" a="1"/>
  <c r="S70" i="8" s="1"/>
  <c r="S9" i="4" a="1"/>
  <c r="S9" i="4" s="1"/>
  <c r="S165" i="3"/>
  <c r="M53" i="4" a="1"/>
  <c r="M53" i="4" s="1"/>
  <c r="M14" i="11" s="1"/>
  <c r="M17" i="4" a="1"/>
  <c r="M17" i="4" s="1"/>
  <c r="F21" i="14"/>
  <c r="F70" i="8" a="1"/>
  <c r="F70" i="8" s="1"/>
  <c r="F165" i="3"/>
  <c r="F9" i="4" a="1"/>
  <c r="F9" i="4" s="1"/>
  <c r="R21" i="14"/>
  <c r="R70" i="8" a="1"/>
  <c r="R70" i="8" s="1"/>
  <c r="R9" i="4" a="1"/>
  <c r="R9" i="4" s="1"/>
  <c r="R165" i="3"/>
  <c r="F52" i="3"/>
  <c r="M138" i="4"/>
  <c r="N138" i="4"/>
  <c r="N139" i="4" s="1"/>
  <c r="E53" i="4" a="1"/>
  <c r="E53" i="4" s="1"/>
  <c r="E14" i="11" s="1"/>
  <c r="E17" i="4" a="1"/>
  <c r="E17" i="4" s="1"/>
  <c r="O53" i="4" a="1"/>
  <c r="O53" i="4" s="1"/>
  <c r="O14" i="11" s="1"/>
  <c r="O17" i="4" a="1"/>
  <c r="O17" i="4" s="1"/>
  <c r="H21" i="14"/>
  <c r="H70" i="8" a="1"/>
  <c r="H70" i="8" s="1"/>
  <c r="H9" i="4" a="1"/>
  <c r="H9" i="4" s="1"/>
  <c r="F161" i="3"/>
  <c r="H161" i="3"/>
  <c r="G21" i="14"/>
  <c r="G70" i="8" a="1"/>
  <c r="G70" i="8" s="1"/>
  <c r="G9" i="4" a="1"/>
  <c r="G9" i="4" s="1"/>
  <c r="G165" i="3"/>
  <c r="P138" i="4"/>
  <c r="G53" i="4" a="1"/>
  <c r="G53" i="4" s="1"/>
  <c r="G14" i="11" s="1"/>
  <c r="G17" i="4" a="1"/>
  <c r="G17" i="4" s="1"/>
  <c r="Q17" i="4" a="1"/>
  <c r="Q17" i="4" s="1"/>
  <c r="Q53" i="4" a="1"/>
  <c r="Q53" i="4" s="1"/>
  <c r="Q14" i="11" s="1"/>
  <c r="M29" i="3"/>
  <c r="P29" i="3"/>
  <c r="E29" i="3"/>
  <c r="O29" i="3"/>
  <c r="D29" i="3"/>
  <c r="L29" i="3"/>
  <c r="R29" i="3"/>
  <c r="G29" i="3"/>
  <c r="I29" i="3"/>
  <c r="F10" i="11"/>
  <c r="H53" i="4" a="1"/>
  <c r="H53" i="4" s="1"/>
  <c r="H14" i="11" s="1"/>
  <c r="H17" i="4" a="1"/>
  <c r="H17" i="4" s="1"/>
  <c r="R53" i="4" a="1"/>
  <c r="R53" i="4" s="1"/>
  <c r="R14" i="11" s="1"/>
  <c r="R17" i="4" a="1"/>
  <c r="R17" i="4" s="1"/>
  <c r="J161" i="3"/>
  <c r="D47" i="3"/>
  <c r="D176" i="3" s="1"/>
  <c r="J21" i="14"/>
  <c r="J70" i="8" a="1"/>
  <c r="J70" i="8" s="1"/>
  <c r="J9" i="4" a="1"/>
  <c r="J9" i="4" s="1"/>
  <c r="D52" i="11"/>
  <c r="G138" i="4"/>
  <c r="Q138" i="4"/>
  <c r="H138" i="4"/>
  <c r="R138" i="4"/>
  <c r="I53" i="4" a="1"/>
  <c r="I53" i="4" s="1"/>
  <c r="I14" i="11" s="1"/>
  <c r="I17" i="4" a="1"/>
  <c r="I17" i="4" s="1"/>
  <c r="S53" i="4" a="1"/>
  <c r="S53" i="4" s="1"/>
  <c r="S14" i="11" s="1"/>
  <c r="S17" i="4" a="1"/>
  <c r="S17" i="4" s="1"/>
  <c r="K29" i="3"/>
  <c r="R32" i="3"/>
  <c r="F40" i="3"/>
  <c r="D46" i="3"/>
  <c r="D49" i="3" s="1"/>
  <c r="D54" i="3"/>
  <c r="K69" i="3"/>
  <c r="O138" i="4"/>
  <c r="S138" i="4"/>
  <c r="M21" i="14"/>
  <c r="M70" i="8" a="1"/>
  <c r="M70" i="8" s="1"/>
  <c r="M165" i="3"/>
  <c r="M9" i="4" a="1"/>
  <c r="M9" i="4" s="1"/>
  <c r="D71" i="3"/>
  <c r="L138" i="4"/>
  <c r="I138" i="4"/>
  <c r="N69" i="3"/>
  <c r="N32" i="3"/>
  <c r="N161" i="3"/>
  <c r="J138" i="4"/>
  <c r="O140" i="4"/>
  <c r="P10" i="11"/>
  <c r="O21" i="14"/>
  <c r="O70" i="8" a="1"/>
  <c r="O70" i="8" s="1"/>
  <c r="O9" i="4" a="1"/>
  <c r="O9" i="4" s="1"/>
  <c r="O165" i="3"/>
  <c r="Q29" i="3"/>
  <c r="P69" i="3"/>
  <c r="H165" i="3"/>
  <c r="F17" i="4" a="1"/>
  <c r="F17" i="4" s="1"/>
  <c r="F53" i="4" a="1"/>
  <c r="F53" i="4" s="1"/>
  <c r="F14" i="11" s="1"/>
  <c r="L21" i="14"/>
  <c r="L70" i="8" a="1"/>
  <c r="L70" i="8" s="1"/>
  <c r="L9" i="4" a="1"/>
  <c r="L9" i="4" s="1"/>
  <c r="H32" i="3"/>
  <c r="J36" i="4"/>
  <c r="K53" i="4" a="1"/>
  <c r="K53" i="4" s="1"/>
  <c r="K14" i="11" s="1"/>
  <c r="R39" i="4" a="1"/>
  <c r="R39" i="4" s="1"/>
  <c r="G39" i="4" a="1"/>
  <c r="G39" i="4" s="1"/>
  <c r="S39" i="4" a="1"/>
  <c r="S39" i="4" s="1"/>
  <c r="M39" i="4" a="1"/>
  <c r="M39" i="4" s="1"/>
  <c r="L39" i="4" a="1"/>
  <c r="L39" i="4" s="1"/>
  <c r="F39" i="4" a="1"/>
  <c r="F39" i="4" s="1"/>
  <c r="N39" i="4" a="1"/>
  <c r="N39" i="4" s="1"/>
  <c r="H39" i="4" a="1"/>
  <c r="H39" i="4" s="1"/>
  <c r="Q39" i="4" a="1"/>
  <c r="Q39" i="4" s="1"/>
  <c r="E39" i="4" a="1"/>
  <c r="E39" i="4" s="1"/>
  <c r="D39" i="4"/>
  <c r="P39" i="4" a="1"/>
  <c r="P39" i="4" s="1"/>
  <c r="J39" i="4" a="1"/>
  <c r="J39" i="4" s="1"/>
  <c r="F138" i="4"/>
  <c r="I39" i="4" a="1"/>
  <c r="I39" i="4" s="1"/>
  <c r="P53" i="4" a="1"/>
  <c r="P53" i="4" s="1"/>
  <c r="P14" i="11" s="1"/>
  <c r="D48" i="11"/>
  <c r="D44" i="10"/>
  <c r="K39" i="4" a="1"/>
  <c r="K39" i="4" s="1"/>
  <c r="O39" i="4" a="1"/>
  <c r="O39" i="4" s="1"/>
  <c r="L139" i="4"/>
  <c r="L141" i="4" s="1"/>
  <c r="Q69" i="3"/>
  <c r="D9" i="10"/>
  <c r="D147" i="3"/>
  <c r="D149" i="3" s="1"/>
  <c r="D152" i="3" s="1"/>
  <c r="M139" i="4"/>
  <c r="M37" i="4" s="1"/>
  <c r="H140" i="4"/>
  <c r="F32" i="3"/>
  <c r="N17" i="4" a="1"/>
  <c r="N17" i="4" s="1"/>
  <c r="R139" i="4"/>
  <c r="R37" i="4" s="1"/>
  <c r="H139" i="4"/>
  <c r="H37" i="4" s="1"/>
  <c r="J139" i="4"/>
  <c r="J37" i="4" s="1"/>
  <c r="S139" i="4"/>
  <c r="S140" i="4" s="1"/>
  <c r="G139" i="4"/>
  <c r="G140" i="4" s="1"/>
  <c r="K139" i="4"/>
  <c r="K36" i="4" s="1"/>
  <c r="D139" i="4"/>
  <c r="D140" i="4" s="1"/>
  <c r="Q139" i="4"/>
  <c r="Q140" i="4" s="1"/>
  <c r="P139" i="4"/>
  <c r="P141" i="4" s="1"/>
  <c r="F139" i="4"/>
  <c r="F141" i="4" s="1"/>
  <c r="O139" i="4"/>
  <c r="O36" i="4" s="1"/>
  <c r="I139" i="4"/>
  <c r="I36" i="4" s="1"/>
  <c r="D10" i="10"/>
  <c r="D103" i="4"/>
  <c r="D106" i="4" s="1"/>
  <c r="D108" i="4" s="1"/>
  <c r="E105" i="5"/>
  <c r="E11" i="5"/>
  <c r="X52" i="5"/>
  <c r="X50" i="5"/>
  <c r="X51" i="5" s="1"/>
  <c r="E138" i="4"/>
  <c r="E139" i="4" s="1"/>
  <c r="Z52" i="5"/>
  <c r="M26" i="6"/>
  <c r="P254" i="6"/>
  <c r="P119" i="6" s="1"/>
  <c r="P126" i="6" s="1"/>
  <c r="AC11" i="14"/>
  <c r="AC18" i="14" s="1"/>
  <c r="AC114" i="7"/>
  <c r="F138" i="5"/>
  <c r="J26" i="6"/>
  <c r="J34" i="6"/>
  <c r="G39" i="6"/>
  <c r="G48" i="6"/>
  <c r="I238" i="6"/>
  <c r="I239" i="6"/>
  <c r="I255" i="6" s="1"/>
  <c r="I137" i="6" s="1"/>
  <c r="I141" i="6" s="1"/>
  <c r="I142" i="6" s="1"/>
  <c r="S238" i="6"/>
  <c r="S239" i="6"/>
  <c r="V51" i="5"/>
  <c r="V52" i="5"/>
  <c r="H48" i="6"/>
  <c r="W51" i="5"/>
  <c r="K48" i="6"/>
  <c r="J48" i="6"/>
  <c r="N34" i="6"/>
  <c r="N26" i="6"/>
  <c r="D243" i="6"/>
  <c r="D244" i="6"/>
  <c r="N243" i="6"/>
  <c r="N244" i="6"/>
  <c r="N253" i="6"/>
  <c r="N116" i="6" s="1"/>
  <c r="N122" i="6" s="1"/>
  <c r="N123" i="6" s="1"/>
  <c r="N125" i="6" s="1"/>
  <c r="D45" i="8"/>
  <c r="D46" i="8" s="1"/>
  <c r="D68" i="8"/>
  <c r="D48" i="5" s="1"/>
  <c r="D10" i="8"/>
  <c r="D25" i="3" s="1" a="1"/>
  <c r="D25" i="3" s="1"/>
  <c r="D204" i="3" s="1"/>
  <c r="D35" i="6" a="1"/>
  <c r="D35" i="6" s="1"/>
  <c r="E30" i="7"/>
  <c r="E60" i="5"/>
  <c r="W50" i="5"/>
  <c r="S48" i="6"/>
  <c r="S39" i="6"/>
  <c r="M57" i="6"/>
  <c r="M20" i="6"/>
  <c r="M33" i="6" s="1"/>
  <c r="M94" i="6"/>
  <c r="M24" i="6"/>
  <c r="R215" i="6"/>
  <c r="R35" i="6" a="1"/>
  <c r="R35" i="6" s="1"/>
  <c r="D34" i="6"/>
  <c r="D26" i="11"/>
  <c r="D68" i="11"/>
  <c r="D65" i="10"/>
  <c r="D88" i="11"/>
  <c r="D85" i="10"/>
  <c r="D94" i="6"/>
  <c r="D20" i="6"/>
  <c r="D33" i="6" s="1"/>
  <c r="D57" i="6"/>
  <c r="N57" i="6"/>
  <c r="N20" i="6"/>
  <c r="N33" i="6" s="1"/>
  <c r="N94" i="6"/>
  <c r="G26" i="6"/>
  <c r="D40" i="4"/>
  <c r="Z51" i="5"/>
  <c r="W52" i="5"/>
  <c r="E20" i="6"/>
  <c r="E33" i="6" s="1"/>
  <c r="E94" i="6"/>
  <c r="E24" i="6"/>
  <c r="O20" i="6"/>
  <c r="O33" i="6" s="1"/>
  <c r="O57" i="6"/>
  <c r="O94" i="6"/>
  <c r="N24" i="6"/>
  <c r="H26" i="6"/>
  <c r="K215" i="6"/>
  <c r="K35" i="6" a="1"/>
  <c r="K35" i="6" s="1"/>
  <c r="K254" i="6"/>
  <c r="K119" i="6" s="1"/>
  <c r="K126" i="6" s="1"/>
  <c r="L255" i="6"/>
  <c r="L137" i="6" s="1"/>
  <c r="L141" i="6" s="1"/>
  <c r="L142" i="6" s="1"/>
  <c r="I28" i="3"/>
  <c r="D41" i="11"/>
  <c r="H53" i="7"/>
  <c r="H45" i="7"/>
  <c r="AB52" i="5"/>
  <c r="AB50" i="5"/>
  <c r="AB51" i="5" s="1"/>
  <c r="G94" i="6"/>
  <c r="F24" i="6"/>
  <c r="F20" i="6"/>
  <c r="F33" i="6" s="1"/>
  <c r="P94" i="6"/>
  <c r="Q57" i="6"/>
  <c r="P20" i="6"/>
  <c r="P33" i="6" s="1"/>
  <c r="O24" i="6"/>
  <c r="I26" i="6"/>
  <c r="R34" i="6"/>
  <c r="G57" i="6"/>
  <c r="F94" i="6"/>
  <c r="F215" i="6"/>
  <c r="F35" i="6" a="1"/>
  <c r="F35" i="6" s="1"/>
  <c r="D81" i="10"/>
  <c r="D89" i="11" s="1"/>
  <c r="D65" i="5"/>
  <c r="G53" i="7"/>
  <c r="G45" i="7"/>
  <c r="E26" i="6"/>
  <c r="AA51" i="5"/>
  <c r="I48" i="6"/>
  <c r="G189" i="6"/>
  <c r="H229" i="6"/>
  <c r="H255" i="6" s="1"/>
  <c r="H137" i="6" s="1"/>
  <c r="H141" i="6" s="1"/>
  <c r="H142" i="6" s="1"/>
  <c r="H228" i="6"/>
  <c r="H250" i="6"/>
  <c r="H252" i="6" s="1"/>
  <c r="R229" i="6"/>
  <c r="R250" i="6"/>
  <c r="R252" i="6" s="1"/>
  <c r="R228" i="6"/>
  <c r="N255" i="6"/>
  <c r="N137" i="6" s="1"/>
  <c r="N141" i="6" s="1"/>
  <c r="N142" i="6" s="1"/>
  <c r="K253" i="6"/>
  <c r="K116" i="6" s="1"/>
  <c r="K122" i="6" s="1"/>
  <c r="K123" i="6" s="1"/>
  <c r="K125" i="6" s="1"/>
  <c r="K234" i="6"/>
  <c r="K255" i="6" s="1"/>
  <c r="K137" i="6" s="1"/>
  <c r="K141" i="6" s="1"/>
  <c r="K142" i="6" s="1"/>
  <c r="K250" i="6"/>
  <c r="K252" i="6" s="1"/>
  <c r="L189" i="6"/>
  <c r="D53" i="7"/>
  <c r="D45" i="7"/>
  <c r="D70" i="5"/>
  <c r="L26" i="6"/>
  <c r="R189" i="6"/>
  <c r="Q26" i="6"/>
  <c r="Q215" i="6" s="1"/>
  <c r="Q34" i="6"/>
  <c r="D39" i="7"/>
  <c r="D38" i="7"/>
  <c r="F55" i="7" s="1"/>
  <c r="F53" i="7"/>
  <c r="F45" i="7"/>
  <c r="O233" i="6"/>
  <c r="K233" i="6"/>
  <c r="D265" i="6"/>
  <c r="AC52" i="5"/>
  <c r="AC51" i="5" s="1"/>
  <c r="R20" i="6"/>
  <c r="R33" i="6" s="1"/>
  <c r="L94" i="6"/>
  <c r="L57" i="6"/>
  <c r="Q48" i="6"/>
  <c r="F189" i="6"/>
  <c r="G250" i="6"/>
  <c r="G252" i="6" s="1"/>
  <c r="G229" i="6"/>
  <c r="G255" i="6" s="1"/>
  <c r="G137" i="6" s="1"/>
  <c r="G141" i="6" s="1"/>
  <c r="G142" i="6" s="1"/>
  <c r="G228" i="6"/>
  <c r="Q252" i="6"/>
  <c r="Q239" i="6"/>
  <c r="H253" i="6"/>
  <c r="H116" i="6" s="1"/>
  <c r="H122" i="6" s="1"/>
  <c r="H123" i="6" s="1"/>
  <c r="H125" i="6" s="1"/>
  <c r="H248" i="6"/>
  <c r="R249" i="6"/>
  <c r="R248" i="6"/>
  <c r="G56" i="7"/>
  <c r="G73" i="7" s="1"/>
  <c r="E20" i="9"/>
  <c r="E21" i="9" s="1"/>
  <c r="F20" i="9"/>
  <c r="F21" i="9" s="1"/>
  <c r="E107" i="8" a="1"/>
  <c r="E107" i="8" s="1"/>
  <c r="R42" i="10"/>
  <c r="R51" i="11" s="1"/>
  <c r="R108" i="7"/>
  <c r="I254" i="6"/>
  <c r="I119" i="6" s="1"/>
  <c r="I126" i="6" s="1"/>
  <c r="Q255" i="6"/>
  <c r="Q137" i="6" s="1"/>
  <c r="Q141" i="6" s="1"/>
  <c r="Q142" i="6" s="1"/>
  <c r="L243" i="6"/>
  <c r="L244" i="6"/>
  <c r="S42" i="10"/>
  <c r="S51" i="11" s="1"/>
  <c r="S108" i="7"/>
  <c r="R24" i="6"/>
  <c r="J254" i="6"/>
  <c r="J119" i="6" s="1"/>
  <c r="J126" i="6" s="1"/>
  <c r="D253" i="6"/>
  <c r="D116" i="6" s="1"/>
  <c r="D122" i="6" s="1"/>
  <c r="D123" i="6" s="1"/>
  <c r="D125" i="6" s="1"/>
  <c r="M244" i="6"/>
  <c r="M255" i="6" s="1"/>
  <c r="M137" i="6" s="1"/>
  <c r="M141" i="6" s="1"/>
  <c r="M142" i="6" s="1"/>
  <c r="M243" i="6"/>
  <c r="N10" i="8"/>
  <c r="N25" i="3" s="1" a="1"/>
  <c r="N25" i="3" s="1"/>
  <c r="N204" i="3" s="1"/>
  <c r="G45" i="8"/>
  <c r="G46" i="8" s="1"/>
  <c r="G10" i="8"/>
  <c r="G25" i="3" s="1" a="1"/>
  <c r="G25" i="3" s="1"/>
  <c r="G204" i="3" s="1"/>
  <c r="Q45" i="8"/>
  <c r="Q46" i="8" s="1"/>
  <c r="Q10" i="8"/>
  <c r="Q25" i="3" s="1" a="1"/>
  <c r="Q25" i="3" s="1"/>
  <c r="Q204" i="3" s="1"/>
  <c r="Q35" i="6" a="1"/>
  <c r="Q35" i="6" s="1"/>
  <c r="H24" i="6"/>
  <c r="H39" i="6" s="1"/>
  <c r="M188" i="6"/>
  <c r="M189" i="6" s="1"/>
  <c r="J188" i="6"/>
  <c r="J189" i="6" s="1"/>
  <c r="D189" i="6"/>
  <c r="I188" i="6"/>
  <c r="I189" i="6" s="1"/>
  <c r="S188" i="6"/>
  <c r="S189" i="6" s="1"/>
  <c r="H188" i="6"/>
  <c r="H189" i="6" s="1"/>
  <c r="K188" i="6"/>
  <c r="K189" i="6" s="1"/>
  <c r="P188" i="6"/>
  <c r="P189" i="6" s="1"/>
  <c r="O188" i="6"/>
  <c r="O189" i="6" s="1"/>
  <c r="N188" i="6"/>
  <c r="N189" i="6" s="1"/>
  <c r="Q188" i="6"/>
  <c r="Q189" i="6" s="1"/>
  <c r="O25" i="6"/>
  <c r="E254" i="6"/>
  <c r="E119" i="6" s="1"/>
  <c r="E126" i="6" s="1"/>
  <c r="Q228" i="6"/>
  <c r="E253" i="6"/>
  <c r="E116" i="6" s="1"/>
  <c r="E122" i="6" s="1"/>
  <c r="E244" i="6"/>
  <c r="E255" i="6" s="1"/>
  <c r="E137" i="6" s="1"/>
  <c r="E141" i="6" s="1"/>
  <c r="E142" i="6" s="1"/>
  <c r="O243" i="6"/>
  <c r="O244" i="6"/>
  <c r="O255" i="6" s="1"/>
  <c r="O137" i="6" s="1"/>
  <c r="O141" i="6" s="1"/>
  <c r="O142" i="6" s="1"/>
  <c r="F249" i="6"/>
  <c r="F248" i="6"/>
  <c r="P248" i="6"/>
  <c r="M253" i="6"/>
  <c r="M116" i="6" s="1"/>
  <c r="M122" i="6" s="1"/>
  <c r="E56" i="7"/>
  <c r="E73" i="7" s="1"/>
  <c r="K94" i="6"/>
  <c r="K24" i="6"/>
  <c r="K39" i="6" s="1"/>
  <c r="K57" i="6"/>
  <c r="R57" i="6"/>
  <c r="E188" i="6"/>
  <c r="E189" i="6" s="1"/>
  <c r="F229" i="6"/>
  <c r="F228" i="6"/>
  <c r="P229" i="6"/>
  <c r="P250" i="6"/>
  <c r="P252" i="6" s="1"/>
  <c r="D255" i="6"/>
  <c r="D137" i="6" s="1"/>
  <c r="D141" i="6" s="1"/>
  <c r="D142" i="6" s="1"/>
  <c r="H249" i="6"/>
  <c r="F56" i="7"/>
  <c r="F73" i="7" s="1"/>
  <c r="O250" i="6"/>
  <c r="O252" i="6" s="1"/>
  <c r="O228" i="6"/>
  <c r="I253" i="6"/>
  <c r="I116" i="6" s="1"/>
  <c r="I122" i="6" s="1"/>
  <c r="J123" i="6" s="1"/>
  <c r="J125" i="6" s="1"/>
  <c r="S253" i="6"/>
  <c r="S116" i="6" s="1"/>
  <c r="S122" i="6" s="1"/>
  <c r="S123" i="6" s="1"/>
  <c r="S125" i="6" s="1"/>
  <c r="M83" i="7"/>
  <c r="P83" i="7"/>
  <c r="F83" i="7"/>
  <c r="E46" i="7"/>
  <c r="L83" i="7"/>
  <c r="H46" i="7"/>
  <c r="K83" i="7"/>
  <c r="G46" i="7"/>
  <c r="I83" i="7"/>
  <c r="H54" i="7"/>
  <c r="D46" i="7"/>
  <c r="N83" i="7"/>
  <c r="O83" i="7"/>
  <c r="J83" i="7"/>
  <c r="H83" i="7"/>
  <c r="Q83" i="7"/>
  <c r="D34" i="7"/>
  <c r="D36" i="7" s="1"/>
  <c r="D33" i="7"/>
  <c r="D35" i="7" s="1"/>
  <c r="F46" i="7"/>
  <c r="D54" i="7"/>
  <c r="G83" i="7"/>
  <c r="J255" i="6"/>
  <c r="J137" i="6" s="1"/>
  <c r="J141" i="6" s="1"/>
  <c r="J142" i="6" s="1"/>
  <c r="F234" i="6"/>
  <c r="F253" i="6"/>
  <c r="F116" i="6" s="1"/>
  <c r="F122" i="6" s="1"/>
  <c r="F123" i="6" s="1"/>
  <c r="F125" i="6" s="1"/>
  <c r="F233" i="6"/>
  <c r="P234" i="6"/>
  <c r="P233" i="6"/>
  <c r="S248" i="6"/>
  <c r="S249" i="6"/>
  <c r="I249" i="6"/>
  <c r="M250" i="6"/>
  <c r="M252" i="6" s="1"/>
  <c r="T11" i="14"/>
  <c r="T114" i="7"/>
  <c r="Q94" i="6"/>
  <c r="M254" i="6"/>
  <c r="M119" i="6" s="1"/>
  <c r="M126" i="6" s="1"/>
  <c r="G253" i="6"/>
  <c r="G116" i="6" s="1"/>
  <c r="G122" i="6" s="1"/>
  <c r="G233" i="6"/>
  <c r="Q233" i="6"/>
  <c r="Q253" i="6"/>
  <c r="Q116" i="6" s="1"/>
  <c r="Q122" i="6" s="1"/>
  <c r="Q123" i="6" s="1"/>
  <c r="Q125" i="6" s="1"/>
  <c r="J20" i="11"/>
  <c r="J21" i="11" s="1"/>
  <c r="J107" i="11" s="1"/>
  <c r="J12" i="10"/>
  <c r="D83" i="7"/>
  <c r="U11" i="14"/>
  <c r="U18" i="14" s="1"/>
  <c r="U114" i="7"/>
  <c r="I94" i="6"/>
  <c r="I57" i="6"/>
  <c r="S94" i="6"/>
  <c r="S57" i="6"/>
  <c r="D250" i="6"/>
  <c r="D252" i="6" s="1"/>
  <c r="D228" i="6"/>
  <c r="N228" i="6"/>
  <c r="N250" i="6"/>
  <c r="N252" i="6" s="1"/>
  <c r="R253" i="6"/>
  <c r="R116" i="6" s="1"/>
  <c r="R122" i="6" s="1"/>
  <c r="R233" i="6"/>
  <c r="S233" i="6"/>
  <c r="S254" i="6" s="1"/>
  <c r="S119" i="6" s="1"/>
  <c r="S126" i="6" s="1"/>
  <c r="S234" i="6"/>
  <c r="S255" i="6" s="1"/>
  <c r="S137" i="6" s="1"/>
  <c r="S141" i="6" s="1"/>
  <c r="S142" i="6" s="1"/>
  <c r="K249" i="6"/>
  <c r="K20" i="11"/>
  <c r="K21" i="11" s="1"/>
  <c r="K107" i="11" s="1"/>
  <c r="K12" i="10"/>
  <c r="E83" i="7"/>
  <c r="V11" i="14"/>
  <c r="V18" i="14" s="1"/>
  <c r="V114" i="7"/>
  <c r="L228" i="6"/>
  <c r="L254" i="6" s="1"/>
  <c r="L119" i="6" s="1"/>
  <c r="L126" i="6" s="1"/>
  <c r="I250" i="6"/>
  <c r="I252" i="6" s="1"/>
  <c r="S250" i="6"/>
  <c r="S252" i="6" s="1"/>
  <c r="L253" i="6"/>
  <c r="L116" i="6" s="1"/>
  <c r="L122" i="6" s="1"/>
  <c r="L123" i="6" s="1"/>
  <c r="L125" i="6" s="1"/>
  <c r="L233" i="6"/>
  <c r="D233" i="6"/>
  <c r="L248" i="6"/>
  <c r="D248" i="6"/>
  <c r="M20" i="11"/>
  <c r="M21" i="11" s="1"/>
  <c r="M107" i="11" s="1"/>
  <c r="M12" i="10"/>
  <c r="M106" i="7"/>
  <c r="D60" i="7"/>
  <c r="E20" i="11"/>
  <c r="E21" i="11" s="1"/>
  <c r="E107" i="11" s="1"/>
  <c r="E12" i="10"/>
  <c r="O20" i="11"/>
  <c r="O21" i="11" s="1"/>
  <c r="O107" i="11" s="1"/>
  <c r="O12" i="10"/>
  <c r="O106" i="7"/>
  <c r="D64" i="7" a="1"/>
  <c r="D64" i="7" s="1"/>
  <c r="H20" i="11"/>
  <c r="H21" i="11" s="1"/>
  <c r="H107" i="11" s="1"/>
  <c r="H12" i="10"/>
  <c r="R20" i="11"/>
  <c r="R21" i="11" s="1"/>
  <c r="R107" i="11" s="1"/>
  <c r="R12" i="10"/>
  <c r="AB11" i="14"/>
  <c r="AB18" i="14" s="1"/>
  <c r="AB114" i="7"/>
  <c r="O20" i="9"/>
  <c r="O21" i="9" s="1"/>
  <c r="P20" i="9"/>
  <c r="P21" i="9" s="1"/>
  <c r="O107" i="8" a="1"/>
  <c r="O107" i="8" s="1"/>
  <c r="G64" i="7" a="1"/>
  <c r="G64" i="7" s="1"/>
  <c r="H65" i="7" a="1"/>
  <c r="H65" i="7" s="1"/>
  <c r="D20" i="11"/>
  <c r="D21" i="11" s="1"/>
  <c r="D107" i="11" s="1"/>
  <c r="D12" i="10"/>
  <c r="N20" i="11"/>
  <c r="N21" i="11" s="1"/>
  <c r="N107" i="11" s="1"/>
  <c r="N12" i="10"/>
  <c r="D54" i="8"/>
  <c r="D12" i="8"/>
  <c r="D83" i="8" s="1"/>
  <c r="F45" i="8"/>
  <c r="F46" i="8" s="1"/>
  <c r="F10" i="8"/>
  <c r="F25" i="3" s="1" a="1"/>
  <c r="F25" i="3" s="1"/>
  <c r="F204" i="3" s="1"/>
  <c r="P45" i="8"/>
  <c r="P46" i="8" s="1"/>
  <c r="P10" i="8"/>
  <c r="P25" i="3" s="1" a="1"/>
  <c r="P25" i="3" s="1"/>
  <c r="P204" i="3" s="1"/>
  <c r="F20" i="11"/>
  <c r="F21" i="11" s="1"/>
  <c r="F107" i="11" s="1"/>
  <c r="F12" i="10"/>
  <c r="F106" i="7"/>
  <c r="P20" i="11"/>
  <c r="P21" i="11" s="1"/>
  <c r="P107" i="11" s="1"/>
  <c r="P12" i="10"/>
  <c r="P106" i="7"/>
  <c r="K107" i="8" a="1"/>
  <c r="K107" i="8" s="1"/>
  <c r="D27" i="10"/>
  <c r="D36" i="11" s="1"/>
  <c r="D54" i="10"/>
  <c r="N61" i="7"/>
  <c r="D61" i="7"/>
  <c r="M61" i="7"/>
  <c r="D65" i="7" a="1"/>
  <c r="D65" i="7" s="1"/>
  <c r="G20" i="11"/>
  <c r="G21" i="11" s="1"/>
  <c r="G107" i="11" s="1"/>
  <c r="G12" i="10"/>
  <c r="Q20" i="11"/>
  <c r="Q21" i="11" s="1"/>
  <c r="Q107" i="11" s="1"/>
  <c r="Q12" i="10"/>
  <c r="I45" i="8"/>
  <c r="I46" i="8" s="1"/>
  <c r="I10" i="8"/>
  <c r="I25" i="3" s="1" a="1"/>
  <c r="I25" i="3" s="1"/>
  <c r="I204" i="3" s="1"/>
  <c r="S45" i="8"/>
  <c r="S46" i="8" s="1"/>
  <c r="S10" i="8"/>
  <c r="S25" i="3" s="1" a="1"/>
  <c r="S25" i="3" s="1"/>
  <c r="S204" i="3" s="1"/>
  <c r="L12" i="10"/>
  <c r="L20" i="11"/>
  <c r="L21" i="11" s="1"/>
  <c r="L107" i="11" s="1"/>
  <c r="L20" i="9"/>
  <c r="L21" i="9" s="1"/>
  <c r="I20" i="11"/>
  <c r="I21" i="11" s="1"/>
  <c r="I107" i="11" s="1"/>
  <c r="I12" i="10"/>
  <c r="S20" i="11"/>
  <c r="S21" i="11" s="1"/>
  <c r="S107" i="11" s="1"/>
  <c r="S12" i="10"/>
  <c r="D63" i="8"/>
  <c r="J20" i="9"/>
  <c r="J21" i="9" s="1"/>
  <c r="I20" i="9"/>
  <c r="I21" i="9" s="1"/>
  <c r="H52" i="9"/>
  <c r="I52" i="9"/>
  <c r="O52" i="9"/>
  <c r="E52" i="9"/>
  <c r="N52" i="9"/>
  <c r="D52" i="9"/>
  <c r="M52" i="9"/>
  <c r="L52" i="9"/>
  <c r="K52" i="9"/>
  <c r="J52" i="9"/>
  <c r="Q52" i="9"/>
  <c r="G52" i="9"/>
  <c r="R52" i="9"/>
  <c r="S52" i="9"/>
  <c r="M20" i="9"/>
  <c r="M21" i="9" s="1"/>
  <c r="F15" i="12"/>
  <c r="F13" i="10"/>
  <c r="F22" i="11" s="1"/>
  <c r="S21" i="10"/>
  <c r="S30" i="11" s="1"/>
  <c r="S15" i="12"/>
  <c r="E117" i="10"/>
  <c r="D122" i="10"/>
  <c r="D123" i="10" s="1"/>
  <c r="D13" i="10"/>
  <c r="D22" i="11" s="1"/>
  <c r="F21" i="10"/>
  <c r="F30" i="11" s="1"/>
  <c r="J101" i="10"/>
  <c r="E126" i="10"/>
  <c r="B122" i="10"/>
  <c r="E122" i="10" s="1"/>
  <c r="P101" i="10"/>
  <c r="B123" i="10"/>
  <c r="E116" i="10"/>
  <c r="E101" i="10"/>
  <c r="AB17" i="14"/>
  <c r="Y28" i="14"/>
  <c r="Z16" i="14"/>
  <c r="X28" i="14"/>
  <c r="Z17" i="14"/>
  <c r="AB12" i="14"/>
  <c r="AB26" i="14" s="1"/>
  <c r="AB28" i="14" s="1"/>
  <c r="AB15" i="14"/>
  <c r="AC28" i="14"/>
  <c r="Y16" i="14"/>
  <c r="T17" i="14"/>
  <c r="AA28" i="14"/>
  <c r="X17" i="14"/>
  <c r="U16" i="14"/>
  <c r="X15" i="14"/>
  <c r="Y15" i="14"/>
  <c r="T16" i="14"/>
  <c r="Z15" i="14"/>
  <c r="W17" i="14"/>
  <c r="T12" i="14"/>
  <c r="T26" i="14" s="1"/>
  <c r="T28" i="14" s="1"/>
  <c r="U17" i="14"/>
  <c r="T15" i="14"/>
  <c r="U15" i="14"/>
  <c r="V17" i="14"/>
  <c r="V15" i="14"/>
  <c r="J21" i="13"/>
  <c r="N22" i="13"/>
  <c r="R23" i="13"/>
  <c r="Q21" i="13"/>
  <c r="K22" i="13"/>
  <c r="O23" i="13"/>
  <c r="S24" i="13"/>
  <c r="B81" i="13" s="1"/>
  <c r="H21" i="13"/>
  <c r="R21" i="13"/>
  <c r="L22" i="13"/>
  <c r="P23" i="13"/>
  <c r="S21" i="13"/>
  <c r="M22" i="13"/>
  <c r="E140" i="4" l="1"/>
  <c r="E37" i="4"/>
  <c r="E36" i="4"/>
  <c r="E141" i="4"/>
  <c r="N140" i="4"/>
  <c r="N36" i="4"/>
  <c r="N37" i="4"/>
  <c r="N141" i="4"/>
  <c r="I190" i="6"/>
  <c r="S190" i="6"/>
  <c r="M190" i="6"/>
  <c r="O190" i="6"/>
  <c r="S18" i="11"/>
  <c r="S132" i="6"/>
  <c r="S128" i="6"/>
  <c r="S131" i="6"/>
  <c r="E62" i="8"/>
  <c r="D64" i="8"/>
  <c r="N28" i="10"/>
  <c r="N37" i="11" s="1"/>
  <c r="J28" i="10"/>
  <c r="J37" i="11" s="1"/>
  <c r="T18" i="14"/>
  <c r="J190" i="6"/>
  <c r="L42" i="10"/>
  <c r="L51" i="11" s="1"/>
  <c r="L108" i="7"/>
  <c r="O254" i="6"/>
  <c r="O119" i="6" s="1"/>
  <c r="O126" i="6" s="1"/>
  <c r="P255" i="6"/>
  <c r="P137" i="6" s="1"/>
  <c r="P141" i="6" s="1"/>
  <c r="P142" i="6" s="1"/>
  <c r="E18" i="11"/>
  <c r="E132" i="6"/>
  <c r="E128" i="6"/>
  <c r="G254" i="6"/>
  <c r="G119" i="6" s="1"/>
  <c r="G126" i="6" s="1"/>
  <c r="K190" i="6"/>
  <c r="O123" i="6"/>
  <c r="O125" i="6" s="1"/>
  <c r="M215" i="6"/>
  <c r="M35" i="6" a="1"/>
  <c r="M35" i="6" s="1"/>
  <c r="D52" i="10"/>
  <c r="D14" i="10"/>
  <c r="E74" i="9" a="1"/>
  <c r="E74" i="9" s="1"/>
  <c r="D74" i="9" a="1"/>
  <c r="D74" i="9" s="1"/>
  <c r="D25" i="10"/>
  <c r="D34" i="11" s="1"/>
  <c r="D36" i="4"/>
  <c r="P21" i="14"/>
  <c r="P70" i="8" a="1"/>
  <c r="P70" i="8" s="1"/>
  <c r="P165" i="3"/>
  <c r="P9" i="4" a="1"/>
  <c r="P9" i="4" s="1"/>
  <c r="R141" i="4"/>
  <c r="L161" i="3"/>
  <c r="R36" i="4"/>
  <c r="K37" i="4"/>
  <c r="K100" i="5" s="1"/>
  <c r="Q28" i="10"/>
  <c r="Q37" i="11" s="1"/>
  <c r="D62" i="11"/>
  <c r="D70" i="10"/>
  <c r="D78" i="11" s="1"/>
  <c r="H42" i="10"/>
  <c r="H51" i="11" s="1"/>
  <c r="H108" i="7"/>
  <c r="H55" i="7"/>
  <c r="H56" i="7"/>
  <c r="H73" i="7" s="1"/>
  <c r="E84" i="7"/>
  <c r="E120" i="7"/>
  <c r="E49" i="7"/>
  <c r="J64" i="7" s="1" a="1"/>
  <c r="J64" i="7" s="1"/>
  <c r="E48" i="7"/>
  <c r="E72" i="7" s="1"/>
  <c r="E47" i="7"/>
  <c r="F254" i="6"/>
  <c r="F119" i="6" s="1"/>
  <c r="F126" i="6" s="1"/>
  <c r="M123" i="6"/>
  <c r="M125" i="6" s="1"/>
  <c r="O26" i="6"/>
  <c r="O34" i="6"/>
  <c r="G55" i="7"/>
  <c r="G190" i="6"/>
  <c r="H215" i="6"/>
  <c r="H35" i="6" a="1"/>
  <c r="H35" i="6" s="1"/>
  <c r="J35" i="6" a="1"/>
  <c r="J35" i="6" s="1"/>
  <c r="J215" i="6"/>
  <c r="H36" i="4"/>
  <c r="F118" i="10"/>
  <c r="G118" i="10" s="1"/>
  <c r="D53" i="11"/>
  <c r="H141" i="4"/>
  <c r="D191" i="3"/>
  <c r="D34" i="3"/>
  <c r="D70" i="3"/>
  <c r="D161" i="3"/>
  <c r="D35" i="3"/>
  <c r="R140" i="4"/>
  <c r="K141" i="4"/>
  <c r="M28" i="10"/>
  <c r="M37" i="11" s="1"/>
  <c r="G42" i="10"/>
  <c r="G51" i="11" s="1"/>
  <c r="G108" i="7"/>
  <c r="I42" i="10"/>
  <c r="I51" i="11" s="1"/>
  <c r="I108" i="7"/>
  <c r="F255" i="6"/>
  <c r="F137" i="6" s="1"/>
  <c r="F141" i="6" s="1"/>
  <c r="F142" i="6" s="1"/>
  <c r="Q190" i="6"/>
  <c r="L215" i="6"/>
  <c r="L35" i="6" a="1"/>
  <c r="L35" i="6" s="1"/>
  <c r="N190" i="6"/>
  <c r="F48" i="6"/>
  <c r="F39" i="6"/>
  <c r="E40" i="4"/>
  <c r="D41" i="4"/>
  <c r="D93" i="11"/>
  <c r="F127" i="10"/>
  <c r="G127" i="10" s="1"/>
  <c r="Q21" i="14"/>
  <c r="Q70" i="8" a="1"/>
  <c r="Q70" i="8" s="1"/>
  <c r="Q9" i="4" a="1"/>
  <c r="Q9" i="4" s="1"/>
  <c r="Q165" i="3"/>
  <c r="O141" i="4"/>
  <c r="Q161" i="3"/>
  <c r="N21" i="14"/>
  <c r="N70" i="8" a="1"/>
  <c r="N70" i="8" s="1"/>
  <c r="N165" i="3"/>
  <c r="N9" i="4" a="1"/>
  <c r="N9" i="4" s="1"/>
  <c r="I37" i="4"/>
  <c r="I100" i="5" s="1"/>
  <c r="L36" i="4"/>
  <c r="O161" i="3"/>
  <c r="P36" i="4"/>
  <c r="S37" i="4"/>
  <c r="J15" i="12"/>
  <c r="J21" i="10"/>
  <c r="J30" i="11" s="1"/>
  <c r="J13" i="10"/>
  <c r="J22" i="11" s="1"/>
  <c r="L28" i="10"/>
  <c r="L37" i="11" s="1"/>
  <c r="S28" i="10"/>
  <c r="S37" i="11" s="1"/>
  <c r="D28" i="10"/>
  <c r="D37" i="11" s="1"/>
  <c r="L18" i="11"/>
  <c r="L128" i="6"/>
  <c r="L131" i="6"/>
  <c r="L132" i="6"/>
  <c r="D101" i="7"/>
  <c r="E101" i="7" s="1" a="1"/>
  <c r="E101" i="7" s="1"/>
  <c r="F101" i="7" s="1" a="1"/>
  <c r="F101" i="7" s="1"/>
  <c r="G101" i="7" s="1" a="1"/>
  <c r="G101" i="7" s="1"/>
  <c r="H101" i="7" s="1" a="1"/>
  <c r="H101" i="7" s="1"/>
  <c r="D55" i="7"/>
  <c r="D56" i="7"/>
  <c r="D73" i="7" s="1"/>
  <c r="J42" i="10"/>
  <c r="J51" i="11" s="1"/>
  <c r="J108" i="7"/>
  <c r="G84" i="7"/>
  <c r="G120" i="7"/>
  <c r="G49" i="7"/>
  <c r="L64" i="7" s="1" a="1"/>
  <c r="L64" i="7" s="1"/>
  <c r="G48" i="7"/>
  <c r="G72" i="7" s="1"/>
  <c r="G47" i="7"/>
  <c r="G103" i="7" s="1"/>
  <c r="I18" i="11"/>
  <c r="I132" i="6"/>
  <c r="I128" i="6"/>
  <c r="R254" i="6"/>
  <c r="R119" i="6" s="1"/>
  <c r="R126" i="6" s="1"/>
  <c r="G215" i="6"/>
  <c r="G35" i="6" a="1"/>
  <c r="G35" i="6" s="1"/>
  <c r="M48" i="6"/>
  <c r="M39" i="6"/>
  <c r="O37" i="4"/>
  <c r="O100" i="5" s="1"/>
  <c r="I141" i="4"/>
  <c r="K21" i="14"/>
  <c r="K70" i="8" a="1"/>
  <c r="K70" i="8" s="1"/>
  <c r="K165" i="3"/>
  <c r="K9" i="4" a="1"/>
  <c r="K9" i="4" s="1"/>
  <c r="M140" i="4"/>
  <c r="L140" i="4"/>
  <c r="G141" i="4"/>
  <c r="E34" i="3"/>
  <c r="E43" i="3" s="1" a="1"/>
  <c r="E43" i="3" s="1"/>
  <c r="E191" i="3"/>
  <c r="E192" i="3" s="1"/>
  <c r="E161" i="3"/>
  <c r="E35" i="3"/>
  <c r="E53" i="3" s="1" a="1"/>
  <c r="E53" i="3" s="1"/>
  <c r="E70" i="3"/>
  <c r="P140" i="4"/>
  <c r="S141" i="4"/>
  <c r="G28" i="10"/>
  <c r="G37" i="11" s="1"/>
  <c r="AB16" i="14"/>
  <c r="F48" i="7"/>
  <c r="F72" i="7" s="1"/>
  <c r="F47" i="7"/>
  <c r="F49" i="7"/>
  <c r="K64" i="7" s="1" a="1"/>
  <c r="K64" i="7" s="1"/>
  <c r="F120" i="7"/>
  <c r="F84" i="7"/>
  <c r="J18" i="11"/>
  <c r="J132" i="6"/>
  <c r="J131" i="6"/>
  <c r="J128" i="6"/>
  <c r="I69" i="3"/>
  <c r="I32" i="3"/>
  <c r="F125" i="10"/>
  <c r="G125" i="10" s="1"/>
  <c r="D73" i="11"/>
  <c r="D109" i="10"/>
  <c r="J141" i="4"/>
  <c r="D56" i="3"/>
  <c r="D177" i="3"/>
  <c r="M36" i="4"/>
  <c r="G37" i="4"/>
  <c r="P161" i="3"/>
  <c r="S36" i="4"/>
  <c r="D37" i="4"/>
  <c r="M141" i="4"/>
  <c r="F36" i="4"/>
  <c r="P37" i="4"/>
  <c r="Q141" i="4"/>
  <c r="E15" i="12"/>
  <c r="E21" i="10"/>
  <c r="E30" i="11" s="1"/>
  <c r="E13" i="10"/>
  <c r="E22" i="11" s="1"/>
  <c r="I28" i="10"/>
  <c r="I37" i="11" s="1"/>
  <c r="P28" i="10"/>
  <c r="P37" i="11" s="1"/>
  <c r="O28" i="10"/>
  <c r="O37" i="11" s="1"/>
  <c r="R123" i="6"/>
  <c r="R125" i="6" s="1"/>
  <c r="G123" i="6"/>
  <c r="G125" i="6" s="1"/>
  <c r="O42" i="10"/>
  <c r="O51" i="11" s="1"/>
  <c r="O108" i="7"/>
  <c r="F42" i="10"/>
  <c r="F51" i="11" s="1"/>
  <c r="F108" i="7"/>
  <c r="R255" i="6"/>
  <c r="R137" i="6" s="1"/>
  <c r="R141" i="6" s="1"/>
  <c r="R142" i="6" s="1"/>
  <c r="E35" i="6" a="1"/>
  <c r="E35" i="6" s="1"/>
  <c r="E215" i="6"/>
  <c r="L190" i="6"/>
  <c r="O39" i="6"/>
  <c r="O48" i="6"/>
  <c r="N39" i="6"/>
  <c r="N48" i="6"/>
  <c r="E109" i="5"/>
  <c r="E107" i="5"/>
  <c r="E110" i="5" s="1"/>
  <c r="J140" i="4"/>
  <c r="D142" i="2" a="1"/>
  <c r="D142" i="2" s="1"/>
  <c r="D144" i="2" s="1" a="1"/>
  <c r="D144" i="2" s="1"/>
  <c r="D163" i="3"/>
  <c r="D174" i="3" s="1"/>
  <c r="F37" i="4"/>
  <c r="M161" i="3"/>
  <c r="D141" i="4"/>
  <c r="F140" i="4"/>
  <c r="Q37" i="4"/>
  <c r="E42" i="10"/>
  <c r="E51" i="11" s="1"/>
  <c r="E108" i="7"/>
  <c r="P42" i="10"/>
  <c r="P51" i="11" s="1"/>
  <c r="P108" i="7"/>
  <c r="P18" i="11"/>
  <c r="P131" i="6"/>
  <c r="P128" i="6"/>
  <c r="P132" i="6"/>
  <c r="J100" i="5"/>
  <c r="J43" i="4"/>
  <c r="Q36" i="4"/>
  <c r="G40" i="3"/>
  <c r="F46" i="3"/>
  <c r="E38" i="3"/>
  <c r="D38" i="3"/>
  <c r="I161" i="3"/>
  <c r="I140" i="4"/>
  <c r="K140" i="4"/>
  <c r="R28" i="10"/>
  <c r="R37" i="11" s="1"/>
  <c r="E28" i="10"/>
  <c r="E37" i="11" s="1"/>
  <c r="N254" i="6"/>
  <c r="N119" i="6" s="1"/>
  <c r="N126" i="6" s="1"/>
  <c r="H84" i="7"/>
  <c r="H48" i="7"/>
  <c r="H72" i="7" s="1"/>
  <c r="H120" i="7"/>
  <c r="H49" i="7"/>
  <c r="M64" i="7" s="1" a="1"/>
  <c r="M64" i="7" s="1"/>
  <c r="H47" i="7"/>
  <c r="M42" i="10"/>
  <c r="M51" i="11" s="1"/>
  <c r="M108" i="7"/>
  <c r="E190" i="6"/>
  <c r="D41" i="7"/>
  <c r="D85" i="7" s="1"/>
  <c r="H254" i="6"/>
  <c r="H119" i="6" s="1"/>
  <c r="H126" i="6" s="1"/>
  <c r="I215" i="6"/>
  <c r="I35" i="6" a="1"/>
  <c r="I35" i="6" s="1"/>
  <c r="D18" i="10"/>
  <c r="G36" i="4"/>
  <c r="F54" i="3"/>
  <c r="G52" i="3"/>
  <c r="E123" i="10"/>
  <c r="P15" i="12"/>
  <c r="P13" i="10"/>
  <c r="P22" i="11" s="1"/>
  <c r="P21" i="10"/>
  <c r="P30" i="11" s="1"/>
  <c r="F28" i="10"/>
  <c r="F37" i="11" s="1"/>
  <c r="K28" i="10"/>
  <c r="K37" i="11" s="1"/>
  <c r="D254" i="6"/>
  <c r="D119" i="6" s="1"/>
  <c r="D126" i="6" s="1"/>
  <c r="D42" i="10"/>
  <c r="D51" i="11" s="1"/>
  <c r="D108" i="7"/>
  <c r="Q42" i="10"/>
  <c r="Q51" i="11" s="1"/>
  <c r="Q108" i="7"/>
  <c r="N42" i="10"/>
  <c r="N51" i="11" s="1"/>
  <c r="N108" i="7"/>
  <c r="D190" i="6"/>
  <c r="E123" i="6"/>
  <c r="E125" i="6" s="1"/>
  <c r="E131" i="6" s="1"/>
  <c r="R48" i="6"/>
  <c r="R39" i="6"/>
  <c r="H190" i="6"/>
  <c r="K18" i="11"/>
  <c r="K128" i="6"/>
  <c r="K132" i="6"/>
  <c r="K131" i="6"/>
  <c r="E48" i="6"/>
  <c r="E39" i="6"/>
  <c r="D39" i="6"/>
  <c r="D48" i="6"/>
  <c r="D53" i="10"/>
  <c r="D26" i="10"/>
  <c r="D35" i="11" s="1"/>
  <c r="L37" i="4"/>
  <c r="G161" i="3"/>
  <c r="M18" i="11"/>
  <c r="M128" i="6"/>
  <c r="M131" i="6"/>
  <c r="M132" i="6"/>
  <c r="K42" i="10"/>
  <c r="K51" i="11" s="1"/>
  <c r="K108" i="7"/>
  <c r="D40" i="7"/>
  <c r="D57" i="7" s="1"/>
  <c r="E55" i="7"/>
  <c r="H28" i="10"/>
  <c r="H37" i="11" s="1"/>
  <c r="R62" i="7"/>
  <c r="H62" i="7"/>
  <c r="I62" i="7"/>
  <c r="S62" i="7"/>
  <c r="G62" i="7"/>
  <c r="P62" i="7"/>
  <c r="E62" i="7"/>
  <c r="J62" i="7"/>
  <c r="D62" i="7"/>
  <c r="F62" i="7"/>
  <c r="N62" i="7"/>
  <c r="M62" i="7"/>
  <c r="L62" i="7"/>
  <c r="O62" i="7"/>
  <c r="Q62" i="7"/>
  <c r="K62" i="7"/>
  <c r="D120" i="7"/>
  <c r="D49" i="7"/>
  <c r="D47" i="7"/>
  <c r="D103" i="7" s="1"/>
  <c r="D48" i="7"/>
  <c r="D72" i="7" s="1"/>
  <c r="D88" i="7"/>
  <c r="D84" i="7"/>
  <c r="D100" i="7"/>
  <c r="E100" i="7" s="1" a="1"/>
  <c r="E100" i="7" s="1"/>
  <c r="F100" i="7" s="1" a="1"/>
  <c r="F100" i="7" s="1"/>
  <c r="G100" i="7" s="1" a="1"/>
  <c r="G100" i="7" s="1"/>
  <c r="H100" i="7" s="1" a="1"/>
  <c r="H100" i="7" s="1"/>
  <c r="I123" i="6"/>
  <c r="I125" i="6" s="1"/>
  <c r="I131" i="6" s="1"/>
  <c r="Q254" i="6"/>
  <c r="Q119" i="6" s="1"/>
  <c r="Q126" i="6" s="1"/>
  <c r="P48" i="6"/>
  <c r="P39" i="6"/>
  <c r="E53" i="7"/>
  <c r="E45" i="7"/>
  <c r="N215" i="6"/>
  <c r="N35" i="6" a="1"/>
  <c r="N35" i="6" s="1"/>
  <c r="K161" i="3"/>
  <c r="R161" i="3"/>
  <c r="D68" i="7" l="1"/>
  <c r="I65" i="7" a="1"/>
  <c r="I65" i="7" s="1"/>
  <c r="L191" i="6"/>
  <c r="F11" i="14"/>
  <c r="F114" i="7"/>
  <c r="F18" i="11"/>
  <c r="F131" i="6"/>
  <c r="F132" i="6"/>
  <c r="F128" i="6"/>
  <c r="H57" i="7"/>
  <c r="M65" i="7" s="1" a="1"/>
  <c r="M65" i="7" s="1"/>
  <c r="I43" i="4"/>
  <c r="K43" i="4"/>
  <c r="N18" i="11"/>
  <c r="N131" i="6"/>
  <c r="N128" i="6"/>
  <c r="N132" i="6"/>
  <c r="D99" i="5"/>
  <c r="D64" i="5"/>
  <c r="M100" i="5"/>
  <c r="M43" i="4"/>
  <c r="E88" i="7"/>
  <c r="J191" i="6"/>
  <c r="M191" i="6"/>
  <c r="D18" i="11"/>
  <c r="D131" i="6"/>
  <c r="D128" i="6"/>
  <c r="D132" i="6"/>
  <c r="E99" i="5"/>
  <c r="E64" i="5"/>
  <c r="F88" i="7"/>
  <c r="E8" i="14"/>
  <c r="E166" i="3"/>
  <c r="E10" i="4" a="1"/>
  <c r="E10" i="4" s="1"/>
  <c r="E103" i="7"/>
  <c r="G100" i="5"/>
  <c r="G43" i="4"/>
  <c r="D191" i="6"/>
  <c r="E108" i="5"/>
  <c r="R190" i="6"/>
  <c r="D143" i="2" a="1"/>
  <c r="D143" i="2" s="1"/>
  <c r="D145" i="2" s="1" a="1"/>
  <c r="D145" i="2" s="1"/>
  <c r="D164" i="3"/>
  <c r="I21" i="14"/>
  <c r="I70" i="8" a="1"/>
  <c r="I70" i="8" s="1"/>
  <c r="I9" i="4" a="1"/>
  <c r="I9" i="4" s="1"/>
  <c r="I165" i="3"/>
  <c r="F103" i="7"/>
  <c r="E55" i="3"/>
  <c r="F40" i="4"/>
  <c r="E41" i="4"/>
  <c r="Q191" i="6"/>
  <c r="H191" i="6"/>
  <c r="F43" i="4"/>
  <c r="F100" i="5"/>
  <c r="F190" i="6"/>
  <c r="G191" i="6"/>
  <c r="R43" i="4"/>
  <c r="R100" i="5"/>
  <c r="D100" i="5"/>
  <c r="D43" i="4"/>
  <c r="D44" i="4" s="1"/>
  <c r="O191" i="6"/>
  <c r="N100" i="5"/>
  <c r="N43" i="4"/>
  <c r="D61" i="11"/>
  <c r="D69" i="10"/>
  <c r="D77" i="11" s="1"/>
  <c r="E191" i="6"/>
  <c r="D95" i="7"/>
  <c r="D89" i="7"/>
  <c r="D111" i="7"/>
  <c r="D83" i="10" s="1"/>
  <c r="D91" i="11" s="1"/>
  <c r="D102" i="7"/>
  <c r="D27" i="11"/>
  <c r="D22" i="10"/>
  <c r="D67" i="7"/>
  <c r="I64" i="7" a="1"/>
  <c r="I64" i="7" s="1"/>
  <c r="H103" i="7"/>
  <c r="G46" i="3"/>
  <c r="H40" i="3"/>
  <c r="E11" i="14"/>
  <c r="E114" i="7"/>
  <c r="P190" i="6"/>
  <c r="D11" i="14"/>
  <c r="D114" i="7"/>
  <c r="D119" i="7" s="1"/>
  <c r="G54" i="3"/>
  <c r="H52" i="3"/>
  <c r="Q100" i="5"/>
  <c r="Q43" i="4"/>
  <c r="G88" i="7"/>
  <c r="P43" i="4"/>
  <c r="P100" i="5"/>
  <c r="N191" i="6"/>
  <c r="D8" i="14"/>
  <c r="D10" i="4" a="1"/>
  <c r="D10" i="4" s="1"/>
  <c r="D166" i="3"/>
  <c r="O18" i="11"/>
  <c r="O131" i="6"/>
  <c r="O132" i="6"/>
  <c r="O128" i="6"/>
  <c r="S191" i="6"/>
  <c r="D86" i="7"/>
  <c r="E57" i="7"/>
  <c r="J65" i="7" s="1" a="1"/>
  <c r="J65" i="7" s="1"/>
  <c r="F57" i="7"/>
  <c r="K65" i="7" s="1" a="1"/>
  <c r="K65" i="7" s="1"/>
  <c r="G57" i="7"/>
  <c r="L65" i="7" s="1" a="1"/>
  <c r="L65" i="7" s="1"/>
  <c r="H18" i="11"/>
  <c r="H132" i="6"/>
  <c r="H131" i="6"/>
  <c r="H128" i="6"/>
  <c r="H11" i="14"/>
  <c r="H114" i="7"/>
  <c r="L100" i="5"/>
  <c r="L43" i="4"/>
  <c r="D31" i="3"/>
  <c r="H100" i="5"/>
  <c r="H43" i="4"/>
  <c r="D73" i="8"/>
  <c r="D105" i="8"/>
  <c r="O43" i="4"/>
  <c r="E100" i="5"/>
  <c r="E43" i="4"/>
  <c r="Q18" i="11"/>
  <c r="Q132" i="6"/>
  <c r="Q131" i="6"/>
  <c r="Q128" i="6"/>
  <c r="G85" i="7"/>
  <c r="F85" i="7"/>
  <c r="F86" i="7" s="1"/>
  <c r="E85" i="7"/>
  <c r="E86" i="7" s="1"/>
  <c r="H88" i="7"/>
  <c r="S100" i="5"/>
  <c r="S43" i="4"/>
  <c r="R18" i="11"/>
  <c r="R132" i="6"/>
  <c r="R128" i="6"/>
  <c r="R131" i="6"/>
  <c r="G11" i="14"/>
  <c r="G114" i="7"/>
  <c r="D192" i="3"/>
  <c r="D195" i="3"/>
  <c r="O35" i="6" a="1"/>
  <c r="O35" i="6" s="1"/>
  <c r="O215" i="6"/>
  <c r="H85" i="7"/>
  <c r="H86" i="7" s="1"/>
  <c r="D29" i="10"/>
  <c r="D38" i="11" s="1"/>
  <c r="F116" i="10"/>
  <c r="G116" i="10" s="1"/>
  <c r="D38" i="9" a="1"/>
  <c r="D38" i="9" s="1"/>
  <c r="D39" i="9" s="1"/>
  <c r="E71" i="9" a="1"/>
  <c r="E71" i="9" s="1"/>
  <c r="D71" i="9" a="1"/>
  <c r="D71" i="9" s="1"/>
  <c r="K191" i="6"/>
  <c r="E61" i="8"/>
  <c r="E63" i="8" s="1"/>
  <c r="D146" i="2"/>
  <c r="D109" i="3" s="1" a="1"/>
  <c r="D109" i="3" s="1"/>
  <c r="D11" i="3" a="1"/>
  <c r="D11" i="3" s="1"/>
  <c r="D61" i="3" s="1"/>
  <c r="E48" i="3"/>
  <c r="G86" i="7"/>
  <c r="D68" i="10"/>
  <c r="D76" i="11" s="1"/>
  <c r="D60" i="11"/>
  <c r="G18" i="11"/>
  <c r="G132" i="6"/>
  <c r="G131" i="6"/>
  <c r="G128" i="6"/>
  <c r="I191" i="6"/>
  <c r="F35" i="10" l="1"/>
  <c r="F107" i="7"/>
  <c r="F62" i="8"/>
  <c r="E64" i="8"/>
  <c r="H35" i="10"/>
  <c r="H107" i="7"/>
  <c r="E35" i="10"/>
  <c r="E107" i="7"/>
  <c r="E67" i="7" a="1"/>
  <c r="E67" i="7" s="1"/>
  <c r="D70" i="7"/>
  <c r="D74" i="7" s="1"/>
  <c r="D76" i="7" s="1"/>
  <c r="G119" i="7"/>
  <c r="G47" i="5"/>
  <c r="R191" i="6"/>
  <c r="E89" i="7" a="1"/>
  <c r="E89" i="7" s="1"/>
  <c r="D90" i="7"/>
  <c r="F106" i="5"/>
  <c r="D8" i="11"/>
  <c r="D184" i="3" a="1"/>
  <c r="D184" i="3" s="1"/>
  <c r="D182" i="3" a="1"/>
  <c r="D182" i="3" s="1"/>
  <c r="D183" i="3" s="1"/>
  <c r="D180" i="3" a="1"/>
  <c r="D180" i="3" s="1"/>
  <c r="E181" i="3" a="1"/>
  <c r="E181" i="3" s="1"/>
  <c r="H119" i="7"/>
  <c r="H47" i="5"/>
  <c r="H46" i="3"/>
  <c r="I40" i="3"/>
  <c r="D45" i="4"/>
  <c r="D135" i="4"/>
  <c r="G95" i="7"/>
  <c r="G111" i="7"/>
  <c r="G83" i="10" s="1"/>
  <c r="G91" i="11" s="1"/>
  <c r="G102" i="7"/>
  <c r="G40" i="4"/>
  <c r="F41" i="4"/>
  <c r="E95" i="7"/>
  <c r="E111" i="7"/>
  <c r="E83" i="10" s="1"/>
  <c r="E91" i="11" s="1"/>
  <c r="E102" i="7"/>
  <c r="P191" i="6"/>
  <c r="E119" i="7"/>
  <c r="E47" i="5"/>
  <c r="F111" i="7"/>
  <c r="F83" i="10" s="1"/>
  <c r="F91" i="11" s="1"/>
  <c r="F95" i="7"/>
  <c r="F102" i="7"/>
  <c r="E68" i="7" a="1"/>
  <c r="E68" i="7" s="1"/>
  <c r="D71" i="7"/>
  <c r="D75" i="7" s="1"/>
  <c r="D77" i="7" s="1"/>
  <c r="G35" i="10"/>
  <c r="G107" i="7"/>
  <c r="D35" i="10"/>
  <c r="D107" i="7"/>
  <c r="D94" i="7"/>
  <c r="H54" i="3"/>
  <c r="I52" i="3"/>
  <c r="F117" i="10"/>
  <c r="G117" i="10" s="1"/>
  <c r="D31" i="11"/>
  <c r="E177" i="3"/>
  <c r="E56" i="3"/>
  <c r="D12" i="3" a="1"/>
  <c r="D12" i="3" s="1"/>
  <c r="D62" i="3" s="1"/>
  <c r="D147" i="2"/>
  <c r="D110" i="3" s="1" a="1"/>
  <c r="D110" i="3" s="1"/>
  <c r="F119" i="7"/>
  <c r="F47" i="5"/>
  <c r="D8" i="9" a="1"/>
  <c r="D8" i="9" s="1"/>
  <c r="D167" i="3"/>
  <c r="D159" i="3" s="1" a="1"/>
  <c r="D159" i="3" s="1"/>
  <c r="D142" i="3"/>
  <c r="Q36" i="3"/>
  <c r="Q135" i="3" s="1"/>
  <c r="G36" i="3"/>
  <c r="G135" i="3" s="1"/>
  <c r="R36" i="3"/>
  <c r="R135" i="3" s="1"/>
  <c r="F36" i="3"/>
  <c r="F135" i="3" s="1"/>
  <c r="P36" i="3"/>
  <c r="P135" i="3" s="1"/>
  <c r="E36" i="3"/>
  <c r="E135" i="3" s="1"/>
  <c r="N36" i="3"/>
  <c r="N135" i="3" s="1"/>
  <c r="I36" i="3"/>
  <c r="I135" i="3" s="1"/>
  <c r="S36" i="3"/>
  <c r="S135" i="3" s="1"/>
  <c r="O36" i="3"/>
  <c r="O135" i="3" s="1"/>
  <c r="M36" i="3"/>
  <c r="M135" i="3" s="1"/>
  <c r="L36" i="3"/>
  <c r="L135" i="3" s="1"/>
  <c r="K36" i="3"/>
  <c r="K135" i="3" s="1"/>
  <c r="J36" i="3"/>
  <c r="J135" i="3" s="1"/>
  <c r="H36" i="3"/>
  <c r="H135" i="3" s="1"/>
  <c r="D36" i="3"/>
  <c r="D72" i="5"/>
  <c r="D71" i="5"/>
  <c r="D40" i="9"/>
  <c r="D47" i="9"/>
  <c r="H95" i="7"/>
  <c r="H111" i="7"/>
  <c r="H83" i="10" s="1"/>
  <c r="H91" i="11" s="1"/>
  <c r="H102" i="7"/>
  <c r="F191" i="6"/>
  <c r="E111" i="5"/>
  <c r="D135" i="3" l="1"/>
  <c r="D69" i="3"/>
  <c r="D104" i="3"/>
  <c r="D155" i="3" s="1"/>
  <c r="D32" i="9" a="1"/>
  <c r="D32" i="9" s="1"/>
  <c r="D185" i="3"/>
  <c r="J52" i="3"/>
  <c r="I54" i="3"/>
  <c r="E76" i="7" a="1"/>
  <c r="E76" i="7" s="1"/>
  <c r="D78" i="7"/>
  <c r="G44" i="11"/>
  <c r="G55" i="10"/>
  <c r="D9" i="11"/>
  <c r="D173" i="3"/>
  <c r="D46" i="4"/>
  <c r="F67" i="7" a="1"/>
  <c r="F67" i="7" s="1"/>
  <c r="E70" i="7"/>
  <c r="E74" i="7" s="1"/>
  <c r="H44" i="11"/>
  <c r="H55" i="10"/>
  <c r="G41" i="4"/>
  <c r="H40" i="4"/>
  <c r="I46" i="3"/>
  <c r="J40" i="3"/>
  <c r="E105" i="8"/>
  <c r="E73" i="8"/>
  <c r="D91" i="7"/>
  <c r="D109" i="7"/>
  <c r="D63" i="10" s="1"/>
  <c r="D71" i="11" s="1"/>
  <c r="F63" i="8"/>
  <c r="F61" i="8"/>
  <c r="E143" i="3"/>
  <c r="D143" i="3"/>
  <c r="F89" i="7" a="1"/>
  <c r="F89" i="7" s="1"/>
  <c r="E164" i="3"/>
  <c r="E143" i="2" a="1"/>
  <c r="E143" i="2" s="1"/>
  <c r="E145" i="2" s="1" a="1"/>
  <c r="E145" i="2" s="1"/>
  <c r="D96" i="7"/>
  <c r="D112" i="7" s="1"/>
  <c r="D91" i="10" s="1"/>
  <c r="D99" i="11" s="1"/>
  <c r="D97" i="7"/>
  <c r="D110" i="7"/>
  <c r="E71" i="7"/>
  <c r="E75" i="7" s="1"/>
  <c r="F68" i="7" a="1"/>
  <c r="F68" i="7" s="1"/>
  <c r="D66" i="3"/>
  <c r="D84" i="3" s="1"/>
  <c r="F44" i="11"/>
  <c r="F55" i="10"/>
  <c r="E77" i="7" a="1"/>
  <c r="E77" i="7" s="1"/>
  <c r="D10" i="9"/>
  <c r="D11" i="9" s="1"/>
  <c r="D9" i="9"/>
  <c r="D44" i="11"/>
  <c r="D36" i="10"/>
  <c r="D55" i="10"/>
  <c r="E44" i="11"/>
  <c r="E55" i="10"/>
  <c r="D92" i="7" l="1"/>
  <c r="D115" i="7"/>
  <c r="D104" i="10" s="1"/>
  <c r="E63" i="11"/>
  <c r="J54" i="3"/>
  <c r="K52" i="3"/>
  <c r="E90" i="7" a="1"/>
  <c r="E90" i="7" s="1"/>
  <c r="D33" i="9"/>
  <c r="D35" i="9"/>
  <c r="H63" i="11"/>
  <c r="E78" i="7"/>
  <c r="F64" i="8"/>
  <c r="G62" i="8"/>
  <c r="F63" i="11"/>
  <c r="D74" i="3"/>
  <c r="D64" i="3"/>
  <c r="G89" i="7" a="1"/>
  <c r="G89" i="7" s="1"/>
  <c r="D113" i="3"/>
  <c r="D193" i="3" s="1"/>
  <c r="D197" i="3" s="1"/>
  <c r="D137" i="3"/>
  <c r="D119" i="3"/>
  <c r="D194" i="3" s="1"/>
  <c r="D198" i="3" s="1"/>
  <c r="D131" i="3"/>
  <c r="D125" i="3"/>
  <c r="D101" i="3"/>
  <c r="G63" i="11"/>
  <c r="D21" i="14"/>
  <c r="D70" i="8" a="1"/>
  <c r="D70" i="8" s="1"/>
  <c r="D165" i="3"/>
  <c r="D9" i="4" a="1"/>
  <c r="D9" i="4" s="1"/>
  <c r="D77" i="3" a="1"/>
  <c r="D77" i="3" s="1"/>
  <c r="D63" i="11"/>
  <c r="D71" i="10"/>
  <c r="D79" i="11" s="1"/>
  <c r="D45" i="11"/>
  <c r="D73" i="10"/>
  <c r="D133" i="10"/>
  <c r="D108" i="10" s="1"/>
  <c r="F70" i="7"/>
  <c r="F74" i="7" s="1"/>
  <c r="F76" i="7" s="1" a="1"/>
  <c r="F76" i="7" s="1"/>
  <c r="G67" i="7" a="1"/>
  <c r="G67" i="7" s="1"/>
  <c r="D93" i="3"/>
  <c r="H41" i="4"/>
  <c r="I40" i="4"/>
  <c r="F71" i="7"/>
  <c r="F75" i="7" s="1"/>
  <c r="F77" i="7" s="1" a="1"/>
  <c r="F77" i="7" s="1"/>
  <c r="G68" i="7" a="1"/>
  <c r="G68" i="7" s="1"/>
  <c r="D14" i="9"/>
  <c r="D15" i="9"/>
  <c r="E12" i="3" a="1"/>
  <c r="E12" i="3" s="1"/>
  <c r="E62" i="3" s="1"/>
  <c r="E9" i="11" s="1"/>
  <c r="E147" i="2"/>
  <c r="E110" i="3" s="1" a="1"/>
  <c r="E110" i="3" s="1"/>
  <c r="K40" i="3"/>
  <c r="J46" i="3"/>
  <c r="F78" i="7" l="1"/>
  <c r="K46" i="3"/>
  <c r="L40" i="3"/>
  <c r="F123" i="10"/>
  <c r="G123" i="10" s="1"/>
  <c r="D81" i="11"/>
  <c r="D110" i="10"/>
  <c r="D77" i="10"/>
  <c r="D78" i="8"/>
  <c r="H89" i="7" a="1"/>
  <c r="H89" i="7" s="1"/>
  <c r="F105" i="8"/>
  <c r="F73" i="8"/>
  <c r="D45" i="9"/>
  <c r="D102" i="3" a="1"/>
  <c r="D102" i="3" s="1"/>
  <c r="G70" i="7"/>
  <c r="G74" i="7" s="1"/>
  <c r="G76" i="7" s="1" a="1"/>
  <c r="G76" i="7" s="1"/>
  <c r="H67" i="7" a="1"/>
  <c r="H67" i="7" s="1"/>
  <c r="D11" i="11"/>
  <c r="D12" i="11" s="1"/>
  <c r="D65" i="3"/>
  <c r="E35" i="9"/>
  <c r="E32" i="9" a="1"/>
  <c r="E32" i="9" s="1"/>
  <c r="E33" i="9" s="1"/>
  <c r="G71" i="7"/>
  <c r="G75" i="7" s="1"/>
  <c r="G77" i="7" s="1" a="1"/>
  <c r="G77" i="7" s="1"/>
  <c r="H68" i="7" a="1"/>
  <c r="H68" i="7" s="1"/>
  <c r="D34" i="9"/>
  <c r="E109" i="7"/>
  <c r="E63" i="10" s="1"/>
  <c r="E94" i="7"/>
  <c r="E91" i="7" a="1"/>
  <c r="E91" i="7" s="1"/>
  <c r="D153" i="3"/>
  <c r="K54" i="3"/>
  <c r="L52" i="3"/>
  <c r="I41" i="4"/>
  <c r="J40" i="4"/>
  <c r="D199" i="3"/>
  <c r="D201" i="3" s="1"/>
  <c r="D202" i="3" s="1"/>
  <c r="G61" i="8"/>
  <c r="G63" i="8" s="1"/>
  <c r="G78" i="7" l="1"/>
  <c r="H62" i="8"/>
  <c r="G64" i="8"/>
  <c r="E34" i="9"/>
  <c r="D115" i="11"/>
  <c r="D113" i="11"/>
  <c r="D114" i="11"/>
  <c r="D112" i="11"/>
  <c r="D111" i="11"/>
  <c r="D104" i="11"/>
  <c r="M40" i="3"/>
  <c r="L46" i="3"/>
  <c r="E92" i="7"/>
  <c r="E115" i="7"/>
  <c r="E104" i="10" s="1"/>
  <c r="F90" i="7" a="1"/>
  <c r="F90" i="7" s="1"/>
  <c r="F91" i="7" s="1" a="1"/>
  <c r="F91" i="7" s="1"/>
  <c r="H71" i="7"/>
  <c r="H75" i="7" s="1"/>
  <c r="H77" i="7" s="1" a="1"/>
  <c r="H77" i="7" s="1"/>
  <c r="D154" i="3"/>
  <c r="E125" i="3"/>
  <c r="E113" i="3"/>
  <c r="E193" i="3" s="1"/>
  <c r="E137" i="3"/>
  <c r="E119" i="3"/>
  <c r="E194" i="3" s="1"/>
  <c r="E198" i="3" s="1"/>
  <c r="E131" i="3"/>
  <c r="D96" i="10"/>
  <c r="D13" i="12" s="1"/>
  <c r="D85" i="11"/>
  <c r="H70" i="7"/>
  <c r="H74" i="7" s="1"/>
  <c r="H76" i="7" s="1" a="1"/>
  <c r="H76" i="7" s="1"/>
  <c r="E110" i="7"/>
  <c r="E96" i="7"/>
  <c r="E112" i="7" s="1"/>
  <c r="E91" i="10" s="1"/>
  <c r="E99" i="11" s="1"/>
  <c r="E97" i="7"/>
  <c r="E71" i="11"/>
  <c r="E71" i="10"/>
  <c r="E79" i="11" s="1"/>
  <c r="D203" i="3"/>
  <c r="F35" i="9"/>
  <c r="J41" i="4"/>
  <c r="K40" i="4"/>
  <c r="M52" i="3"/>
  <c r="L54" i="3"/>
  <c r="D76" i="3"/>
  <c r="D92" i="3"/>
  <c r="D85" i="3"/>
  <c r="D83" i="3"/>
  <c r="D75" i="3"/>
  <c r="D78" i="3" s="1"/>
  <c r="D79" i="3" s="1"/>
  <c r="D172" i="3"/>
  <c r="D86" i="3"/>
  <c r="H78" i="7" l="1"/>
  <c r="F92" i="7"/>
  <c r="F115" i="7"/>
  <c r="F104" i="10" s="1"/>
  <c r="G90" i="7" a="1"/>
  <c r="G90" i="7" s="1"/>
  <c r="D80" i="3"/>
  <c r="M46" i="3"/>
  <c r="N40" i="3"/>
  <c r="L40" i="4"/>
  <c r="K41" i="4"/>
  <c r="D87" i="3"/>
  <c r="G105" i="8"/>
  <c r="G73" i="8"/>
  <c r="H61" i="8"/>
  <c r="H63" i="8" s="1"/>
  <c r="F109" i="7"/>
  <c r="F63" i="10" s="1"/>
  <c r="F94" i="7"/>
  <c r="N52" i="3"/>
  <c r="M54" i="3"/>
  <c r="H64" i="8" l="1"/>
  <c r="I62" i="8"/>
  <c r="O52" i="3"/>
  <c r="N54" i="3"/>
  <c r="G109" i="7"/>
  <c r="G63" i="10" s="1"/>
  <c r="G94" i="7"/>
  <c r="F71" i="11"/>
  <c r="F71" i="10"/>
  <c r="F79" i="11" s="1"/>
  <c r="L41" i="4"/>
  <c r="M40" i="4"/>
  <c r="G91" i="7" a="1"/>
  <c r="G91" i="7" s="1"/>
  <c r="D124" i="3"/>
  <c r="D126" i="3" s="1"/>
  <c r="D112" i="3"/>
  <c r="D130" i="3"/>
  <c r="D132" i="3" s="1"/>
  <c r="D118" i="3"/>
  <c r="D120" i="3" s="1"/>
  <c r="E188" i="3" s="1"/>
  <c r="E190" i="3" s="1"/>
  <c r="D136" i="3"/>
  <c r="O40" i="3"/>
  <c r="N46" i="3"/>
  <c r="D88" i="3"/>
  <c r="F97" i="7"/>
  <c r="F96" i="7"/>
  <c r="F112" i="7" s="1"/>
  <c r="F91" i="10" s="1"/>
  <c r="F99" i="11" s="1"/>
  <c r="F110" i="7"/>
  <c r="P40" i="3" l="1"/>
  <c r="O46" i="3"/>
  <c r="D114" i="3"/>
  <c r="D171" i="3"/>
  <c r="G97" i="7"/>
  <c r="G96" i="7"/>
  <c r="G112" i="7" s="1"/>
  <c r="G91" i="10" s="1"/>
  <c r="G99" i="11" s="1"/>
  <c r="G110" i="7"/>
  <c r="P52" i="3"/>
  <c r="O54" i="3"/>
  <c r="D89" i="3"/>
  <c r="N40" i="4"/>
  <c r="M41" i="4"/>
  <c r="I61" i="8"/>
  <c r="I63" i="8" s="1"/>
  <c r="G71" i="11"/>
  <c r="G71" i="10"/>
  <c r="G79" i="11" s="1"/>
  <c r="G92" i="7"/>
  <c r="G115" i="7"/>
  <c r="G104" i="10" s="1"/>
  <c r="H90" i="7" a="1"/>
  <c r="H90" i="7" s="1"/>
  <c r="H105" i="8"/>
  <c r="H73" i="8"/>
  <c r="J62" i="8" l="1"/>
  <c r="I64" i="8"/>
  <c r="P54" i="3"/>
  <c r="Q52" i="3"/>
  <c r="E187" i="3"/>
  <c r="E189" i="3" s="1"/>
  <c r="D140" i="3"/>
  <c r="D160" i="3" s="1"/>
  <c r="E28" i="5" s="1"/>
  <c r="H109" i="7"/>
  <c r="H63" i="10" s="1"/>
  <c r="H94" i="7"/>
  <c r="O40" i="4"/>
  <c r="N41" i="4"/>
  <c r="H91" i="7" a="1"/>
  <c r="H91" i="7" s="1"/>
  <c r="P46" i="3"/>
  <c r="Q40" i="3"/>
  <c r="E31" i="5" l="1"/>
  <c r="E67" i="5"/>
  <c r="H110" i="7"/>
  <c r="H97" i="7"/>
  <c r="H96" i="7"/>
  <c r="H112" i="7" s="1"/>
  <c r="H91" i="10" s="1"/>
  <c r="H99" i="11" s="1"/>
  <c r="Q46" i="3"/>
  <c r="R40" i="3"/>
  <c r="H71" i="11"/>
  <c r="H71" i="10"/>
  <c r="H79" i="11" s="1"/>
  <c r="R52" i="3"/>
  <c r="Q54" i="3"/>
  <c r="H92" i="7"/>
  <c r="H115" i="7"/>
  <c r="H104" i="10" s="1"/>
  <c r="I73" i="8"/>
  <c r="I105" i="8"/>
  <c r="P40" i="4"/>
  <c r="O41" i="4"/>
  <c r="J61" i="8"/>
  <c r="J63" i="8" s="1"/>
  <c r="K62" i="8" l="1"/>
  <c r="J64" i="8"/>
  <c r="R46" i="3"/>
  <c r="S40" i="3"/>
  <c r="R54" i="3"/>
  <c r="S52" i="3"/>
  <c r="S54" i="3" s="1"/>
  <c r="Q40" i="4"/>
  <c r="P41" i="4"/>
  <c r="J105" i="8" l="1"/>
  <c r="J73" i="8"/>
  <c r="S46" i="3"/>
  <c r="R40" i="4"/>
  <c r="Q41" i="4"/>
  <c r="K61" i="8"/>
  <c r="K63" i="8" s="1"/>
  <c r="K64" i="8" l="1"/>
  <c r="L62" i="8"/>
  <c r="R41" i="4"/>
  <c r="S40" i="4"/>
  <c r="S41" i="4" l="1"/>
  <c r="L61" i="8"/>
  <c r="L63" i="8" s="1"/>
  <c r="K73" i="8"/>
  <c r="K105" i="8"/>
  <c r="L64" i="8" l="1"/>
  <c r="M62" i="8"/>
  <c r="M61" i="8" l="1"/>
  <c r="M63" i="8" s="1"/>
  <c r="L73" i="8"/>
  <c r="L105" i="8"/>
  <c r="M64" i="8" l="1"/>
  <c r="N62" i="8"/>
  <c r="N61" i="8" l="1"/>
  <c r="N63" i="8" s="1"/>
  <c r="M73" i="8"/>
  <c r="M105" i="8"/>
  <c r="O62" i="8" l="1"/>
  <c r="N64" i="8"/>
  <c r="N73" i="8" l="1"/>
  <c r="N105" i="8"/>
  <c r="O61" i="8"/>
  <c r="O63" i="8" s="1"/>
  <c r="O64" i="8" l="1"/>
  <c r="P62" i="8"/>
  <c r="P61" i="8" l="1"/>
  <c r="P63" i="8" s="1"/>
  <c r="O105" i="8"/>
  <c r="O73" i="8"/>
  <c r="P64" i="8" l="1"/>
  <c r="Q62" i="8"/>
  <c r="Q61" i="8" l="1"/>
  <c r="Q63" i="8" s="1"/>
  <c r="P105" i="8"/>
  <c r="P73" i="8"/>
  <c r="R62" i="8" l="1"/>
  <c r="Q64" i="8"/>
  <c r="Q73" i="8" l="1"/>
  <c r="Q105" i="8"/>
  <c r="R61" i="8"/>
  <c r="R63" i="8" s="1"/>
  <c r="R64" i="8" l="1"/>
  <c r="S62" i="8"/>
  <c r="S61" i="8" l="1"/>
  <c r="S63" i="8" s="1"/>
  <c r="S64" i="8" s="1"/>
  <c r="R105" i="8"/>
  <c r="R73" i="8"/>
  <c r="S73" i="8" l="1"/>
  <c r="S105" i="8"/>
  <c r="D8" i="6" l="1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D29" i="6" a="1"/>
  <c r="D29" i="6"/>
  <c r="E29" i="6" a="1"/>
  <c r="E29" i="6"/>
  <c r="F29" i="6" a="1"/>
  <c r="F29" i="6"/>
  <c r="G29" i="6" a="1"/>
  <c r="G29" i="6"/>
  <c r="H29" i="6" a="1"/>
  <c r="H29" i="6"/>
  <c r="I29" i="6" a="1"/>
  <c r="I29" i="6"/>
  <c r="J29" i="6" a="1"/>
  <c r="J29" i="6"/>
  <c r="K29" i="6" a="1"/>
  <c r="K29" i="6"/>
  <c r="L29" i="6" a="1"/>
  <c r="L29" i="6"/>
  <c r="M29" i="6" a="1"/>
  <c r="M29" i="6"/>
  <c r="N29" i="6" a="1"/>
  <c r="N29" i="6"/>
  <c r="O29" i="6" a="1"/>
  <c r="O29" i="6"/>
  <c r="P29" i="6" a="1"/>
  <c r="P29" i="6"/>
  <c r="Q29" i="6" a="1"/>
  <c r="Q29" i="6"/>
  <c r="R29" i="6" a="1"/>
  <c r="R29" i="6"/>
  <c r="S29" i="6" a="1"/>
  <c r="S29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I44" i="6"/>
  <c r="J44" i="6"/>
  <c r="K44" i="6"/>
  <c r="L44" i="6"/>
  <c r="M44" i="6"/>
  <c r="N44" i="6"/>
  <c r="O44" i="6"/>
  <c r="P44" i="6"/>
  <c r="Q44" i="6"/>
  <c r="R44" i="6"/>
  <c r="S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S193" i="6"/>
  <c r="S194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E20" i="5" a="1"/>
  <c r="E20" i="5"/>
  <c r="F20" i="5" a="1"/>
  <c r="F20" i="5"/>
  <c r="G20" i="5" a="1"/>
  <c r="G20" i="5"/>
  <c r="H20" i="5" a="1"/>
  <c r="H20" i="5"/>
  <c r="I20" i="5" a="1"/>
  <c r="I20" i="5"/>
  <c r="J20" i="5" a="1"/>
  <c r="J20" i="5"/>
  <c r="K20" i="5" a="1"/>
  <c r="K20" i="5"/>
  <c r="L20" i="5" a="1"/>
  <c r="L20" i="5"/>
  <c r="M20" i="5" a="1"/>
  <c r="M20" i="5"/>
  <c r="N20" i="5" a="1"/>
  <c r="N20" i="5"/>
  <c r="O20" i="5" a="1"/>
  <c r="O20" i="5"/>
  <c r="P20" i="5" a="1"/>
  <c r="P20" i="5"/>
  <c r="Q20" i="5" a="1"/>
  <c r="Q20" i="5"/>
  <c r="R20" i="5" a="1"/>
  <c r="R20" i="5"/>
  <c r="S20" i="5" a="1"/>
  <c r="S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I24" i="5"/>
  <c r="J24" i="5"/>
  <c r="K24" i="5"/>
  <c r="L24" i="5"/>
  <c r="M24" i="5"/>
  <c r="N24" i="5"/>
  <c r="O24" i="5"/>
  <c r="P24" i="5"/>
  <c r="Q24" i="5"/>
  <c r="R24" i="5"/>
  <c r="S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I47" i="5"/>
  <c r="J47" i="5"/>
  <c r="K47" i="5"/>
  <c r="L47" i="5"/>
  <c r="M47" i="5"/>
  <c r="N47" i="5"/>
  <c r="O47" i="5"/>
  <c r="P47" i="5"/>
  <c r="Q47" i="5"/>
  <c r="R47" i="5"/>
  <c r="S47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I60" i="5"/>
  <c r="J60" i="5"/>
  <c r="K60" i="5"/>
  <c r="L60" i="5"/>
  <c r="M60" i="5"/>
  <c r="N60" i="5"/>
  <c r="O60" i="5"/>
  <c r="P60" i="5"/>
  <c r="Q60" i="5"/>
  <c r="R60" i="5"/>
  <c r="S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E68" i="5"/>
  <c r="E69" i="5"/>
  <c r="E70" i="5"/>
  <c r="E71" i="5"/>
  <c r="E72" i="5"/>
  <c r="E74" i="5" a="1"/>
  <c r="E74" i="5"/>
  <c r="F74" i="5" a="1"/>
  <c r="F74" i="5"/>
  <c r="G74" i="5" a="1"/>
  <c r="G74" i="5"/>
  <c r="H74" i="5" a="1"/>
  <c r="H74" i="5"/>
  <c r="I74" i="5" a="1"/>
  <c r="I74" i="5"/>
  <c r="J74" i="5" a="1"/>
  <c r="J74" i="5"/>
  <c r="K74" i="5" a="1"/>
  <c r="K74" i="5"/>
  <c r="L74" i="5" a="1"/>
  <c r="L74" i="5"/>
  <c r="M74" i="5" a="1"/>
  <c r="M74" i="5"/>
  <c r="N74" i="5" a="1"/>
  <c r="N74" i="5"/>
  <c r="O74" i="5" a="1"/>
  <c r="O74" i="5"/>
  <c r="P74" i="5" a="1"/>
  <c r="P74" i="5"/>
  <c r="Q74" i="5" a="1"/>
  <c r="Q74" i="5"/>
  <c r="R74" i="5" a="1"/>
  <c r="R74" i="5"/>
  <c r="S74" i="5" a="1"/>
  <c r="S74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I97" i="5"/>
  <c r="J97" i="5"/>
  <c r="K97" i="5"/>
  <c r="L97" i="5"/>
  <c r="M97" i="5"/>
  <c r="N97" i="5"/>
  <c r="O97" i="5"/>
  <c r="P97" i="5"/>
  <c r="Q97" i="5"/>
  <c r="R97" i="5"/>
  <c r="S97" i="5"/>
  <c r="I98" i="5"/>
  <c r="J98" i="5"/>
  <c r="K98" i="5"/>
  <c r="L98" i="5"/>
  <c r="M98" i="5"/>
  <c r="N98" i="5"/>
  <c r="O98" i="5"/>
  <c r="P98" i="5"/>
  <c r="Q98" i="5"/>
  <c r="R98" i="5"/>
  <c r="S98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F105" i="5"/>
  <c r="G105" i="5"/>
  <c r="H105" i="5"/>
  <c r="I105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G134" i="5"/>
  <c r="H134" i="5"/>
  <c r="I134" i="5"/>
  <c r="J134" i="5"/>
  <c r="K134" i="5"/>
  <c r="L134" i="5"/>
  <c r="M134" i="5"/>
  <c r="N134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E9" i="4" a="1"/>
  <c r="E9" i="4"/>
  <c r="F10" i="4" a="1"/>
  <c r="F10" i="4"/>
  <c r="G10" i="4" a="1"/>
  <c r="G10" i="4"/>
  <c r="H10" i="4" a="1"/>
  <c r="H10" i="4"/>
  <c r="I10" i="4" a="1"/>
  <c r="I10" i="4"/>
  <c r="J10" i="4" a="1"/>
  <c r="J10" i="4"/>
  <c r="K10" i="4" a="1"/>
  <c r="K10" i="4"/>
  <c r="L10" i="4" a="1"/>
  <c r="L10" i="4"/>
  <c r="M10" i="4" a="1"/>
  <c r="M10" i="4"/>
  <c r="N10" i="4" a="1"/>
  <c r="N10" i="4"/>
  <c r="O10" i="4" a="1"/>
  <c r="O10" i="4"/>
  <c r="P10" i="4" a="1"/>
  <c r="P10" i="4"/>
  <c r="Q10" i="4" a="1"/>
  <c r="Q10" i="4"/>
  <c r="R10" i="4" a="1"/>
  <c r="R10" i="4"/>
  <c r="S10" i="4" a="1"/>
  <c r="S10" i="4"/>
  <c r="D20" i="4" a="1"/>
  <c r="D20" i="4"/>
  <c r="E20" i="4" a="1"/>
  <c r="E20" i="4"/>
  <c r="F20" i="4" a="1"/>
  <c r="F20" i="4"/>
  <c r="G20" i="4" a="1"/>
  <c r="G20" i="4"/>
  <c r="H20" i="4" a="1"/>
  <c r="H20" i="4"/>
  <c r="I20" i="4" a="1"/>
  <c r="I20" i="4"/>
  <c r="J20" i="4" a="1"/>
  <c r="J20" i="4"/>
  <c r="K20" i="4" a="1"/>
  <c r="K20" i="4"/>
  <c r="L20" i="4" a="1"/>
  <c r="L20" i="4"/>
  <c r="M20" i="4" a="1"/>
  <c r="M20" i="4"/>
  <c r="N20" i="4" a="1"/>
  <c r="N20" i="4"/>
  <c r="O20" i="4" a="1"/>
  <c r="O20" i="4"/>
  <c r="P20" i="4" a="1"/>
  <c r="P20" i="4"/>
  <c r="Q20" i="4" a="1"/>
  <c r="Q20" i="4"/>
  <c r="R20" i="4" a="1"/>
  <c r="R20" i="4"/>
  <c r="S20" i="4" a="1"/>
  <c r="S20" i="4"/>
  <c r="D22" i="4" a="1"/>
  <c r="D22" i="4"/>
  <c r="E22" i="4" a="1"/>
  <c r="E22" i="4"/>
  <c r="F22" i="4" a="1"/>
  <c r="F22" i="4"/>
  <c r="G22" i="4" a="1"/>
  <c r="G22" i="4"/>
  <c r="H22" i="4" a="1"/>
  <c r="H22" i="4"/>
  <c r="I22" i="4" a="1"/>
  <c r="I22" i="4"/>
  <c r="J22" i="4" a="1"/>
  <c r="J22" i="4"/>
  <c r="K22" i="4" a="1"/>
  <c r="K22" i="4"/>
  <c r="L22" i="4" a="1"/>
  <c r="L22" i="4"/>
  <c r="M22" i="4" a="1"/>
  <c r="M22" i="4"/>
  <c r="N22" i="4" a="1"/>
  <c r="N22" i="4"/>
  <c r="O22" i="4" a="1"/>
  <c r="O22" i="4"/>
  <c r="P22" i="4" a="1"/>
  <c r="P22" i="4"/>
  <c r="Q22" i="4" a="1"/>
  <c r="Q22" i="4"/>
  <c r="R22" i="4" a="1"/>
  <c r="R22" i="4"/>
  <c r="S22" i="4" a="1"/>
  <c r="S22" i="4"/>
  <c r="E24" i="4" a="1"/>
  <c r="E24" i="4"/>
  <c r="F24" i="4" a="1"/>
  <c r="F24" i="4"/>
  <c r="G24" i="4" a="1"/>
  <c r="G24" i="4"/>
  <c r="H24" i="4" a="1"/>
  <c r="H24" i="4"/>
  <c r="I24" i="4" a="1"/>
  <c r="I24" i="4"/>
  <c r="J24" i="4" a="1"/>
  <c r="J24" i="4"/>
  <c r="K24" i="4" a="1"/>
  <c r="K24" i="4"/>
  <c r="L24" i="4" a="1"/>
  <c r="L24" i="4"/>
  <c r="M24" i="4" a="1"/>
  <c r="M24" i="4"/>
  <c r="N24" i="4" a="1"/>
  <c r="N24" i="4"/>
  <c r="O24" i="4" a="1"/>
  <c r="O24" i="4"/>
  <c r="P24" i="4" a="1"/>
  <c r="P24" i="4"/>
  <c r="Q24" i="4" a="1"/>
  <c r="Q24" i="4"/>
  <c r="R24" i="4" a="1"/>
  <c r="R24" i="4"/>
  <c r="S24" i="4" a="1"/>
  <c r="S24" i="4"/>
  <c r="D31" i="4" a="1"/>
  <c r="D31" i="4"/>
  <c r="E31" i="4" a="1"/>
  <c r="E31" i="4"/>
  <c r="F31" i="4" a="1"/>
  <c r="F31" i="4"/>
  <c r="G31" i="4" a="1"/>
  <c r="G31" i="4"/>
  <c r="H31" i="4" a="1"/>
  <c r="H31" i="4"/>
  <c r="I31" i="4" a="1"/>
  <c r="I31" i="4"/>
  <c r="J31" i="4" a="1"/>
  <c r="J31" i="4"/>
  <c r="K31" i="4" a="1"/>
  <c r="K31" i="4"/>
  <c r="L31" i="4" a="1"/>
  <c r="L31" i="4"/>
  <c r="M31" i="4" a="1"/>
  <c r="M31" i="4"/>
  <c r="N31" i="4" a="1"/>
  <c r="N31" i="4"/>
  <c r="O31" i="4" a="1"/>
  <c r="O31" i="4"/>
  <c r="P31" i="4" a="1"/>
  <c r="P31" i="4"/>
  <c r="Q31" i="4" a="1"/>
  <c r="Q31" i="4"/>
  <c r="R31" i="4" a="1"/>
  <c r="R31" i="4"/>
  <c r="S31" i="4" a="1"/>
  <c r="S31" i="4"/>
  <c r="D32" i="4" a="1"/>
  <c r="D32" i="4"/>
  <c r="E32" i="4" a="1"/>
  <c r="E32" i="4"/>
  <c r="F32" i="4" a="1"/>
  <c r="F32" i="4"/>
  <c r="G32" i="4" a="1"/>
  <c r="G32" i="4"/>
  <c r="H32" i="4" a="1"/>
  <c r="H32" i="4"/>
  <c r="I32" i="4" a="1"/>
  <c r="I32" i="4"/>
  <c r="J32" i="4" a="1"/>
  <c r="J32" i="4"/>
  <c r="K32" i="4" a="1"/>
  <c r="K32" i="4"/>
  <c r="L32" i="4" a="1"/>
  <c r="L32" i="4"/>
  <c r="M32" i="4" a="1"/>
  <c r="M32" i="4"/>
  <c r="N32" i="4" a="1"/>
  <c r="N32" i="4"/>
  <c r="O32" i="4" a="1"/>
  <c r="O32" i="4"/>
  <c r="P32" i="4" a="1"/>
  <c r="P32" i="4"/>
  <c r="Q32" i="4" a="1"/>
  <c r="Q32" i="4"/>
  <c r="R32" i="4" a="1"/>
  <c r="R32" i="4"/>
  <c r="S32" i="4" a="1"/>
  <c r="S3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E44" i="4" a="1"/>
  <c r="E44" i="4"/>
  <c r="F44" i="4" a="1"/>
  <c r="F44" i="4"/>
  <c r="G44" i="4" a="1"/>
  <c r="G44" i="4"/>
  <c r="H44" i="4" a="1"/>
  <c r="H44" i="4"/>
  <c r="I44" i="4" a="1"/>
  <c r="I44" i="4"/>
  <c r="J44" i="4" a="1"/>
  <c r="J44" i="4"/>
  <c r="K44" i="4" a="1"/>
  <c r="K44" i="4"/>
  <c r="L44" i="4" a="1"/>
  <c r="L44" i="4"/>
  <c r="M44" i="4" a="1"/>
  <c r="M44" i="4"/>
  <c r="N44" i="4" a="1"/>
  <c r="N44" i="4"/>
  <c r="O44" i="4" a="1"/>
  <c r="O44" i="4"/>
  <c r="P44" i="4" a="1"/>
  <c r="P44" i="4"/>
  <c r="Q44" i="4" a="1"/>
  <c r="Q44" i="4"/>
  <c r="R44" i="4" a="1"/>
  <c r="R44" i="4"/>
  <c r="S44" i="4" a="1"/>
  <c r="S44" i="4"/>
  <c r="E45" i="4" a="1"/>
  <c r="E45" i="4"/>
  <c r="F45" i="4" a="1"/>
  <c r="F45" i="4"/>
  <c r="G45" i="4" a="1"/>
  <c r="G45" i="4"/>
  <c r="H45" i="4" a="1"/>
  <c r="H45" i="4"/>
  <c r="I45" i="4" a="1"/>
  <c r="I45" i="4"/>
  <c r="J45" i="4" a="1"/>
  <c r="J45" i="4"/>
  <c r="K45" i="4" a="1"/>
  <c r="K45" i="4"/>
  <c r="L45" i="4" a="1"/>
  <c r="L45" i="4"/>
  <c r="M45" i="4" a="1"/>
  <c r="M45" i="4"/>
  <c r="N45" i="4" a="1"/>
  <c r="N45" i="4"/>
  <c r="O45" i="4" a="1"/>
  <c r="O45" i="4"/>
  <c r="P45" i="4" a="1"/>
  <c r="P45" i="4"/>
  <c r="Q45" i="4" a="1"/>
  <c r="Q45" i="4"/>
  <c r="R45" i="4" a="1"/>
  <c r="R45" i="4"/>
  <c r="S45" i="4" a="1"/>
  <c r="S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D70" i="4" a="1"/>
  <c r="D70" i="4"/>
  <c r="E70" i="4" a="1"/>
  <c r="E70" i="4"/>
  <c r="F70" i="4" a="1"/>
  <c r="F70" i="4"/>
  <c r="G70" i="4" a="1"/>
  <c r="G70" i="4"/>
  <c r="H70" i="4" a="1"/>
  <c r="H70" i="4"/>
  <c r="I70" i="4" a="1"/>
  <c r="I70" i="4"/>
  <c r="J70" i="4" a="1"/>
  <c r="J70" i="4"/>
  <c r="K70" i="4" a="1"/>
  <c r="K70" i="4"/>
  <c r="L70" i="4" a="1"/>
  <c r="L70" i="4"/>
  <c r="M70" i="4" a="1"/>
  <c r="M70" i="4"/>
  <c r="N70" i="4" a="1"/>
  <c r="N70" i="4"/>
  <c r="O70" i="4" a="1"/>
  <c r="O70" i="4"/>
  <c r="P70" i="4" a="1"/>
  <c r="P70" i="4"/>
  <c r="Q70" i="4" a="1"/>
  <c r="Q70" i="4"/>
  <c r="R70" i="4" a="1"/>
  <c r="R70" i="4"/>
  <c r="S70" i="4" a="1"/>
  <c r="S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D82" i="4" a="1"/>
  <c r="D82" i="4"/>
  <c r="E82" i="4" a="1"/>
  <c r="E82" i="4"/>
  <c r="F82" i="4" a="1"/>
  <c r="F82" i="4"/>
  <c r="G82" i="4" a="1"/>
  <c r="G82" i="4"/>
  <c r="H82" i="4" a="1"/>
  <c r="H82" i="4"/>
  <c r="I82" i="4" a="1"/>
  <c r="I82" i="4"/>
  <c r="J82" i="4" a="1"/>
  <c r="J82" i="4"/>
  <c r="K82" i="4" a="1"/>
  <c r="K82" i="4"/>
  <c r="L82" i="4" a="1"/>
  <c r="L82" i="4"/>
  <c r="M82" i="4" a="1"/>
  <c r="M82" i="4"/>
  <c r="N82" i="4" a="1"/>
  <c r="N82" i="4"/>
  <c r="O82" i="4" a="1"/>
  <c r="O82" i="4"/>
  <c r="P82" i="4" a="1"/>
  <c r="P82" i="4"/>
  <c r="Q82" i="4" a="1"/>
  <c r="Q82" i="4"/>
  <c r="R82" i="4" a="1"/>
  <c r="R82" i="4"/>
  <c r="S82" i="4" a="1"/>
  <c r="S82" i="4"/>
  <c r="D83" i="4" a="1"/>
  <c r="D83" i="4"/>
  <c r="E83" i="4" a="1"/>
  <c r="E83" i="4"/>
  <c r="F83" i="4" a="1"/>
  <c r="F83" i="4"/>
  <c r="G83" i="4" a="1"/>
  <c r="G83" i="4"/>
  <c r="H83" i="4" a="1"/>
  <c r="H83" i="4"/>
  <c r="I83" i="4" a="1"/>
  <c r="I83" i="4"/>
  <c r="J83" i="4" a="1"/>
  <c r="J83" i="4"/>
  <c r="K83" i="4" a="1"/>
  <c r="K83" i="4"/>
  <c r="L83" i="4" a="1"/>
  <c r="L83" i="4"/>
  <c r="M83" i="4" a="1"/>
  <c r="M83" i="4"/>
  <c r="N83" i="4" a="1"/>
  <c r="N83" i="4"/>
  <c r="O83" i="4" a="1"/>
  <c r="O83" i="4"/>
  <c r="P83" i="4" a="1"/>
  <c r="P83" i="4"/>
  <c r="Q83" i="4" a="1"/>
  <c r="Q83" i="4"/>
  <c r="R83" i="4" a="1"/>
  <c r="R83" i="4"/>
  <c r="S83" i="4" a="1"/>
  <c r="S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D125" i="4"/>
  <c r="D126" i="4"/>
  <c r="D127" i="4"/>
  <c r="D128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E142" i="2" a="1"/>
  <c r="E142" i="2"/>
  <c r="F142" i="2" a="1"/>
  <c r="F142" i="2"/>
  <c r="G142" i="2" a="1"/>
  <c r="G142" i="2"/>
  <c r="H142" i="2" a="1"/>
  <c r="H142" i="2"/>
  <c r="I142" i="2" a="1"/>
  <c r="I142" i="2"/>
  <c r="J142" i="2" a="1"/>
  <c r="J142" i="2"/>
  <c r="K142" i="2" a="1"/>
  <c r="K142" i="2"/>
  <c r="L142" i="2" a="1"/>
  <c r="L142" i="2"/>
  <c r="M142" i="2" a="1"/>
  <c r="M142" i="2"/>
  <c r="N142" i="2" a="1"/>
  <c r="N142" i="2"/>
  <c r="O142" i="2" a="1"/>
  <c r="O142" i="2"/>
  <c r="P142" i="2" a="1"/>
  <c r="P142" i="2"/>
  <c r="Q142" i="2" a="1"/>
  <c r="Q142" i="2"/>
  <c r="R142" i="2" a="1"/>
  <c r="R142" i="2"/>
  <c r="S142" i="2" a="1"/>
  <c r="S142" i="2"/>
  <c r="F143" i="2" a="1"/>
  <c r="F143" i="2"/>
  <c r="G143" i="2" a="1"/>
  <c r="G143" i="2"/>
  <c r="H143" i="2" a="1"/>
  <c r="H143" i="2"/>
  <c r="I143" i="2" a="1"/>
  <c r="I143" i="2"/>
  <c r="J143" i="2" a="1"/>
  <c r="J143" i="2"/>
  <c r="K143" i="2" a="1"/>
  <c r="K143" i="2"/>
  <c r="L143" i="2" a="1"/>
  <c r="L143" i="2"/>
  <c r="M143" i="2" a="1"/>
  <c r="M143" i="2"/>
  <c r="N143" i="2" a="1"/>
  <c r="N143" i="2"/>
  <c r="O143" i="2" a="1"/>
  <c r="O143" i="2"/>
  <c r="P143" i="2" a="1"/>
  <c r="P143" i="2"/>
  <c r="Q143" i="2" a="1"/>
  <c r="Q143" i="2"/>
  <c r="R143" i="2" a="1"/>
  <c r="R143" i="2"/>
  <c r="S143" i="2" a="1"/>
  <c r="S143" i="2"/>
  <c r="E144" i="2" a="1"/>
  <c r="E144" i="2"/>
  <c r="F144" i="2" a="1"/>
  <c r="F144" i="2"/>
  <c r="G144" i="2" a="1"/>
  <c r="G144" i="2"/>
  <c r="H144" i="2" a="1"/>
  <c r="H144" i="2"/>
  <c r="I144" i="2" a="1"/>
  <c r="I144" i="2"/>
  <c r="J144" i="2" a="1"/>
  <c r="J144" i="2"/>
  <c r="K144" i="2" a="1"/>
  <c r="K144" i="2"/>
  <c r="L144" i="2" a="1"/>
  <c r="L144" i="2"/>
  <c r="M144" i="2" a="1"/>
  <c r="M144" i="2"/>
  <c r="N144" i="2" a="1"/>
  <c r="N144" i="2"/>
  <c r="O144" i="2" a="1"/>
  <c r="O144" i="2"/>
  <c r="P144" i="2" a="1"/>
  <c r="P144" i="2"/>
  <c r="Q144" i="2" a="1"/>
  <c r="Q144" i="2"/>
  <c r="R144" i="2" a="1"/>
  <c r="R144" i="2"/>
  <c r="S144" i="2" a="1"/>
  <c r="S144" i="2"/>
  <c r="F145" i="2" a="1"/>
  <c r="F145" i="2"/>
  <c r="G145" i="2" a="1"/>
  <c r="G145" i="2"/>
  <c r="H145" i="2" a="1"/>
  <c r="H145" i="2"/>
  <c r="I145" i="2" a="1"/>
  <c r="I145" i="2"/>
  <c r="J145" i="2" a="1"/>
  <c r="J145" i="2"/>
  <c r="K145" i="2" a="1"/>
  <c r="K145" i="2"/>
  <c r="L145" i="2" a="1"/>
  <c r="L145" i="2"/>
  <c r="M145" i="2" a="1"/>
  <c r="M145" i="2"/>
  <c r="N145" i="2" a="1"/>
  <c r="N145" i="2"/>
  <c r="O145" i="2" a="1"/>
  <c r="O145" i="2"/>
  <c r="P145" i="2" a="1"/>
  <c r="P145" i="2"/>
  <c r="Q145" i="2" a="1"/>
  <c r="Q145" i="2"/>
  <c r="R145" i="2" a="1"/>
  <c r="R145" i="2"/>
  <c r="S145" i="2" a="1"/>
  <c r="S145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E8" i="9" a="1"/>
  <c r="E8" i="9"/>
  <c r="F8" i="9" a="1"/>
  <c r="F8" i="9"/>
  <c r="G8" i="9" a="1"/>
  <c r="G8" i="9"/>
  <c r="H8" i="9" a="1"/>
  <c r="H8" i="9"/>
  <c r="I8" i="9" a="1"/>
  <c r="I8" i="9"/>
  <c r="J8" i="9" a="1"/>
  <c r="J8" i="9"/>
  <c r="K8" i="9" a="1"/>
  <c r="K8" i="9"/>
  <c r="L8" i="9" a="1"/>
  <c r="L8" i="9"/>
  <c r="M8" i="9" a="1"/>
  <c r="M8" i="9"/>
  <c r="N8" i="9" a="1"/>
  <c r="N8" i="9"/>
  <c r="O8" i="9" a="1"/>
  <c r="O8" i="9"/>
  <c r="P8" i="9" a="1"/>
  <c r="P8" i="9"/>
  <c r="Q8" i="9" a="1"/>
  <c r="Q8" i="9"/>
  <c r="R8" i="9" a="1"/>
  <c r="R8" i="9"/>
  <c r="S8" i="9" a="1"/>
  <c r="S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E12" i="9" a="1"/>
  <c r="E12" i="9"/>
  <c r="F12" i="9" a="1"/>
  <c r="F12" i="9"/>
  <c r="G12" i="9" a="1"/>
  <c r="G12" i="9"/>
  <c r="H12" i="9" a="1"/>
  <c r="H12" i="9"/>
  <c r="I12" i="9" a="1"/>
  <c r="I12" i="9"/>
  <c r="J12" i="9" a="1"/>
  <c r="J12" i="9"/>
  <c r="K12" i="9" a="1"/>
  <c r="K12" i="9"/>
  <c r="L12" i="9" a="1"/>
  <c r="L12" i="9"/>
  <c r="M12" i="9" a="1"/>
  <c r="M12" i="9"/>
  <c r="N12" i="9" a="1"/>
  <c r="N12" i="9"/>
  <c r="O12" i="9" a="1"/>
  <c r="O12" i="9"/>
  <c r="P12" i="9" a="1"/>
  <c r="P12" i="9"/>
  <c r="Q12" i="9" a="1"/>
  <c r="Q12" i="9"/>
  <c r="R12" i="9" a="1"/>
  <c r="R12" i="9"/>
  <c r="S12" i="9" a="1"/>
  <c r="S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D18" i="9" a="1"/>
  <c r="D18" i="9"/>
  <c r="E18" i="9" a="1"/>
  <c r="E18" i="9"/>
  <c r="F18" i="9" a="1"/>
  <c r="F18" i="9"/>
  <c r="G18" i="9" a="1"/>
  <c r="G18" i="9"/>
  <c r="H18" i="9" a="1"/>
  <c r="H18" i="9"/>
  <c r="I18" i="9" a="1"/>
  <c r="I18" i="9"/>
  <c r="J18" i="9" a="1"/>
  <c r="J18" i="9"/>
  <c r="K18" i="9" a="1"/>
  <c r="K18" i="9"/>
  <c r="L18" i="9" a="1"/>
  <c r="L18" i="9"/>
  <c r="M18" i="9" a="1"/>
  <c r="M18" i="9"/>
  <c r="N18" i="9" a="1"/>
  <c r="N18" i="9"/>
  <c r="O18" i="9" a="1"/>
  <c r="O18" i="9"/>
  <c r="P18" i="9" a="1"/>
  <c r="P18" i="9"/>
  <c r="Q18" i="9" a="1"/>
  <c r="Q18" i="9"/>
  <c r="R18" i="9" a="1"/>
  <c r="R18" i="9"/>
  <c r="S18" i="9" a="1"/>
  <c r="S18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D24" i="9" a="1"/>
  <c r="D24" i="9"/>
  <c r="E24" i="9" a="1"/>
  <c r="E24" i="9"/>
  <c r="F24" i="9" a="1"/>
  <c r="F24" i="9"/>
  <c r="G24" i="9" a="1"/>
  <c r="G24" i="9"/>
  <c r="H24" i="9" a="1"/>
  <c r="H24" i="9"/>
  <c r="I24" i="9" a="1"/>
  <c r="I24" i="9"/>
  <c r="J24" i="9" a="1"/>
  <c r="J24" i="9"/>
  <c r="K24" i="9" a="1"/>
  <c r="K24" i="9"/>
  <c r="L24" i="9" a="1"/>
  <c r="L24" i="9"/>
  <c r="M24" i="9" a="1"/>
  <c r="M24" i="9"/>
  <c r="N24" i="9" a="1"/>
  <c r="N24" i="9"/>
  <c r="O24" i="9" a="1"/>
  <c r="O24" i="9"/>
  <c r="P24" i="9" a="1"/>
  <c r="P24" i="9"/>
  <c r="Q24" i="9" a="1"/>
  <c r="Q24" i="9"/>
  <c r="R24" i="9" a="1"/>
  <c r="R24" i="9"/>
  <c r="S24" i="9" a="1"/>
  <c r="S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F32" i="9" a="1"/>
  <c r="F32" i="9"/>
  <c r="G32" i="9" a="1"/>
  <c r="G32" i="9"/>
  <c r="H32" i="9" a="1"/>
  <c r="H32" i="9"/>
  <c r="I32" i="9" a="1"/>
  <c r="I32" i="9"/>
  <c r="J32" i="9" a="1"/>
  <c r="J32" i="9"/>
  <c r="K32" i="9" a="1"/>
  <c r="K32" i="9"/>
  <c r="L32" i="9" a="1"/>
  <c r="L32" i="9"/>
  <c r="M32" i="9" a="1"/>
  <c r="M32" i="9"/>
  <c r="N32" i="9" a="1"/>
  <c r="N32" i="9"/>
  <c r="O32" i="9" a="1"/>
  <c r="O32" i="9"/>
  <c r="P32" i="9" a="1"/>
  <c r="P32" i="9"/>
  <c r="Q32" i="9" a="1"/>
  <c r="Q32" i="9"/>
  <c r="R32" i="9" a="1"/>
  <c r="R32" i="9"/>
  <c r="S32" i="9" a="1"/>
  <c r="S32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E38" i="9" a="1"/>
  <c r="E38" i="9"/>
  <c r="F38" i="9" a="1"/>
  <c r="F38" i="9"/>
  <c r="G38" i="9" a="1"/>
  <c r="G38" i="9"/>
  <c r="H38" i="9" a="1"/>
  <c r="H38" i="9"/>
  <c r="I38" i="9" a="1"/>
  <c r="I38" i="9"/>
  <c r="J38" i="9" a="1"/>
  <c r="J38" i="9"/>
  <c r="K38" i="9" a="1"/>
  <c r="K38" i="9"/>
  <c r="L38" i="9" a="1"/>
  <c r="L38" i="9"/>
  <c r="M38" i="9" a="1"/>
  <c r="M38" i="9"/>
  <c r="N38" i="9" a="1"/>
  <c r="N38" i="9"/>
  <c r="O38" i="9" a="1"/>
  <c r="O38" i="9"/>
  <c r="P38" i="9" a="1"/>
  <c r="P38" i="9"/>
  <c r="Q38" i="9" a="1"/>
  <c r="Q38" i="9"/>
  <c r="R38" i="9" a="1"/>
  <c r="R38" i="9"/>
  <c r="S38" i="9" a="1"/>
  <c r="S38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D53" i="9" a="1"/>
  <c r="D53" i="9"/>
  <c r="E53" i="9" a="1"/>
  <c r="E53" i="9"/>
  <c r="F53" i="9" a="1"/>
  <c r="F53" i="9"/>
  <c r="G53" i="9" a="1"/>
  <c r="G53" i="9"/>
  <c r="H53" i="9" a="1"/>
  <c r="H53" i="9"/>
  <c r="I53" i="9" a="1"/>
  <c r="I53" i="9"/>
  <c r="J53" i="9" a="1"/>
  <c r="J53" i="9"/>
  <c r="K53" i="9" a="1"/>
  <c r="K53" i="9"/>
  <c r="L53" i="9" a="1"/>
  <c r="L53" i="9"/>
  <c r="M53" i="9" a="1"/>
  <c r="M53" i="9"/>
  <c r="N53" i="9" a="1"/>
  <c r="N53" i="9"/>
  <c r="O53" i="9" a="1"/>
  <c r="O53" i="9"/>
  <c r="P53" i="9" a="1"/>
  <c r="P53" i="9"/>
  <c r="Q53" i="9" a="1"/>
  <c r="Q53" i="9"/>
  <c r="R53" i="9" a="1"/>
  <c r="R53" i="9"/>
  <c r="S53" i="9" a="1"/>
  <c r="S53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F71" i="9" a="1"/>
  <c r="F71" i="9"/>
  <c r="G71" i="9" a="1"/>
  <c r="G71" i="9"/>
  <c r="H71" i="9" a="1"/>
  <c r="H71" i="9"/>
  <c r="I71" i="9" a="1"/>
  <c r="I71" i="9"/>
  <c r="J71" i="9" a="1"/>
  <c r="J71" i="9"/>
  <c r="K71" i="9" a="1"/>
  <c r="K71" i="9"/>
  <c r="L71" i="9" a="1"/>
  <c r="L71" i="9"/>
  <c r="M71" i="9" a="1"/>
  <c r="M71" i="9"/>
  <c r="N71" i="9" a="1"/>
  <c r="N71" i="9"/>
  <c r="O71" i="9" a="1"/>
  <c r="O71" i="9"/>
  <c r="P71" i="9" a="1"/>
  <c r="P71" i="9"/>
  <c r="Q71" i="9" a="1"/>
  <c r="Q71" i="9"/>
  <c r="R71" i="9" a="1"/>
  <c r="R71" i="9"/>
  <c r="S71" i="9" a="1"/>
  <c r="S71" i="9"/>
  <c r="D72" i="9" a="1"/>
  <c r="D72" i="9"/>
  <c r="E72" i="9" a="1"/>
  <c r="E72" i="9"/>
  <c r="F72" i="9" a="1"/>
  <c r="F72" i="9"/>
  <c r="G72" i="9" a="1"/>
  <c r="G72" i="9"/>
  <c r="H72" i="9" a="1"/>
  <c r="H72" i="9"/>
  <c r="I72" i="9" a="1"/>
  <c r="I72" i="9"/>
  <c r="J72" i="9" a="1"/>
  <c r="J72" i="9"/>
  <c r="K72" i="9" a="1"/>
  <c r="K72" i="9"/>
  <c r="L72" i="9" a="1"/>
  <c r="L72" i="9"/>
  <c r="M72" i="9" a="1"/>
  <c r="M72" i="9"/>
  <c r="N72" i="9" a="1"/>
  <c r="N72" i="9"/>
  <c r="O72" i="9" a="1"/>
  <c r="O72" i="9"/>
  <c r="P72" i="9" a="1"/>
  <c r="P72" i="9"/>
  <c r="Q72" i="9" a="1"/>
  <c r="Q72" i="9"/>
  <c r="R72" i="9" a="1"/>
  <c r="R72" i="9"/>
  <c r="S72" i="9" a="1"/>
  <c r="S72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F74" i="9" a="1"/>
  <c r="F74" i="9"/>
  <c r="G74" i="9" a="1"/>
  <c r="G74" i="9"/>
  <c r="H74" i="9" a="1"/>
  <c r="H74" i="9"/>
  <c r="I74" i="9" a="1"/>
  <c r="I74" i="9"/>
  <c r="J74" i="9" a="1"/>
  <c r="J74" i="9"/>
  <c r="K74" i="9" a="1"/>
  <c r="K74" i="9"/>
  <c r="L74" i="9" a="1"/>
  <c r="L74" i="9"/>
  <c r="M74" i="9" a="1"/>
  <c r="M74" i="9"/>
  <c r="N74" i="9" a="1"/>
  <c r="N74" i="9"/>
  <c r="O74" i="9" a="1"/>
  <c r="O74" i="9"/>
  <c r="P74" i="9" a="1"/>
  <c r="P74" i="9"/>
  <c r="Q74" i="9" a="1"/>
  <c r="Q74" i="9"/>
  <c r="R74" i="9" a="1"/>
  <c r="R74" i="9"/>
  <c r="S74" i="9" a="1"/>
  <c r="S74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D82" i="9" a="1"/>
  <c r="D82" i="9"/>
  <c r="E82" i="9" a="1"/>
  <c r="E82" i="9"/>
  <c r="F82" i="9" a="1"/>
  <c r="F82" i="9"/>
  <c r="G82" i="9" a="1"/>
  <c r="G82" i="9"/>
  <c r="H82" i="9" a="1"/>
  <c r="H82" i="9"/>
  <c r="I82" i="9" a="1"/>
  <c r="I82" i="9"/>
  <c r="J82" i="9" a="1"/>
  <c r="J82" i="9"/>
  <c r="K82" i="9" a="1"/>
  <c r="K82" i="9"/>
  <c r="L82" i="9" a="1"/>
  <c r="L82" i="9"/>
  <c r="M82" i="9" a="1"/>
  <c r="M82" i="9"/>
  <c r="N82" i="9" a="1"/>
  <c r="N82" i="9"/>
  <c r="O82" i="9" a="1"/>
  <c r="O82" i="9"/>
  <c r="P82" i="9" a="1"/>
  <c r="P82" i="9"/>
  <c r="Q82" i="9" a="1"/>
  <c r="Q82" i="9"/>
  <c r="R82" i="9" a="1"/>
  <c r="R82" i="9"/>
  <c r="S82" i="9" a="1"/>
  <c r="S82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I35" i="10"/>
  <c r="J35" i="10"/>
  <c r="K35" i="10"/>
  <c r="L35" i="10"/>
  <c r="M35" i="10"/>
  <c r="N35" i="10"/>
  <c r="O35" i="10"/>
  <c r="P35" i="10"/>
  <c r="Q35" i="10"/>
  <c r="R35" i="10"/>
  <c r="S35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I55" i="10"/>
  <c r="J55" i="10"/>
  <c r="K55" i="10"/>
  <c r="L55" i="10"/>
  <c r="M55" i="10"/>
  <c r="N55" i="10"/>
  <c r="O55" i="10"/>
  <c r="P55" i="10"/>
  <c r="Q55" i="10"/>
  <c r="R55" i="10"/>
  <c r="S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I63" i="10"/>
  <c r="J63" i="10"/>
  <c r="K63" i="10"/>
  <c r="L63" i="10"/>
  <c r="M63" i="10"/>
  <c r="N63" i="10"/>
  <c r="O63" i="10"/>
  <c r="P63" i="10"/>
  <c r="Q63" i="10"/>
  <c r="R63" i="10"/>
  <c r="S63" i="10"/>
  <c r="D64" i="10" a="1"/>
  <c r="D64" i="10"/>
  <c r="E64" i="10" a="1"/>
  <c r="E64" i="10"/>
  <c r="F64" i="10" a="1"/>
  <c r="F64" i="10"/>
  <c r="G64" i="10" a="1"/>
  <c r="G64" i="10"/>
  <c r="H64" i="10" a="1"/>
  <c r="H64" i="10"/>
  <c r="I64" i="10" a="1"/>
  <c r="I64" i="10"/>
  <c r="J64" i="10" a="1"/>
  <c r="J64" i="10"/>
  <c r="K64" i="10" a="1"/>
  <c r="K64" i="10"/>
  <c r="L64" i="10" a="1"/>
  <c r="L64" i="10"/>
  <c r="M64" i="10" a="1"/>
  <c r="M64" i="10"/>
  <c r="N64" i="10" a="1"/>
  <c r="N64" i="10"/>
  <c r="O64" i="10" a="1"/>
  <c r="O64" i="10"/>
  <c r="P64" i="10" a="1"/>
  <c r="P64" i="10"/>
  <c r="Q64" i="10" a="1"/>
  <c r="Q64" i="10"/>
  <c r="R64" i="10" a="1"/>
  <c r="R64" i="10"/>
  <c r="S64" i="10" a="1"/>
  <c r="S64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I71" i="10"/>
  <c r="J71" i="10"/>
  <c r="K71" i="10"/>
  <c r="L71" i="10"/>
  <c r="M71" i="10"/>
  <c r="N71" i="10"/>
  <c r="O71" i="10"/>
  <c r="P71" i="10"/>
  <c r="Q71" i="10"/>
  <c r="R71" i="10"/>
  <c r="S71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I83" i="10"/>
  <c r="J83" i="10"/>
  <c r="K83" i="10"/>
  <c r="L83" i="10"/>
  <c r="M83" i="10"/>
  <c r="N83" i="10"/>
  <c r="O83" i="10"/>
  <c r="P83" i="10"/>
  <c r="Q83" i="10"/>
  <c r="R83" i="10"/>
  <c r="S83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I91" i="10"/>
  <c r="J91" i="10"/>
  <c r="K91" i="10"/>
  <c r="L91" i="10"/>
  <c r="M91" i="10"/>
  <c r="N91" i="10"/>
  <c r="O91" i="10"/>
  <c r="P91" i="10"/>
  <c r="Q91" i="10"/>
  <c r="R91" i="10"/>
  <c r="S91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E94" i="10" a="1"/>
  <c r="E94" i="10"/>
  <c r="F94" i="10" a="1"/>
  <c r="F94" i="10"/>
  <c r="G94" i="10" a="1"/>
  <c r="G94" i="10"/>
  <c r="H94" i="10" a="1"/>
  <c r="H94" i="10"/>
  <c r="I94" i="10" a="1"/>
  <c r="I94" i="10"/>
  <c r="J94" i="10" a="1"/>
  <c r="J94" i="10"/>
  <c r="K94" i="10" a="1"/>
  <c r="K94" i="10"/>
  <c r="L94" i="10" a="1"/>
  <c r="L94" i="10"/>
  <c r="M94" i="10" a="1"/>
  <c r="M94" i="10"/>
  <c r="N94" i="10" a="1"/>
  <c r="N94" i="10"/>
  <c r="O94" i="10" a="1"/>
  <c r="O94" i="10"/>
  <c r="P94" i="10" a="1"/>
  <c r="P94" i="10"/>
  <c r="Q94" i="10" a="1"/>
  <c r="Q94" i="10"/>
  <c r="R94" i="10" a="1"/>
  <c r="R94" i="10"/>
  <c r="S94" i="10" a="1"/>
  <c r="S94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I104" i="10"/>
  <c r="J104" i="10"/>
  <c r="K104" i="10"/>
  <c r="L104" i="10"/>
  <c r="M104" i="10"/>
  <c r="N104" i="10"/>
  <c r="O104" i="10"/>
  <c r="P104" i="10"/>
  <c r="Q104" i="10"/>
  <c r="R104" i="10"/>
  <c r="S104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F119" i="10"/>
  <c r="G119" i="10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I11" i="14"/>
  <c r="J11" i="14"/>
  <c r="K11" i="14"/>
  <c r="L11" i="14"/>
  <c r="M11" i="14"/>
  <c r="N11" i="14"/>
  <c r="O11" i="14"/>
  <c r="P11" i="14"/>
  <c r="Q11" i="14"/>
  <c r="R11" i="14"/>
  <c r="S11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E21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I30" i="7"/>
  <c r="J30" i="7"/>
  <c r="K30" i="7"/>
  <c r="L30" i="7"/>
  <c r="M30" i="7"/>
  <c r="N30" i="7"/>
  <c r="O30" i="7"/>
  <c r="P30" i="7"/>
  <c r="Q30" i="7"/>
  <c r="R30" i="7"/>
  <c r="S30" i="7"/>
  <c r="I45" i="7"/>
  <c r="J45" i="7"/>
  <c r="K45" i="7"/>
  <c r="L45" i="7"/>
  <c r="M45" i="7"/>
  <c r="N45" i="7"/>
  <c r="O45" i="7"/>
  <c r="P45" i="7"/>
  <c r="Q45" i="7"/>
  <c r="R45" i="7"/>
  <c r="S45" i="7"/>
  <c r="I46" i="7"/>
  <c r="J46" i="7"/>
  <c r="K46" i="7"/>
  <c r="L46" i="7"/>
  <c r="M46" i="7"/>
  <c r="N46" i="7"/>
  <c r="O46" i="7"/>
  <c r="P46" i="7"/>
  <c r="Q46" i="7"/>
  <c r="R46" i="7"/>
  <c r="S46" i="7"/>
  <c r="I47" i="7"/>
  <c r="J47" i="7"/>
  <c r="K47" i="7"/>
  <c r="L47" i="7"/>
  <c r="M47" i="7"/>
  <c r="N47" i="7"/>
  <c r="O47" i="7"/>
  <c r="P47" i="7"/>
  <c r="Q47" i="7"/>
  <c r="R47" i="7"/>
  <c r="S47" i="7"/>
  <c r="I48" i="7"/>
  <c r="J48" i="7"/>
  <c r="K48" i="7"/>
  <c r="L48" i="7"/>
  <c r="M48" i="7"/>
  <c r="N48" i="7"/>
  <c r="O48" i="7"/>
  <c r="P48" i="7"/>
  <c r="Q48" i="7"/>
  <c r="R48" i="7"/>
  <c r="S48" i="7"/>
  <c r="I49" i="7"/>
  <c r="J49" i="7"/>
  <c r="K49" i="7"/>
  <c r="L49" i="7"/>
  <c r="M49" i="7"/>
  <c r="N49" i="7"/>
  <c r="O49" i="7"/>
  <c r="P49" i="7"/>
  <c r="Q49" i="7"/>
  <c r="R49" i="7"/>
  <c r="S49" i="7"/>
  <c r="I53" i="7"/>
  <c r="J53" i="7"/>
  <c r="K53" i="7"/>
  <c r="L53" i="7"/>
  <c r="M53" i="7"/>
  <c r="N53" i="7"/>
  <c r="O53" i="7"/>
  <c r="P53" i="7"/>
  <c r="Q53" i="7"/>
  <c r="R53" i="7"/>
  <c r="S53" i="7"/>
  <c r="I54" i="7"/>
  <c r="J54" i="7"/>
  <c r="K54" i="7"/>
  <c r="L54" i="7"/>
  <c r="M54" i="7"/>
  <c r="N54" i="7"/>
  <c r="O54" i="7"/>
  <c r="P54" i="7"/>
  <c r="Q54" i="7"/>
  <c r="R54" i="7"/>
  <c r="S54" i="7"/>
  <c r="I55" i="7"/>
  <c r="J55" i="7"/>
  <c r="K55" i="7"/>
  <c r="L55" i="7"/>
  <c r="M55" i="7"/>
  <c r="N55" i="7"/>
  <c r="O55" i="7"/>
  <c r="P55" i="7"/>
  <c r="Q55" i="7"/>
  <c r="R55" i="7"/>
  <c r="S55" i="7"/>
  <c r="I56" i="7"/>
  <c r="J56" i="7"/>
  <c r="K56" i="7"/>
  <c r="L56" i="7"/>
  <c r="M56" i="7"/>
  <c r="N56" i="7"/>
  <c r="O56" i="7"/>
  <c r="P56" i="7"/>
  <c r="Q56" i="7"/>
  <c r="R56" i="7"/>
  <c r="S56" i="7"/>
  <c r="I57" i="7"/>
  <c r="J57" i="7"/>
  <c r="K57" i="7"/>
  <c r="L57" i="7"/>
  <c r="M57" i="7"/>
  <c r="N57" i="7"/>
  <c r="O57" i="7"/>
  <c r="P57" i="7"/>
  <c r="Q57" i="7"/>
  <c r="R57" i="7"/>
  <c r="S57" i="7"/>
  <c r="N64" i="7" a="1"/>
  <c r="N64" i="7"/>
  <c r="O64" i="7" a="1"/>
  <c r="O64" i="7"/>
  <c r="P64" i="7" a="1"/>
  <c r="P64" i="7"/>
  <c r="Q64" i="7" a="1"/>
  <c r="Q64" i="7"/>
  <c r="R64" i="7" a="1"/>
  <c r="R64" i="7"/>
  <c r="S64" i="7" a="1"/>
  <c r="S64" i="7"/>
  <c r="N65" i="7" a="1"/>
  <c r="N65" i="7"/>
  <c r="O65" i="7" a="1"/>
  <c r="O65" i="7"/>
  <c r="P65" i="7" a="1"/>
  <c r="P65" i="7"/>
  <c r="Q65" i="7" a="1"/>
  <c r="Q65" i="7"/>
  <c r="R65" i="7" a="1"/>
  <c r="R65" i="7"/>
  <c r="S65" i="7" a="1"/>
  <c r="S65" i="7"/>
  <c r="I67" i="7" a="1"/>
  <c r="I67" i="7"/>
  <c r="J67" i="7" a="1"/>
  <c r="J67" i="7"/>
  <c r="K67" i="7" a="1"/>
  <c r="K67" i="7"/>
  <c r="L67" i="7" a="1"/>
  <c r="L67" i="7"/>
  <c r="M67" i="7" a="1"/>
  <c r="M67" i="7"/>
  <c r="N67" i="7" a="1"/>
  <c r="N67" i="7"/>
  <c r="O67" i="7" a="1"/>
  <c r="O67" i="7"/>
  <c r="P67" i="7" a="1"/>
  <c r="P67" i="7"/>
  <c r="Q67" i="7" a="1"/>
  <c r="Q67" i="7"/>
  <c r="R67" i="7" a="1"/>
  <c r="R67" i="7"/>
  <c r="S67" i="7" a="1"/>
  <c r="S67" i="7"/>
  <c r="I68" i="7" a="1"/>
  <c r="I68" i="7"/>
  <c r="J68" i="7" a="1"/>
  <c r="J68" i="7"/>
  <c r="K68" i="7" a="1"/>
  <c r="K68" i="7"/>
  <c r="L68" i="7" a="1"/>
  <c r="L68" i="7"/>
  <c r="M68" i="7" a="1"/>
  <c r="M68" i="7"/>
  <c r="N68" i="7" a="1"/>
  <c r="N68" i="7"/>
  <c r="O68" i="7" a="1"/>
  <c r="O68" i="7"/>
  <c r="P68" i="7" a="1"/>
  <c r="P68" i="7"/>
  <c r="Q68" i="7" a="1"/>
  <c r="Q68" i="7"/>
  <c r="R68" i="7" a="1"/>
  <c r="R68" i="7"/>
  <c r="S68" i="7" a="1"/>
  <c r="S68" i="7"/>
  <c r="I70" i="7"/>
  <c r="J70" i="7"/>
  <c r="K70" i="7"/>
  <c r="L70" i="7"/>
  <c r="M70" i="7"/>
  <c r="N70" i="7"/>
  <c r="O70" i="7"/>
  <c r="P70" i="7"/>
  <c r="Q70" i="7"/>
  <c r="R70" i="7"/>
  <c r="S70" i="7"/>
  <c r="I71" i="7"/>
  <c r="J71" i="7"/>
  <c r="K71" i="7"/>
  <c r="L71" i="7"/>
  <c r="M71" i="7"/>
  <c r="N71" i="7"/>
  <c r="O71" i="7"/>
  <c r="P71" i="7"/>
  <c r="Q71" i="7"/>
  <c r="R71" i="7"/>
  <c r="S71" i="7"/>
  <c r="I72" i="7"/>
  <c r="J72" i="7"/>
  <c r="K72" i="7"/>
  <c r="L72" i="7"/>
  <c r="M72" i="7"/>
  <c r="N72" i="7"/>
  <c r="O72" i="7"/>
  <c r="P72" i="7"/>
  <c r="Q72" i="7"/>
  <c r="R72" i="7"/>
  <c r="S72" i="7"/>
  <c r="I73" i="7"/>
  <c r="J73" i="7"/>
  <c r="K73" i="7"/>
  <c r="L73" i="7"/>
  <c r="M73" i="7"/>
  <c r="N73" i="7"/>
  <c r="O73" i="7"/>
  <c r="P73" i="7"/>
  <c r="Q73" i="7"/>
  <c r="R73" i="7"/>
  <c r="S73" i="7"/>
  <c r="I74" i="7"/>
  <c r="J74" i="7"/>
  <c r="K74" i="7"/>
  <c r="L74" i="7"/>
  <c r="M74" i="7"/>
  <c r="N74" i="7"/>
  <c r="O74" i="7"/>
  <c r="P74" i="7"/>
  <c r="Q74" i="7"/>
  <c r="R74" i="7"/>
  <c r="S74" i="7"/>
  <c r="I75" i="7"/>
  <c r="J75" i="7"/>
  <c r="K75" i="7"/>
  <c r="L75" i="7"/>
  <c r="M75" i="7"/>
  <c r="N75" i="7"/>
  <c r="O75" i="7"/>
  <c r="P75" i="7"/>
  <c r="Q75" i="7"/>
  <c r="R75" i="7"/>
  <c r="S75" i="7"/>
  <c r="I76" i="7" a="1"/>
  <c r="I76" i="7"/>
  <c r="J76" i="7" a="1"/>
  <c r="J76" i="7"/>
  <c r="K76" i="7" a="1"/>
  <c r="K76" i="7"/>
  <c r="L76" i="7" a="1"/>
  <c r="L76" i="7"/>
  <c r="M76" i="7" a="1"/>
  <c r="M76" i="7"/>
  <c r="N76" i="7" a="1"/>
  <c r="N76" i="7"/>
  <c r="O76" i="7" a="1"/>
  <c r="O76" i="7"/>
  <c r="P76" i="7" a="1"/>
  <c r="P76" i="7"/>
  <c r="Q76" i="7" a="1"/>
  <c r="Q76" i="7"/>
  <c r="R76" i="7" a="1"/>
  <c r="R76" i="7"/>
  <c r="S76" i="7" a="1"/>
  <c r="S76" i="7"/>
  <c r="I77" i="7" a="1"/>
  <c r="I77" i="7"/>
  <c r="J77" i="7" a="1"/>
  <c r="J77" i="7"/>
  <c r="K77" i="7" a="1"/>
  <c r="K77" i="7"/>
  <c r="L77" i="7" a="1"/>
  <c r="L77" i="7"/>
  <c r="M77" i="7" a="1"/>
  <c r="M77" i="7"/>
  <c r="N77" i="7" a="1"/>
  <c r="N77" i="7"/>
  <c r="O77" i="7" a="1"/>
  <c r="O77" i="7"/>
  <c r="P77" i="7" a="1"/>
  <c r="P77" i="7"/>
  <c r="Q77" i="7" a="1"/>
  <c r="Q77" i="7"/>
  <c r="R77" i="7" a="1"/>
  <c r="R77" i="7"/>
  <c r="S77" i="7" a="1"/>
  <c r="S77" i="7"/>
  <c r="I78" i="7"/>
  <c r="J78" i="7"/>
  <c r="K78" i="7"/>
  <c r="L78" i="7"/>
  <c r="M78" i="7"/>
  <c r="N78" i="7"/>
  <c r="O78" i="7"/>
  <c r="P78" i="7"/>
  <c r="Q78" i="7"/>
  <c r="R78" i="7"/>
  <c r="S78" i="7"/>
  <c r="I84" i="7"/>
  <c r="J84" i="7"/>
  <c r="K84" i="7"/>
  <c r="L84" i="7"/>
  <c r="M84" i="7"/>
  <c r="N84" i="7"/>
  <c r="O84" i="7"/>
  <c r="P84" i="7"/>
  <c r="Q84" i="7"/>
  <c r="R84" i="7"/>
  <c r="S84" i="7"/>
  <c r="I85" i="7"/>
  <c r="J85" i="7"/>
  <c r="K85" i="7"/>
  <c r="L85" i="7"/>
  <c r="M85" i="7"/>
  <c r="N85" i="7"/>
  <c r="O85" i="7"/>
  <c r="P85" i="7"/>
  <c r="Q85" i="7"/>
  <c r="R85" i="7"/>
  <c r="S85" i="7"/>
  <c r="I86" i="7"/>
  <c r="J86" i="7"/>
  <c r="K86" i="7"/>
  <c r="L86" i="7"/>
  <c r="M86" i="7"/>
  <c r="N86" i="7"/>
  <c r="O86" i="7"/>
  <c r="P86" i="7"/>
  <c r="Q86" i="7"/>
  <c r="R86" i="7"/>
  <c r="S86" i="7"/>
  <c r="I88" i="7"/>
  <c r="J88" i="7"/>
  <c r="K88" i="7"/>
  <c r="L88" i="7"/>
  <c r="M88" i="7"/>
  <c r="N88" i="7"/>
  <c r="O88" i="7"/>
  <c r="P88" i="7"/>
  <c r="Q88" i="7"/>
  <c r="R88" i="7"/>
  <c r="S88" i="7"/>
  <c r="I89" i="7" a="1"/>
  <c r="I89" i="7"/>
  <c r="J89" i="7" a="1"/>
  <c r="J89" i="7"/>
  <c r="K89" i="7" a="1"/>
  <c r="K89" i="7"/>
  <c r="L89" i="7" a="1"/>
  <c r="L89" i="7"/>
  <c r="M89" i="7" a="1"/>
  <c r="M89" i="7"/>
  <c r="N89" i="7" a="1"/>
  <c r="N89" i="7"/>
  <c r="O89" i="7" a="1"/>
  <c r="O89" i="7"/>
  <c r="P89" i="7" a="1"/>
  <c r="P89" i="7"/>
  <c r="Q89" i="7" a="1"/>
  <c r="Q89" i="7"/>
  <c r="R89" i="7" a="1"/>
  <c r="R89" i="7"/>
  <c r="S89" i="7" a="1"/>
  <c r="S89" i="7"/>
  <c r="I90" i="7" a="1"/>
  <c r="I90" i="7"/>
  <c r="J90" i="7" a="1"/>
  <c r="J90" i="7"/>
  <c r="K90" i="7" a="1"/>
  <c r="K90" i="7"/>
  <c r="L90" i="7" a="1"/>
  <c r="L90" i="7"/>
  <c r="M90" i="7" a="1"/>
  <c r="M90" i="7"/>
  <c r="N90" i="7" a="1"/>
  <c r="N90" i="7"/>
  <c r="O90" i="7" a="1"/>
  <c r="O90" i="7"/>
  <c r="P90" i="7" a="1"/>
  <c r="P90" i="7"/>
  <c r="Q90" i="7" a="1"/>
  <c r="Q90" i="7"/>
  <c r="R90" i="7" a="1"/>
  <c r="R90" i="7"/>
  <c r="S90" i="7" a="1"/>
  <c r="S90" i="7"/>
  <c r="I91" i="7" a="1"/>
  <c r="I91" i="7"/>
  <c r="J91" i="7" a="1"/>
  <c r="J91" i="7"/>
  <c r="K91" i="7" a="1"/>
  <c r="K91" i="7"/>
  <c r="L91" i="7" a="1"/>
  <c r="L91" i="7"/>
  <c r="M91" i="7" a="1"/>
  <c r="M91" i="7"/>
  <c r="N91" i="7" a="1"/>
  <c r="N91" i="7"/>
  <c r="O91" i="7" a="1"/>
  <c r="O91" i="7"/>
  <c r="P91" i="7" a="1"/>
  <c r="P91" i="7"/>
  <c r="Q91" i="7" a="1"/>
  <c r="Q91" i="7"/>
  <c r="R91" i="7" a="1"/>
  <c r="R91" i="7"/>
  <c r="S91" i="7" a="1"/>
  <c r="S91" i="7"/>
  <c r="I92" i="7"/>
  <c r="J92" i="7"/>
  <c r="K92" i="7"/>
  <c r="L92" i="7"/>
  <c r="M92" i="7"/>
  <c r="N92" i="7"/>
  <c r="O92" i="7"/>
  <c r="P92" i="7"/>
  <c r="Q92" i="7"/>
  <c r="R92" i="7"/>
  <c r="S92" i="7"/>
  <c r="I94" i="7"/>
  <c r="J94" i="7"/>
  <c r="K94" i="7"/>
  <c r="L94" i="7"/>
  <c r="M94" i="7"/>
  <c r="N94" i="7"/>
  <c r="O94" i="7"/>
  <c r="P94" i="7"/>
  <c r="Q94" i="7"/>
  <c r="R94" i="7"/>
  <c r="S94" i="7"/>
  <c r="I95" i="7"/>
  <c r="J95" i="7"/>
  <c r="K95" i="7"/>
  <c r="L95" i="7"/>
  <c r="M95" i="7"/>
  <c r="N95" i="7"/>
  <c r="O95" i="7"/>
  <c r="P95" i="7"/>
  <c r="Q95" i="7"/>
  <c r="R95" i="7"/>
  <c r="S95" i="7"/>
  <c r="I96" i="7"/>
  <c r="J96" i="7"/>
  <c r="K96" i="7"/>
  <c r="L96" i="7"/>
  <c r="M96" i="7"/>
  <c r="N96" i="7"/>
  <c r="O96" i="7"/>
  <c r="P96" i="7"/>
  <c r="Q96" i="7"/>
  <c r="R96" i="7"/>
  <c r="S96" i="7"/>
  <c r="I97" i="7"/>
  <c r="J97" i="7"/>
  <c r="K97" i="7"/>
  <c r="L97" i="7"/>
  <c r="M97" i="7"/>
  <c r="N97" i="7"/>
  <c r="O97" i="7"/>
  <c r="P97" i="7"/>
  <c r="Q97" i="7"/>
  <c r="R97" i="7"/>
  <c r="S97" i="7"/>
  <c r="I100" i="7" a="1"/>
  <c r="I100" i="7"/>
  <c r="J100" i="7" a="1"/>
  <c r="J100" i="7"/>
  <c r="K100" i="7" a="1"/>
  <c r="K100" i="7"/>
  <c r="L100" i="7" a="1"/>
  <c r="L100" i="7"/>
  <c r="M100" i="7" a="1"/>
  <c r="M100" i="7"/>
  <c r="N100" i="7" a="1"/>
  <c r="N100" i="7"/>
  <c r="O100" i="7" a="1"/>
  <c r="O100" i="7"/>
  <c r="P100" i="7" a="1"/>
  <c r="P100" i="7"/>
  <c r="Q100" i="7" a="1"/>
  <c r="Q100" i="7"/>
  <c r="R100" i="7" a="1"/>
  <c r="R100" i="7"/>
  <c r="S100" i="7" a="1"/>
  <c r="S100" i="7"/>
  <c r="I101" i="7" a="1"/>
  <c r="I101" i="7"/>
  <c r="J101" i="7" a="1"/>
  <c r="J101" i="7"/>
  <c r="K101" i="7" a="1"/>
  <c r="K101" i="7"/>
  <c r="L101" i="7" a="1"/>
  <c r="L101" i="7"/>
  <c r="M101" i="7" a="1"/>
  <c r="M101" i="7"/>
  <c r="N101" i="7" a="1"/>
  <c r="N101" i="7"/>
  <c r="O101" i="7" a="1"/>
  <c r="O101" i="7"/>
  <c r="P101" i="7" a="1"/>
  <c r="P101" i="7"/>
  <c r="Q101" i="7" a="1"/>
  <c r="Q101" i="7"/>
  <c r="R101" i="7" a="1"/>
  <c r="R101" i="7"/>
  <c r="S101" i="7" a="1"/>
  <c r="S101" i="7"/>
  <c r="I102" i="7"/>
  <c r="J102" i="7"/>
  <c r="K102" i="7"/>
  <c r="L102" i="7"/>
  <c r="M102" i="7"/>
  <c r="N102" i="7"/>
  <c r="O102" i="7"/>
  <c r="P102" i="7"/>
  <c r="Q102" i="7"/>
  <c r="R102" i="7"/>
  <c r="S102" i="7"/>
  <c r="I103" i="7"/>
  <c r="J103" i="7"/>
  <c r="K103" i="7"/>
  <c r="L103" i="7"/>
  <c r="M103" i="7"/>
  <c r="N103" i="7"/>
  <c r="O103" i="7"/>
  <c r="P103" i="7"/>
  <c r="Q103" i="7"/>
  <c r="R103" i="7"/>
  <c r="S103" i="7"/>
  <c r="I107" i="7"/>
  <c r="J107" i="7"/>
  <c r="K107" i="7"/>
  <c r="L107" i="7"/>
  <c r="M107" i="7"/>
  <c r="N107" i="7"/>
  <c r="O107" i="7"/>
  <c r="P107" i="7"/>
  <c r="Q107" i="7"/>
  <c r="R107" i="7"/>
  <c r="S107" i="7"/>
  <c r="I109" i="7"/>
  <c r="J109" i="7"/>
  <c r="K109" i="7"/>
  <c r="L109" i="7"/>
  <c r="M109" i="7"/>
  <c r="N109" i="7"/>
  <c r="O109" i="7"/>
  <c r="P109" i="7"/>
  <c r="Q109" i="7"/>
  <c r="R109" i="7"/>
  <c r="S109" i="7"/>
  <c r="I110" i="7"/>
  <c r="J110" i="7"/>
  <c r="K110" i="7"/>
  <c r="L110" i="7"/>
  <c r="M110" i="7"/>
  <c r="N110" i="7"/>
  <c r="O110" i="7"/>
  <c r="P110" i="7"/>
  <c r="Q110" i="7"/>
  <c r="R110" i="7"/>
  <c r="S110" i="7"/>
  <c r="I111" i="7"/>
  <c r="J111" i="7"/>
  <c r="K111" i="7"/>
  <c r="L111" i="7"/>
  <c r="M111" i="7"/>
  <c r="N111" i="7"/>
  <c r="O111" i="7"/>
  <c r="P111" i="7"/>
  <c r="Q111" i="7"/>
  <c r="R111" i="7"/>
  <c r="S111" i="7"/>
  <c r="I112" i="7"/>
  <c r="J112" i="7"/>
  <c r="K112" i="7"/>
  <c r="L112" i="7"/>
  <c r="M112" i="7"/>
  <c r="N112" i="7"/>
  <c r="O112" i="7"/>
  <c r="P112" i="7"/>
  <c r="Q112" i="7"/>
  <c r="R112" i="7"/>
  <c r="S112" i="7"/>
  <c r="I114" i="7"/>
  <c r="J114" i="7"/>
  <c r="K114" i="7"/>
  <c r="L114" i="7"/>
  <c r="M114" i="7"/>
  <c r="N114" i="7"/>
  <c r="O114" i="7"/>
  <c r="P114" i="7"/>
  <c r="Q114" i="7"/>
  <c r="R114" i="7"/>
  <c r="S114" i="7"/>
  <c r="I115" i="7"/>
  <c r="J115" i="7"/>
  <c r="K115" i="7"/>
  <c r="L115" i="7"/>
  <c r="M115" i="7"/>
  <c r="N115" i="7"/>
  <c r="O115" i="7"/>
  <c r="P115" i="7"/>
  <c r="Q115" i="7"/>
  <c r="R115" i="7"/>
  <c r="S115" i="7"/>
  <c r="I119" i="7"/>
  <c r="J119" i="7"/>
  <c r="K119" i="7"/>
  <c r="L119" i="7"/>
  <c r="M119" i="7"/>
  <c r="N119" i="7"/>
  <c r="O119" i="7"/>
  <c r="P119" i="7"/>
  <c r="Q119" i="7"/>
  <c r="R119" i="7"/>
  <c r="S119" i="7"/>
  <c r="I120" i="7"/>
  <c r="J120" i="7"/>
  <c r="K120" i="7"/>
  <c r="L120" i="7"/>
  <c r="M120" i="7"/>
  <c r="N120" i="7"/>
  <c r="O120" i="7"/>
  <c r="P120" i="7"/>
  <c r="Q120" i="7"/>
  <c r="R120" i="7"/>
  <c r="S120" i="7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I44" i="11"/>
  <c r="J44" i="11"/>
  <c r="K44" i="11"/>
  <c r="L44" i="11"/>
  <c r="M44" i="11"/>
  <c r="N44" i="11"/>
  <c r="O44" i="11"/>
  <c r="P44" i="11"/>
  <c r="Q44" i="11"/>
  <c r="R44" i="11"/>
  <c r="S44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I63" i="11"/>
  <c r="J63" i="11"/>
  <c r="K63" i="11"/>
  <c r="L63" i="11"/>
  <c r="M63" i="11"/>
  <c r="N63" i="11"/>
  <c r="O63" i="11"/>
  <c r="P63" i="11"/>
  <c r="Q63" i="11"/>
  <c r="R63" i="11"/>
  <c r="S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I71" i="11"/>
  <c r="J71" i="11"/>
  <c r="K71" i="11"/>
  <c r="L71" i="11"/>
  <c r="M71" i="11"/>
  <c r="N71" i="11"/>
  <c r="O71" i="11"/>
  <c r="P71" i="11"/>
  <c r="Q71" i="11"/>
  <c r="R71" i="11"/>
  <c r="S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I79" i="11"/>
  <c r="J79" i="11"/>
  <c r="K79" i="11"/>
  <c r="L79" i="11"/>
  <c r="M79" i="11"/>
  <c r="N79" i="11"/>
  <c r="O79" i="11"/>
  <c r="P79" i="11"/>
  <c r="Q79" i="11"/>
  <c r="R79" i="11"/>
  <c r="S79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I91" i="11"/>
  <c r="J91" i="11"/>
  <c r="K91" i="11"/>
  <c r="L91" i="11"/>
  <c r="M91" i="11"/>
  <c r="N91" i="11"/>
  <c r="O91" i="11"/>
  <c r="P91" i="11"/>
  <c r="Q91" i="11"/>
  <c r="R91" i="11"/>
  <c r="S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I99" i="11"/>
  <c r="J99" i="11"/>
  <c r="K99" i="11"/>
  <c r="L99" i="11"/>
  <c r="M99" i="11"/>
  <c r="N99" i="11"/>
  <c r="O99" i="11"/>
  <c r="P99" i="11"/>
  <c r="Q99" i="11"/>
  <c r="R99" i="11"/>
  <c r="S99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B28" i="13"/>
  <c r="C28" i="13"/>
  <c r="E28" i="13"/>
  <c r="G28" i="13"/>
  <c r="H28" i="13"/>
  <c r="B29" i="13"/>
  <c r="C29" i="13"/>
  <c r="E29" i="13"/>
  <c r="G29" i="13"/>
  <c r="H29" i="13"/>
  <c r="B30" i="13"/>
  <c r="C30" i="13"/>
  <c r="E30" i="13"/>
  <c r="G30" i="13"/>
  <c r="H30" i="13"/>
  <c r="B31" i="13"/>
  <c r="C31" i="13"/>
  <c r="E31" i="13"/>
  <c r="H31" i="13"/>
  <c r="C35" i="13"/>
  <c r="D35" i="13"/>
  <c r="E35" i="13"/>
  <c r="F35" i="13"/>
  <c r="C36" i="13"/>
  <c r="D36" i="13"/>
  <c r="E36" i="13"/>
  <c r="F36" i="13"/>
  <c r="C37" i="13"/>
  <c r="D37" i="13"/>
  <c r="E37" i="13"/>
  <c r="F37" i="13"/>
  <c r="C38" i="13"/>
  <c r="D38" i="13"/>
  <c r="E38" i="13"/>
  <c r="F38" i="13"/>
  <c r="C39" i="13"/>
  <c r="D39" i="13"/>
  <c r="E39" i="13"/>
  <c r="F39" i="13"/>
  <c r="C40" i="13"/>
  <c r="D40" i="13"/>
  <c r="E40" i="13"/>
  <c r="F40" i="13"/>
  <c r="C41" i="13"/>
  <c r="D41" i="13"/>
  <c r="E41" i="13"/>
  <c r="F41" i="13"/>
  <c r="C45" i="13"/>
  <c r="D45" i="13"/>
  <c r="E45" i="13"/>
  <c r="F45" i="13"/>
  <c r="C46" i="13"/>
  <c r="D46" i="13"/>
  <c r="E46" i="13"/>
  <c r="F46" i="13"/>
  <c r="C47" i="13"/>
  <c r="D47" i="13"/>
  <c r="E47" i="13"/>
  <c r="F47" i="13"/>
  <c r="C48" i="13"/>
  <c r="D48" i="13"/>
  <c r="E48" i="13"/>
  <c r="F48" i="13"/>
  <c r="C49" i="13"/>
  <c r="D49" i="13"/>
  <c r="E49" i="13"/>
  <c r="F49" i="13"/>
  <c r="C50" i="13"/>
  <c r="D50" i="13"/>
  <c r="E50" i="13"/>
  <c r="F50" i="13"/>
  <c r="C51" i="13"/>
  <c r="D51" i="13"/>
  <c r="E51" i="13"/>
  <c r="F51" i="13"/>
  <c r="C55" i="13"/>
  <c r="D55" i="13"/>
  <c r="E55" i="13"/>
  <c r="F55" i="13"/>
  <c r="C56" i="13"/>
  <c r="D56" i="13"/>
  <c r="E56" i="13"/>
  <c r="F56" i="13"/>
  <c r="C57" i="13"/>
  <c r="D57" i="13"/>
  <c r="E57" i="13"/>
  <c r="F57" i="13"/>
  <c r="C58" i="13"/>
  <c r="D58" i="13"/>
  <c r="E58" i="13"/>
  <c r="F58" i="13"/>
  <c r="B61" i="13"/>
  <c r="B62" i="13"/>
  <c r="B63" i="13"/>
  <c r="B64" i="13"/>
  <c r="B65" i="13"/>
  <c r="B69" i="13"/>
  <c r="B70" i="13"/>
  <c r="C72" i="13" a="1"/>
  <c r="C72" i="13"/>
  <c r="D72" i="13" a="1"/>
  <c r="D72" i="13"/>
  <c r="E72" i="13" a="1"/>
  <c r="E72" i="13"/>
  <c r="F72" i="13" a="1"/>
  <c r="F72" i="13"/>
  <c r="G72" i="13" a="1"/>
  <c r="G72" i="13"/>
  <c r="C73" i="13" a="1"/>
  <c r="C73" i="13"/>
  <c r="D73" i="13" a="1"/>
  <c r="D73" i="13"/>
  <c r="E73" i="13" a="1"/>
  <c r="E73" i="13"/>
  <c r="F73" i="13" a="1"/>
  <c r="F73" i="13"/>
  <c r="G73" i="13" a="1"/>
  <c r="G73" i="13"/>
  <c r="C74" i="13" a="1"/>
  <c r="C74" i="13"/>
  <c r="D74" i="13" a="1"/>
  <c r="D74" i="13"/>
  <c r="E74" i="13" a="1"/>
  <c r="E74" i="13"/>
  <c r="F74" i="13" a="1"/>
  <c r="F74" i="13"/>
  <c r="G74" i="13" a="1"/>
  <c r="G74" i="13"/>
  <c r="C75" i="13" a="1"/>
  <c r="C75" i="13"/>
  <c r="D75" i="13" a="1"/>
  <c r="D75" i="13"/>
  <c r="E75" i="13" a="1"/>
  <c r="E75" i="13"/>
  <c r="F75" i="13" a="1"/>
  <c r="F75" i="13"/>
  <c r="G75" i="13" a="1"/>
  <c r="G75" i="13"/>
  <c r="C76" i="13" a="1"/>
  <c r="C76" i="13"/>
  <c r="D76" i="13" a="1"/>
  <c r="D76" i="13"/>
  <c r="E76" i="13" a="1"/>
  <c r="E76" i="13"/>
  <c r="F76" i="13" a="1"/>
  <c r="F76" i="13"/>
  <c r="G76" i="13" a="1"/>
  <c r="G76" i="13"/>
  <c r="B82" i="13"/>
  <c r="B83" i="13" a="1"/>
  <c r="B83" i="13"/>
  <c r="B84" i="13" a="1"/>
  <c r="B84" i="13"/>
  <c r="B85" i="13"/>
  <c r="B86" i="13"/>
  <c r="C90" i="13"/>
  <c r="D90" i="13"/>
  <c r="E90" i="13"/>
  <c r="F90" i="13"/>
  <c r="C91" i="13"/>
  <c r="D91" i="13"/>
  <c r="E91" i="13"/>
  <c r="F91" i="13"/>
  <c r="C92" i="13"/>
  <c r="D92" i="13"/>
  <c r="E92" i="13"/>
  <c r="F92" i="13"/>
  <c r="C93" i="13"/>
  <c r="D93" i="13"/>
  <c r="E93" i="13"/>
  <c r="F93" i="13"/>
  <c r="C94" i="13"/>
  <c r="D94" i="13"/>
  <c r="E94" i="13"/>
  <c r="F94" i="13"/>
  <c r="C95" i="13"/>
  <c r="D95" i="13"/>
  <c r="E95" i="13"/>
  <c r="F95" i="13"/>
  <c r="C96" i="13"/>
  <c r="D96" i="13"/>
  <c r="E96" i="13"/>
  <c r="F96" i="13"/>
  <c r="C100" i="13"/>
  <c r="D100" i="13"/>
  <c r="E100" i="13"/>
  <c r="F100" i="13"/>
  <c r="C101" i="13"/>
  <c r="D101" i="13"/>
  <c r="E101" i="13"/>
  <c r="F101" i="13"/>
  <c r="C102" i="13"/>
  <c r="D102" i="13"/>
  <c r="E102" i="13"/>
  <c r="F102" i="13"/>
  <c r="C103" i="13"/>
  <c r="D103" i="13"/>
  <c r="E103" i="13"/>
  <c r="F103" i="13"/>
  <c r="C104" i="13"/>
  <c r="D104" i="13"/>
  <c r="E104" i="13"/>
  <c r="F104" i="13"/>
  <c r="E11" i="3" a="1"/>
  <c r="E11" i="3"/>
  <c r="F11" i="3" a="1"/>
  <c r="F11" i="3"/>
  <c r="G11" i="3" a="1"/>
  <c r="G11" i="3"/>
  <c r="H11" i="3" a="1"/>
  <c r="H11" i="3"/>
  <c r="I11" i="3" a="1"/>
  <c r="I11" i="3"/>
  <c r="J11" i="3" a="1"/>
  <c r="J11" i="3"/>
  <c r="K11" i="3" a="1"/>
  <c r="K11" i="3"/>
  <c r="L11" i="3" a="1"/>
  <c r="L11" i="3"/>
  <c r="M11" i="3" a="1"/>
  <c r="M11" i="3"/>
  <c r="N11" i="3" a="1"/>
  <c r="N11" i="3"/>
  <c r="O11" i="3" a="1"/>
  <c r="O11" i="3"/>
  <c r="P11" i="3" a="1"/>
  <c r="P11" i="3"/>
  <c r="Q11" i="3" a="1"/>
  <c r="Q11" i="3"/>
  <c r="R11" i="3" a="1"/>
  <c r="R11" i="3"/>
  <c r="S11" i="3" a="1"/>
  <c r="S11" i="3"/>
  <c r="F12" i="3" a="1"/>
  <c r="F12" i="3"/>
  <c r="G12" i="3" a="1"/>
  <c r="G12" i="3"/>
  <c r="H12" i="3" a="1"/>
  <c r="H12" i="3"/>
  <c r="I12" i="3" a="1"/>
  <c r="I12" i="3"/>
  <c r="J12" i="3" a="1"/>
  <c r="J12" i="3"/>
  <c r="K12" i="3" a="1"/>
  <c r="K12" i="3"/>
  <c r="L12" i="3" a="1"/>
  <c r="L12" i="3"/>
  <c r="M12" i="3" a="1"/>
  <c r="M12" i="3"/>
  <c r="N12" i="3" a="1"/>
  <c r="N12" i="3"/>
  <c r="O12" i="3" a="1"/>
  <c r="O12" i="3"/>
  <c r="P12" i="3" a="1"/>
  <c r="P12" i="3"/>
  <c r="Q12" i="3" a="1"/>
  <c r="Q12" i="3"/>
  <c r="R12" i="3" a="1"/>
  <c r="R12" i="3"/>
  <c r="S12" i="3" a="1"/>
  <c r="S12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E32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E42" i="3" a="1"/>
  <c r="E42" i="3"/>
  <c r="F42" i="3" a="1"/>
  <c r="F42" i="3"/>
  <c r="G42" i="3" a="1"/>
  <c r="G42" i="3"/>
  <c r="H42" i="3" a="1"/>
  <c r="H42" i="3"/>
  <c r="I42" i="3" a="1"/>
  <c r="I42" i="3"/>
  <c r="J42" i="3" a="1"/>
  <c r="J42" i="3"/>
  <c r="K42" i="3" a="1"/>
  <c r="K42" i="3"/>
  <c r="L42" i="3" a="1"/>
  <c r="L42" i="3"/>
  <c r="M42" i="3" a="1"/>
  <c r="M42" i="3"/>
  <c r="N42" i="3" a="1"/>
  <c r="N42" i="3"/>
  <c r="O42" i="3" a="1"/>
  <c r="O42" i="3"/>
  <c r="P42" i="3" a="1"/>
  <c r="P42" i="3"/>
  <c r="Q42" i="3" a="1"/>
  <c r="Q42" i="3"/>
  <c r="R42" i="3" a="1"/>
  <c r="R42" i="3"/>
  <c r="S42" i="3" a="1"/>
  <c r="S42" i="3"/>
  <c r="F43" i="3" a="1"/>
  <c r="F43" i="3"/>
  <c r="G43" i="3" a="1"/>
  <c r="G43" i="3"/>
  <c r="H43" i="3" a="1"/>
  <c r="H43" i="3"/>
  <c r="I43" i="3" a="1"/>
  <c r="I43" i="3"/>
  <c r="J43" i="3" a="1"/>
  <c r="J43" i="3"/>
  <c r="K43" i="3" a="1"/>
  <c r="K43" i="3"/>
  <c r="L43" i="3" a="1"/>
  <c r="L43" i="3"/>
  <c r="M43" i="3" a="1"/>
  <c r="M43" i="3"/>
  <c r="N43" i="3" a="1"/>
  <c r="N43" i="3"/>
  <c r="O43" i="3" a="1"/>
  <c r="O43" i="3"/>
  <c r="P43" i="3" a="1"/>
  <c r="P43" i="3"/>
  <c r="Q43" i="3" a="1"/>
  <c r="Q43" i="3"/>
  <c r="R43" i="3" a="1"/>
  <c r="R43" i="3"/>
  <c r="S43" i="3" a="1"/>
  <c r="S43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F53" i="3" a="1"/>
  <c r="F53" i="3"/>
  <c r="G53" i="3" a="1"/>
  <c r="G53" i="3"/>
  <c r="H53" i="3" a="1"/>
  <c r="H53" i="3"/>
  <c r="I53" i="3" a="1"/>
  <c r="I53" i="3"/>
  <c r="J53" i="3" a="1"/>
  <c r="J53" i="3"/>
  <c r="K53" i="3" a="1"/>
  <c r="K53" i="3"/>
  <c r="L53" i="3" a="1"/>
  <c r="L53" i="3"/>
  <c r="M53" i="3" a="1"/>
  <c r="M53" i="3"/>
  <c r="N53" i="3" a="1"/>
  <c r="N53" i="3"/>
  <c r="O53" i="3" a="1"/>
  <c r="O53" i="3"/>
  <c r="P53" i="3" a="1"/>
  <c r="P53" i="3"/>
  <c r="Q53" i="3" a="1"/>
  <c r="Q53" i="3"/>
  <c r="R53" i="3" a="1"/>
  <c r="R53" i="3"/>
  <c r="S53" i="3" a="1"/>
  <c r="S53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E69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E77" i="3" a="1"/>
  <c r="E77" i="3"/>
  <c r="F77" i="3" a="1"/>
  <c r="F77" i="3"/>
  <c r="G77" i="3" a="1"/>
  <c r="G77" i="3"/>
  <c r="H77" i="3" a="1"/>
  <c r="H77" i="3"/>
  <c r="I77" i="3" a="1"/>
  <c r="I77" i="3"/>
  <c r="J77" i="3" a="1"/>
  <c r="J77" i="3"/>
  <c r="K77" i="3" a="1"/>
  <c r="K77" i="3"/>
  <c r="L77" i="3" a="1"/>
  <c r="L77" i="3"/>
  <c r="M77" i="3" a="1"/>
  <c r="M77" i="3"/>
  <c r="N77" i="3" a="1"/>
  <c r="N77" i="3"/>
  <c r="O77" i="3" a="1"/>
  <c r="O77" i="3"/>
  <c r="P77" i="3" a="1"/>
  <c r="P77" i="3"/>
  <c r="Q77" i="3" a="1"/>
  <c r="Q77" i="3"/>
  <c r="R77" i="3" a="1"/>
  <c r="R77" i="3"/>
  <c r="S77" i="3" a="1"/>
  <c r="S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D95" i="3" a="1"/>
  <c r="D95" i="3"/>
  <c r="E95" i="3" a="1"/>
  <c r="E95" i="3"/>
  <c r="F95" i="3" a="1"/>
  <c r="F95" i="3"/>
  <c r="G95" i="3" a="1"/>
  <c r="G95" i="3"/>
  <c r="H95" i="3" a="1"/>
  <c r="H95" i="3"/>
  <c r="I95" i="3" a="1"/>
  <c r="I95" i="3"/>
  <c r="J95" i="3" a="1"/>
  <c r="J95" i="3"/>
  <c r="K95" i="3" a="1"/>
  <c r="K95" i="3"/>
  <c r="L95" i="3" a="1"/>
  <c r="L95" i="3"/>
  <c r="M95" i="3" a="1"/>
  <c r="M95" i="3"/>
  <c r="N95" i="3" a="1"/>
  <c r="N95" i="3"/>
  <c r="O95" i="3" a="1"/>
  <c r="O95" i="3"/>
  <c r="P95" i="3" a="1"/>
  <c r="P95" i="3"/>
  <c r="Q95" i="3" a="1"/>
  <c r="Q95" i="3"/>
  <c r="R95" i="3" a="1"/>
  <c r="R95" i="3"/>
  <c r="S95" i="3" a="1"/>
  <c r="S95" i="3"/>
  <c r="D96" i="3" a="1"/>
  <c r="D96" i="3"/>
  <c r="E96" i="3" a="1"/>
  <c r="E96" i="3"/>
  <c r="F96" i="3" a="1"/>
  <c r="F96" i="3"/>
  <c r="G96" i="3" a="1"/>
  <c r="G96" i="3"/>
  <c r="H96" i="3" a="1"/>
  <c r="H96" i="3"/>
  <c r="I96" i="3" a="1"/>
  <c r="I96" i="3"/>
  <c r="J96" i="3" a="1"/>
  <c r="J96" i="3"/>
  <c r="K96" i="3" a="1"/>
  <c r="K96" i="3"/>
  <c r="L96" i="3" a="1"/>
  <c r="L96" i="3"/>
  <c r="M96" i="3" a="1"/>
  <c r="M96" i="3"/>
  <c r="N96" i="3" a="1"/>
  <c r="N96" i="3"/>
  <c r="O96" i="3" a="1"/>
  <c r="O96" i="3"/>
  <c r="P96" i="3" a="1"/>
  <c r="P96" i="3"/>
  <c r="Q96" i="3" a="1"/>
  <c r="Q96" i="3"/>
  <c r="R96" i="3" a="1"/>
  <c r="R96" i="3"/>
  <c r="S96" i="3" a="1"/>
  <c r="S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E102" i="3" a="1"/>
  <c r="E102" i="3"/>
  <c r="F102" i="3" a="1"/>
  <c r="F102" i="3"/>
  <c r="G102" i="3" a="1"/>
  <c r="G102" i="3"/>
  <c r="H102" i="3" a="1"/>
  <c r="H102" i="3"/>
  <c r="I102" i="3" a="1"/>
  <c r="I102" i="3"/>
  <c r="J102" i="3" a="1"/>
  <c r="J102" i="3"/>
  <c r="K102" i="3" a="1"/>
  <c r="K102" i="3"/>
  <c r="L102" i="3" a="1"/>
  <c r="L102" i="3"/>
  <c r="M102" i="3" a="1"/>
  <c r="M102" i="3"/>
  <c r="N102" i="3" a="1"/>
  <c r="N102" i="3"/>
  <c r="O102" i="3" a="1"/>
  <c r="O102" i="3"/>
  <c r="P102" i="3" a="1"/>
  <c r="P102" i="3"/>
  <c r="Q102" i="3" a="1"/>
  <c r="Q102" i="3"/>
  <c r="R102" i="3" a="1"/>
  <c r="R102" i="3"/>
  <c r="S102" i="3" a="1"/>
  <c r="S102" i="3"/>
  <c r="D103" i="3" a="1"/>
  <c r="D103" i="3"/>
  <c r="E103" i="3" a="1"/>
  <c r="E103" i="3"/>
  <c r="F103" i="3" a="1"/>
  <c r="F103" i="3"/>
  <c r="G103" i="3" a="1"/>
  <c r="G103" i="3"/>
  <c r="H103" i="3" a="1"/>
  <c r="H103" i="3"/>
  <c r="I103" i="3" a="1"/>
  <c r="I103" i="3"/>
  <c r="J103" i="3" a="1"/>
  <c r="J103" i="3"/>
  <c r="K103" i="3" a="1"/>
  <c r="K103" i="3"/>
  <c r="L103" i="3" a="1"/>
  <c r="L103" i="3"/>
  <c r="M103" i="3" a="1"/>
  <c r="M103" i="3"/>
  <c r="N103" i="3" a="1"/>
  <c r="N103" i="3"/>
  <c r="O103" i="3" a="1"/>
  <c r="O103" i="3"/>
  <c r="P103" i="3" a="1"/>
  <c r="P103" i="3"/>
  <c r="Q103" i="3" a="1"/>
  <c r="Q103" i="3"/>
  <c r="R103" i="3" a="1"/>
  <c r="R103" i="3"/>
  <c r="S103" i="3" a="1"/>
  <c r="S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E109" i="3" a="1"/>
  <c r="E109" i="3"/>
  <c r="F109" i="3" a="1"/>
  <c r="F109" i="3"/>
  <c r="G109" i="3" a="1"/>
  <c r="G109" i="3"/>
  <c r="H109" i="3" a="1"/>
  <c r="H109" i="3"/>
  <c r="I109" i="3" a="1"/>
  <c r="I109" i="3"/>
  <c r="J109" i="3" a="1"/>
  <c r="J109" i="3"/>
  <c r="K109" i="3" a="1"/>
  <c r="K109" i="3"/>
  <c r="L109" i="3" a="1"/>
  <c r="L109" i="3"/>
  <c r="M109" i="3" a="1"/>
  <c r="M109" i="3"/>
  <c r="N109" i="3" a="1"/>
  <c r="N109" i="3"/>
  <c r="O109" i="3" a="1"/>
  <c r="O109" i="3"/>
  <c r="P109" i="3" a="1"/>
  <c r="P109" i="3"/>
  <c r="Q109" i="3" a="1"/>
  <c r="Q109" i="3"/>
  <c r="R109" i="3" a="1"/>
  <c r="R109" i="3"/>
  <c r="S109" i="3" a="1"/>
  <c r="S109" i="3"/>
  <c r="F110" i="3" a="1"/>
  <c r="F110" i="3"/>
  <c r="G110" i="3" a="1"/>
  <c r="G110" i="3"/>
  <c r="H110" i="3" a="1"/>
  <c r="H110" i="3"/>
  <c r="I110" i="3" a="1"/>
  <c r="I110" i="3"/>
  <c r="J110" i="3" a="1"/>
  <c r="J110" i="3"/>
  <c r="K110" i="3" a="1"/>
  <c r="K110" i="3"/>
  <c r="L110" i="3" a="1"/>
  <c r="L110" i="3"/>
  <c r="M110" i="3" a="1"/>
  <c r="M110" i="3"/>
  <c r="N110" i="3" a="1"/>
  <c r="N110" i="3"/>
  <c r="O110" i="3" a="1"/>
  <c r="O110" i="3"/>
  <c r="P110" i="3" a="1"/>
  <c r="P110" i="3"/>
  <c r="Q110" i="3" a="1"/>
  <c r="Q110" i="3"/>
  <c r="R110" i="3" a="1"/>
  <c r="R110" i="3"/>
  <c r="S110" i="3" a="1"/>
  <c r="S110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E159" i="3" a="1"/>
  <c r="E159" i="3"/>
  <c r="F159" i="3" a="1"/>
  <c r="F159" i="3"/>
  <c r="G159" i="3" a="1"/>
  <c r="G159" i="3"/>
  <c r="H159" i="3" a="1"/>
  <c r="H159" i="3"/>
  <c r="I159" i="3" a="1"/>
  <c r="I159" i="3"/>
  <c r="J159" i="3" a="1"/>
  <c r="J159" i="3"/>
  <c r="K159" i="3" a="1"/>
  <c r="K159" i="3"/>
  <c r="L159" i="3" a="1"/>
  <c r="L159" i="3"/>
  <c r="M159" i="3" a="1"/>
  <c r="M159" i="3"/>
  <c r="N159" i="3" a="1"/>
  <c r="N159" i="3"/>
  <c r="O159" i="3" a="1"/>
  <c r="O159" i="3"/>
  <c r="P159" i="3" a="1"/>
  <c r="P159" i="3"/>
  <c r="Q159" i="3" a="1"/>
  <c r="Q159" i="3"/>
  <c r="R159" i="3" a="1"/>
  <c r="R159" i="3"/>
  <c r="S159" i="3" a="1"/>
  <c r="S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E165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E180" i="3" a="1"/>
  <c r="E180" i="3"/>
  <c r="F180" i="3" a="1"/>
  <c r="F180" i="3"/>
  <c r="G180" i="3" a="1"/>
  <c r="G180" i="3"/>
  <c r="H180" i="3" a="1"/>
  <c r="H180" i="3"/>
  <c r="I180" i="3" a="1"/>
  <c r="I180" i="3"/>
  <c r="J180" i="3" a="1"/>
  <c r="J180" i="3"/>
  <c r="K180" i="3" a="1"/>
  <c r="K180" i="3"/>
  <c r="L180" i="3" a="1"/>
  <c r="L180" i="3"/>
  <c r="M180" i="3" a="1"/>
  <c r="M180" i="3"/>
  <c r="N180" i="3" a="1"/>
  <c r="N180" i="3"/>
  <c r="O180" i="3" a="1"/>
  <c r="O180" i="3"/>
  <c r="P180" i="3" a="1"/>
  <c r="P180" i="3"/>
  <c r="Q180" i="3" a="1"/>
  <c r="Q180" i="3"/>
  <c r="R180" i="3" a="1"/>
  <c r="R180" i="3"/>
  <c r="S180" i="3" a="1"/>
  <c r="S180" i="3"/>
  <c r="F181" i="3" a="1"/>
  <c r="F181" i="3"/>
  <c r="G181" i="3" a="1"/>
  <c r="G181" i="3"/>
  <c r="H181" i="3" a="1"/>
  <c r="H181" i="3"/>
  <c r="I181" i="3" a="1"/>
  <c r="I181" i="3"/>
  <c r="J181" i="3" a="1"/>
  <c r="J181" i="3"/>
  <c r="K181" i="3" a="1"/>
  <c r="K181" i="3"/>
  <c r="L181" i="3" a="1"/>
  <c r="L181" i="3"/>
  <c r="M181" i="3" a="1"/>
  <c r="M181" i="3"/>
  <c r="N181" i="3" a="1"/>
  <c r="N181" i="3"/>
  <c r="O181" i="3" a="1"/>
  <c r="O181" i="3"/>
  <c r="P181" i="3" a="1"/>
  <c r="P181" i="3"/>
  <c r="Q181" i="3" a="1"/>
  <c r="Q181" i="3"/>
  <c r="R181" i="3" a="1"/>
  <c r="R181" i="3"/>
  <c r="S181" i="3" a="1"/>
  <c r="S181" i="3"/>
  <c r="E182" i="3" a="1"/>
  <c r="E182" i="3"/>
  <c r="F182" i="3" a="1"/>
  <c r="F182" i="3"/>
  <c r="G182" i="3" a="1"/>
  <c r="G182" i="3"/>
  <c r="H182" i="3" a="1"/>
  <c r="H182" i="3"/>
  <c r="I182" i="3" a="1"/>
  <c r="I182" i="3"/>
  <c r="J182" i="3" a="1"/>
  <c r="J182" i="3"/>
  <c r="K182" i="3" a="1"/>
  <c r="K182" i="3"/>
  <c r="L182" i="3" a="1"/>
  <c r="L182" i="3"/>
  <c r="M182" i="3" a="1"/>
  <c r="M182" i="3"/>
  <c r="N182" i="3" a="1"/>
  <c r="N182" i="3"/>
  <c r="O182" i="3" a="1"/>
  <c r="O182" i="3"/>
  <c r="P182" i="3" a="1"/>
  <c r="P182" i="3"/>
  <c r="Q182" i="3" a="1"/>
  <c r="Q182" i="3"/>
  <c r="R182" i="3" a="1"/>
  <c r="R182" i="3"/>
  <c r="S182" i="3" a="1"/>
  <c r="S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E184" i="3" a="1"/>
  <c r="E184" i="3"/>
  <c r="F184" i="3" a="1"/>
  <c r="F184" i="3"/>
  <c r="G184" i="3" a="1"/>
  <c r="G184" i="3"/>
  <c r="H184" i="3" a="1"/>
  <c r="H184" i="3"/>
  <c r="I184" i="3" a="1"/>
  <c r="I184" i="3"/>
  <c r="J184" i="3" a="1"/>
  <c r="J184" i="3"/>
  <c r="K184" i="3" a="1"/>
  <c r="K184" i="3"/>
  <c r="L184" i="3" a="1"/>
  <c r="L184" i="3"/>
  <c r="M184" i="3" a="1"/>
  <c r="M184" i="3"/>
  <c r="N184" i="3" a="1"/>
  <c r="N184" i="3"/>
  <c r="O184" i="3" a="1"/>
  <c r="O184" i="3"/>
  <c r="P184" i="3" a="1"/>
  <c r="P184" i="3"/>
  <c r="Q184" i="3" a="1"/>
  <c r="Q184" i="3"/>
  <c r="R184" i="3" a="1"/>
  <c r="R184" i="3"/>
  <c r="S184" i="3" a="1"/>
  <c r="S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D16" i="8" a="1"/>
  <c r="D16" i="8"/>
  <c r="E16" i="8" a="1"/>
  <c r="E16" i="8"/>
  <c r="F16" i="8" a="1"/>
  <c r="F16" i="8"/>
  <c r="G16" i="8" a="1"/>
  <c r="G16" i="8"/>
  <c r="H16" i="8" a="1"/>
  <c r="H16" i="8"/>
  <c r="I16" i="8" a="1"/>
  <c r="I16" i="8"/>
  <c r="J16" i="8" a="1"/>
  <c r="J16" i="8"/>
  <c r="K16" i="8" a="1"/>
  <c r="K16" i="8"/>
  <c r="L16" i="8" a="1"/>
  <c r="L16" i="8"/>
  <c r="M16" i="8" a="1"/>
  <c r="M16" i="8"/>
  <c r="N16" i="8" a="1"/>
  <c r="N16" i="8"/>
  <c r="O16" i="8" a="1"/>
  <c r="O16" i="8"/>
  <c r="P16" i="8" a="1"/>
  <c r="P16" i="8"/>
  <c r="Q16" i="8" a="1"/>
  <c r="Q16" i="8"/>
  <c r="R16" i="8" a="1"/>
  <c r="R16" i="8"/>
  <c r="S16" i="8" a="1"/>
  <c r="S16" i="8"/>
  <c r="D20" i="8" a="1"/>
  <c r="D20" i="8"/>
  <c r="E20" i="8" a="1"/>
  <c r="E20" i="8"/>
  <c r="F20" i="8" a="1"/>
  <c r="F20" i="8"/>
  <c r="G20" i="8" a="1"/>
  <c r="G20" i="8"/>
  <c r="H20" i="8" a="1"/>
  <c r="H20" i="8"/>
  <c r="I20" i="8" a="1"/>
  <c r="I20" i="8"/>
  <c r="J20" i="8" a="1"/>
  <c r="J20" i="8"/>
  <c r="K20" i="8" a="1"/>
  <c r="K20" i="8"/>
  <c r="L20" i="8" a="1"/>
  <c r="L20" i="8"/>
  <c r="M20" i="8" a="1"/>
  <c r="M20" i="8"/>
  <c r="N20" i="8" a="1"/>
  <c r="N20" i="8"/>
  <c r="O20" i="8" a="1"/>
  <c r="O20" i="8"/>
  <c r="P20" i="8" a="1"/>
  <c r="P20" i="8"/>
  <c r="Q20" i="8" a="1"/>
  <c r="Q20" i="8"/>
  <c r="R20" i="8" a="1"/>
  <c r="R20" i="8"/>
  <c r="S20" i="8" a="1"/>
  <c r="S20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D29" i="8" a="1"/>
  <c r="D29" i="8"/>
  <c r="E29" i="8" a="1"/>
  <c r="E29" i="8"/>
  <c r="F29" i="8" a="1"/>
  <c r="F29" i="8"/>
  <c r="G29" i="8" a="1"/>
  <c r="G29" i="8"/>
  <c r="H29" i="8" a="1"/>
  <c r="H29" i="8"/>
  <c r="I29" i="8" a="1"/>
  <c r="I29" i="8"/>
  <c r="J29" i="8" a="1"/>
  <c r="J29" i="8"/>
  <c r="K29" i="8" a="1"/>
  <c r="K29" i="8"/>
  <c r="L29" i="8" a="1"/>
  <c r="L29" i="8"/>
  <c r="M29" i="8" a="1"/>
  <c r="M29" i="8"/>
  <c r="N29" i="8" a="1"/>
  <c r="N29" i="8"/>
  <c r="O29" i="8" a="1"/>
  <c r="O29" i="8"/>
  <c r="P29" i="8" a="1"/>
  <c r="P29" i="8"/>
  <c r="Q29" i="8" a="1"/>
  <c r="Q29" i="8"/>
  <c r="R29" i="8" a="1"/>
  <c r="R29" i="8"/>
  <c r="S29" i="8" a="1"/>
  <c r="S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D40" i="8" a="1"/>
  <c r="D40" i="8"/>
  <c r="E40" i="8" a="1"/>
  <c r="E40" i="8"/>
  <c r="F40" i="8" a="1"/>
  <c r="F40" i="8"/>
  <c r="G40" i="8" a="1"/>
  <c r="G40" i="8"/>
  <c r="H40" i="8" a="1"/>
  <c r="H40" i="8"/>
  <c r="I40" i="8" a="1"/>
  <c r="I40" i="8"/>
  <c r="J40" i="8" a="1"/>
  <c r="J40" i="8"/>
  <c r="K40" i="8" a="1"/>
  <c r="K40" i="8"/>
  <c r="L40" i="8" a="1"/>
  <c r="L40" i="8"/>
  <c r="M40" i="8" a="1"/>
  <c r="M40" i="8"/>
  <c r="N40" i="8" a="1"/>
  <c r="N40" i="8"/>
  <c r="O40" i="8" a="1"/>
  <c r="O40" i="8"/>
  <c r="P40" i="8" a="1"/>
  <c r="P40" i="8"/>
  <c r="Q40" i="8" a="1"/>
  <c r="Q40" i="8"/>
  <c r="R40" i="8" a="1"/>
  <c r="R40" i="8"/>
  <c r="S40" i="8" a="1"/>
  <c r="S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D42" i="8" a="1"/>
  <c r="D42" i="8"/>
  <c r="E42" i="8" a="1"/>
  <c r="E42" i="8"/>
  <c r="F42" i="8" a="1"/>
  <c r="F42" i="8"/>
  <c r="G42" i="8" a="1"/>
  <c r="G42" i="8"/>
  <c r="H42" i="8" a="1"/>
  <c r="H42" i="8"/>
  <c r="I42" i="8" a="1"/>
  <c r="I42" i="8"/>
  <c r="J42" i="8" a="1"/>
  <c r="J42" i="8"/>
  <c r="K42" i="8" a="1"/>
  <c r="K42" i="8"/>
  <c r="L42" i="8" a="1"/>
  <c r="L42" i="8"/>
  <c r="M42" i="8" a="1"/>
  <c r="M42" i="8"/>
  <c r="N42" i="8" a="1"/>
  <c r="N42" i="8"/>
  <c r="O42" i="8" a="1"/>
  <c r="O42" i="8"/>
  <c r="P42" i="8" a="1"/>
  <c r="P42" i="8"/>
  <c r="Q42" i="8" a="1"/>
  <c r="Q42" i="8"/>
  <c r="R42" i="8" a="1"/>
  <c r="R42" i="8"/>
  <c r="S42" i="8" a="1"/>
  <c r="S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D57" i="8" a="1"/>
  <c r="D57" i="8"/>
  <c r="E57" i="8" a="1"/>
  <c r="E57" i="8"/>
  <c r="F57" i="8" a="1"/>
  <c r="F57" i="8"/>
  <c r="G57" i="8" a="1"/>
  <c r="G57" i="8"/>
  <c r="H57" i="8" a="1"/>
  <c r="H57" i="8"/>
  <c r="I57" i="8" a="1"/>
  <c r="I57" i="8"/>
  <c r="J57" i="8" a="1"/>
  <c r="J57" i="8"/>
  <c r="K57" i="8" a="1"/>
  <c r="K57" i="8"/>
  <c r="L57" i="8" a="1"/>
  <c r="L57" i="8"/>
  <c r="M57" i="8" a="1"/>
  <c r="M57" i="8"/>
  <c r="N57" i="8" a="1"/>
  <c r="N57" i="8"/>
  <c r="O57" i="8" a="1"/>
  <c r="O57" i="8"/>
  <c r="P57" i="8" a="1"/>
  <c r="P57" i="8"/>
  <c r="Q57" i="8" a="1"/>
  <c r="Q57" i="8"/>
  <c r="R57" i="8" a="1"/>
  <c r="R57" i="8"/>
  <c r="S57" i="8" a="1"/>
  <c r="S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D67" i="8" a="1"/>
  <c r="D67" i="8"/>
  <c r="E67" i="8" a="1"/>
  <c r="E67" i="8"/>
  <c r="F67" i="8" a="1"/>
  <c r="F67" i="8"/>
  <c r="G67" i="8" a="1"/>
  <c r="G67" i="8"/>
  <c r="H67" i="8" a="1"/>
  <c r="H67" i="8"/>
  <c r="I67" i="8" a="1"/>
  <c r="I67" i="8"/>
  <c r="J67" i="8" a="1"/>
  <c r="J67" i="8"/>
  <c r="K67" i="8" a="1"/>
  <c r="K67" i="8"/>
  <c r="L67" i="8" a="1"/>
  <c r="L67" i="8"/>
  <c r="M67" i="8" a="1"/>
  <c r="M67" i="8"/>
  <c r="N67" i="8" a="1"/>
  <c r="N67" i="8"/>
  <c r="O67" i="8" a="1"/>
  <c r="O67" i="8"/>
  <c r="P67" i="8" a="1"/>
  <c r="P67" i="8"/>
  <c r="Q67" i="8" a="1"/>
  <c r="Q67" i="8"/>
  <c r="R67" i="8" a="1"/>
  <c r="R67" i="8"/>
  <c r="S67" i="8" a="1"/>
  <c r="S67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E70" i="8" a="1"/>
  <c r="E70" i="8"/>
  <c r="D71" i="8" a="1"/>
  <c r="D71" i="8"/>
  <c r="E71" i="8" a="1"/>
  <c r="E71" i="8"/>
  <c r="F71" i="8" a="1"/>
  <c r="F71" i="8"/>
  <c r="G71" i="8" a="1"/>
  <c r="G71" i="8"/>
  <c r="H71" i="8" a="1"/>
  <c r="H71" i="8"/>
  <c r="I71" i="8" a="1"/>
  <c r="I71" i="8"/>
  <c r="J71" i="8" a="1"/>
  <c r="J71" i="8"/>
  <c r="K71" i="8" a="1"/>
  <c r="K71" i="8"/>
  <c r="L71" i="8" a="1"/>
  <c r="L71" i="8"/>
  <c r="M71" i="8" a="1"/>
  <c r="M71" i="8"/>
  <c r="N71" i="8" a="1"/>
  <c r="N71" i="8"/>
  <c r="O71" i="8" a="1"/>
  <c r="O71" i="8"/>
  <c r="P71" i="8" a="1"/>
  <c r="P71" i="8"/>
  <c r="Q71" i="8" a="1"/>
  <c r="Q71" i="8"/>
  <c r="R71" i="8" a="1"/>
  <c r="R71" i="8"/>
  <c r="S71" i="8" a="1"/>
  <c r="S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D79" i="8"/>
  <c r="D80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D94" i="8" a="1"/>
  <c r="D94" i="8"/>
  <c r="E94" i="8" a="1"/>
  <c r="E94" i="8"/>
  <c r="F94" i="8" a="1"/>
  <c r="F94" i="8"/>
  <c r="G94" i="8" a="1"/>
  <c r="G94" i="8"/>
  <c r="H94" i="8" a="1"/>
  <c r="H94" i="8"/>
  <c r="I94" i="8" a="1"/>
  <c r="I94" i="8"/>
  <c r="J94" i="8" a="1"/>
  <c r="J94" i="8"/>
  <c r="K94" i="8" a="1"/>
  <c r="K94" i="8"/>
  <c r="L94" i="8" a="1"/>
  <c r="L94" i="8"/>
  <c r="M94" i="8" a="1"/>
  <c r="M94" i="8"/>
  <c r="N94" i="8" a="1"/>
  <c r="N94" i="8"/>
  <c r="O94" i="8" a="1"/>
  <c r="O94" i="8"/>
  <c r="P94" i="8" a="1"/>
  <c r="P94" i="8"/>
  <c r="Q94" i="8" a="1"/>
  <c r="Q94" i="8"/>
  <c r="R94" i="8" a="1"/>
  <c r="R94" i="8"/>
  <c r="S94" i="8" a="1"/>
  <c r="S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B4" authorId="0" shapeId="0" xr:uid="{00000000-0006-0000-0000-000002000000}">
      <text>
        <r>
          <rPr>
            <sz val="10"/>
            <rFont val="Arial"/>
            <family val="2"/>
          </rPr>
          <t>Price-escalator start rate set to 0.035 (shared by broadband and direct-to-cell).</t>
        </r>
      </text>
    </comment>
    <comment ref="B5" authorId="0" shapeId="0" xr:uid="{00000000-0006-0000-0000-000003000000}">
      <text>
        <r>
          <rPr>
            <sz val="10"/>
            <rFont val="Arial"/>
            <family val="2"/>
          </rPr>
          <t>Price-escalator terminal (long-run) rate set to 0.025 (shared by broadband and direct-to-cell).</t>
        </r>
      </text>
    </comment>
    <comment ref="C53" authorId="0" shapeId="0" xr:uid="{00000000-0006-0000-0000-000045000000}">
      <text>
        <r>
          <rPr>
            <sz val="10"/>
            <rFont val="Arial"/>
            <family val="2"/>
          </rPr>
          <t xml:space="preserve">Realized F9 launch price set to $54.8M (= Launch Services revenue $2,576M </t>
        </r>
        <r>
          <rPr>
            <sz val="12"/>
            <color rgb="FF000000"/>
            <rFont val="Aptos Narrow"/>
            <family val="2"/>
            <charset val="1"/>
          </rPr>
          <t>÷ 47 external launches; rideshare and smallsat pull the average down). The $95M headline applies before Launch &amp; Delivery ($1,510M) is split into its own stream. Together these tie 2025 Space revenue to $4,086M.</t>
        </r>
      </text>
    </comment>
    <comment ref="B102" authorId="0" shapeId="0" xr:uid="{00000000-0006-0000-0000-000004000000}">
      <text>
        <r>
          <rPr>
            <sz val="10"/>
            <rFont val="Arial"/>
            <family val="2"/>
          </rPr>
          <t>Optimus-class robot unit manufacturing cost. Single value; no learning-curve decline applied yet.</t>
        </r>
      </text>
    </comment>
    <comment ref="B103" authorId="0" shapeId="0" xr:uid="{00000000-0006-0000-0000-000005000000}">
      <text>
        <r>
          <rPr>
            <sz val="10"/>
            <rFont val="Arial"/>
            <family val="2"/>
          </rPr>
          <t>Hardware value-add per kg landed (reference: ~$15K/kg). Single value; no year-by-year decline applied yet.</t>
        </r>
      </text>
    </comment>
    <comment ref="A111" authorId="0" shapeId="0" xr:uid="{00000000-0006-0000-0000-000001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Customer Launch sustaining R&amp;D floor, % of external launch revenue (flat 4%). Floors CL R&amp;D so it is never 0; the Starship platform R&amp;D launch-share attribution sits underneath via MAX. MC 0.02-0.08 triangle.</t>
        </r>
      </text>
    </comment>
    <comment ref="B176" authorId="0" shapeId="0" xr:uid="{00000000-0006-0000-0000-000006000000}">
      <text>
        <r>
          <rPr>
            <sz val="10"/>
            <rFont val="Arial"/>
            <family val="2"/>
          </rPr>
          <t>Cost to add one Gigabay of Starship production capacity (~100 ships/yr), set at $2,500M — about $25M per ship/yr of added capacity. Monte Carlo range 1,200–4,000.</t>
        </r>
      </text>
    </comment>
    <comment ref="B216" authorId="0" shapeId="0" xr:uid="{00000000-0006-0000-0000-000007000000}">
      <text>
        <r>
          <rPr>
            <sz val="10"/>
            <rFont val="Arial"/>
            <family val="2"/>
          </rPr>
          <t>Revenue per broadband kit sold — a blend of $500 retail (non-subscriber) and $300 (subscriber). Monte Carlo range 300–500.</t>
        </r>
      </text>
    </comment>
    <comment ref="B241" authorId="0" shapeId="0" xr:uid="{00000000-0006-0000-0000-000008000000}">
      <text>
        <r>
          <rPr>
            <sz val="10"/>
            <rFont val="Arial"/>
            <family val="2"/>
          </rPr>
          <t>Redmond satellite line, roughly 70/week, in place in 2025. Monte Carlo range 3,000–5,000.</t>
        </r>
      </text>
    </comment>
    <comment ref="B242" authorId="0" shapeId="0" xr:uid="{00000000-0006-0000-0000-000009000000}">
      <text>
        <r>
          <rPr>
            <sz val="10"/>
            <rFont val="Arial"/>
            <family val="2"/>
          </rPr>
          <t>Operational-year build rate. Monte Carlo range 4–15.</t>
        </r>
      </text>
    </comment>
    <comment ref="B243" authorId="0" shapeId="0" xr:uid="{00000000-0006-0000-0000-00000A000000}">
      <text>
        <r>
          <rPr>
            <sz val="10"/>
            <rFont val="Arial"/>
            <family val="2"/>
          </rPr>
          <t>McGregor Raptor engine line, before a second factory (estimate). Monte Carlo range 365–2,000.</t>
        </r>
      </text>
    </comment>
    <comment ref="B244" authorId="0" shapeId="0" xr:uid="{00000000-0006-0000-0000-00000B000000}">
      <text>
        <r>
          <rPr>
            <sz val="10"/>
            <rFont val="Arial"/>
            <family val="2"/>
          </rPr>
          <t>Launch pads: Starbase OLP-A/B plus Cape SLC-37 under construction (estimate). Monte Carlo range 1–4.</t>
        </r>
      </text>
    </comment>
    <comment ref="B245" authorId="0" shapeId="0" xr:uid="{00000000-0006-0000-0000-00000C000000}">
      <text>
        <r>
          <rPr>
            <sz val="10"/>
            <rFont val="Arial"/>
            <family val="2"/>
          </rPr>
          <t>Space $3,800M + Connectivity $4,200M; used as a sanity-check denominator only.</t>
        </r>
      </text>
    </comment>
    <comment ref="B329" authorId="0" shapeId="0" xr:uid="{00000000-0006-0000-0000-00000D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AI Apps consumer TAM. Raised 500→1000 (AI-Apps demand uplift patch). MC range 700–2000. With ceiling B401=0.6, sub ceiling = 600M.</t>
        </r>
      </text>
    </comment>
    <comment ref="B345" authorId="0" shapeId="0" xr:uid="{00000000-0006-0000-0000-00000E000000}">
      <text>
        <r>
          <rPr>
            <sz val="10"/>
            <rFont val="Arial"/>
            <family val="2"/>
          </rPr>
          <t>2025 installed merchant H100-equivalent compute the model can address — the demand anchor for orbital compute. Set to 3 to lift the demand ceiling toward the ~1M orbital-data-centre-satellite thesis. Monte Carlo range 1–6.</t>
        </r>
      </text>
    </comment>
    <comment ref="B347" authorId="0" shapeId="0" xr:uid="{00000000-0006-0000-0000-00000F000000}">
      <text>
        <r>
          <rPr>
            <sz val="10"/>
            <rFont val="Arial"/>
            <family val="2"/>
          </rPr>
          <t>Direct-to-cell market-size uplift set to 2.5×.</t>
        </r>
      </text>
    </comment>
    <comment ref="B352" authorId="0" shapeId="0" xr:uid="{00000000-0006-0000-0000-000010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Annual secular decline in chip cost per TFLOPS. Raised from 0.10 to 0.15 so the per-FLOP cost decline exceeds the +9.9%/yr FP8-per-chip growth (B456) — net ASP now falls ~6.6%/yr instead of staying flat, so chip $/sat declines over the horizon. Monte Carlo range 0.10–0.25 (triangle).</t>
        </r>
      </text>
    </comment>
    <comment ref="B355" authorId="0" shapeId="0" xr:uid="{00000000-0006-0000-0000-000011000000}">
      <text>
        <r>
          <rPr>
            <sz val="10"/>
            <rFont val="Arial"/>
            <family val="2"/>
          </rPr>
          <t>Price-response exponent for compute: realized $/GPU-hr = base × MIN(1, (demand/supply)^b). Below 1, scaling grows revenue; above 1, oversupply erodes price. Kept above zero so price always responds. Monte Carlo range 0.2–1.2.</t>
        </r>
      </text>
    </comment>
    <comment ref="B363" authorId="0" shapeId="0" xr:uid="{00000000-0006-0000-0000-000012000000}">
      <text>
        <r>
          <rPr>
            <sz val="10"/>
            <rFont val="Arial"/>
            <family val="2"/>
          </rPr>
          <t>Broadband market-size uplift set to 1.0 (neutral — no uplift applied).</t>
        </r>
      </text>
    </comment>
    <comment ref="B364" authorId="0" shapeId="0" xr:uid="{00000000-0006-0000-0000-000013000000}">
      <text>
        <r>
          <rPr>
            <sz val="10"/>
            <rFont val="Arial"/>
            <family val="2"/>
          </rPr>
          <t>Year the market-size uplift reaches its target (offset 10 → 2035), ramping from 1.0 in 2025. Monte Carlo range 7–15.</t>
        </r>
      </text>
    </comment>
    <comment ref="B365" authorId="0" shapeId="0" xr:uid="{00000000-0006-0000-0000-000014000000}">
      <text>
        <r>
          <rPr>
            <sz val="10"/>
            <rFont val="Arial"/>
            <family val="2"/>
          </rPr>
          <t>Factory expansion-rate limit — this sets the production ramp. Monte Carlo range 8–30.</t>
        </r>
      </text>
    </comment>
    <comment ref="B366" authorId="0" shapeId="0" xr:uid="{00000000-0006-0000-0000-000015000000}">
      <text>
        <r>
          <rPr>
            <sz val="10"/>
            <rFont val="Arial"/>
            <family val="2"/>
          </rPr>
          <t>Mature annual build cap, set to 400 (about one per day by 2050). Monte Carlo range 200–600.</t>
        </r>
      </text>
    </comment>
    <comment ref="B368" authorId="0" shapeId="0" xr:uid="{00000000-0006-0000-0000-000016000000}">
      <text>
        <r>
          <rPr>
            <sz val="10"/>
            <rFont val="Arial"/>
            <family val="2"/>
          </rPr>
          <t>Logistic ceiling for orbital-compute demand. Calibrated so the orbital-data-centre fleet plateaus around 1–3M satellites (consistent with the ~1M-satellite FCC filing plus headroom). Monte Carlo range 4,000–15,000.</t>
        </r>
      </text>
    </comment>
    <comment ref="B369" authorId="0" shapeId="0" xr:uid="{00000000-0006-0000-0000-000017000000}">
      <text>
        <r>
          <rPr>
            <sz val="10"/>
            <rFont val="Arial"/>
            <family val="2"/>
          </rPr>
          <t>Adoption steepness for orbital-compute demand — higher values reach the market ceiling faster. Monte Carlo range 0.20–0.45.</t>
        </r>
      </text>
    </comment>
    <comment ref="B370" authorId="0" shapeId="0" xr:uid="{00000000-0006-0000-0000-000018000000}">
      <text>
        <r>
          <rPr>
            <sz val="10"/>
            <rFont val="Arial"/>
            <family val="2"/>
          </rPr>
          <t>Terrestrial training carve-out, as a % of prior-year AI revenue. Funds frontier-training compute that books no revenue — a committed reinvestment that bypasses the IRR queue. Monte Carlo range 0.15–0.60.</t>
        </r>
      </text>
    </comment>
    <comment ref="B373" authorId="0" shapeId="0" xr:uid="{00000000-0006-0000-0000-000019000000}">
      <text>
        <r>
          <rPr>
            <sz val="10"/>
            <rFont val="Arial"/>
            <family val="2"/>
          </rPr>
          <t>Corporate overhead: IT, internal systems, transport, security, shared test infrastructure and HQ. Monte Carlo range 0.02–0.06.</t>
        </r>
      </text>
    </comment>
    <comment ref="B374" authorId="0" shapeId="0" xr:uid="{00000000-0006-0000-0000-00001A000000}">
      <text>
        <r>
          <rPr>
            <sz val="10"/>
            <rFont val="Arial"/>
            <family val="2"/>
          </rPr>
          <t>Launch-site infrastructure (towers/Mechazilla, recovery fleet and droneships, tank farm, deluge, ground support, sites), treated as a stock that grows with launch cadence. Monte Carlo range 6–25.</t>
        </r>
      </text>
    </comment>
    <comment ref="B375" authorId="0" shapeId="0" xr:uid="{00000000-0006-0000-0000-00001B000000}">
      <text>
        <r>
          <rPr>
            <sz val="10"/>
            <rFont val="Arial"/>
            <family val="2"/>
          </rPr>
          <t>Ground-network infrastructure: gateways, points of presence, peering, fibre backhaul. Monte Carlo range 0.02–0.07.</t>
        </r>
      </text>
    </comment>
    <comment ref="B376" authorId="0" shapeId="0" xr:uid="{00000000-0006-0000-0000-00001C000000}">
      <text>
        <r>
          <rPr>
            <sz val="10"/>
            <rFont val="Arial"/>
            <family val="2"/>
          </rPr>
          <t>Depreciation life for the new facility buckets (years). Monte Carlo range 15–30.</t>
        </r>
      </text>
    </comment>
    <comment ref="B377" authorId="0" shapeId="0" xr:uid="{00000000-0006-0000-0000-00001D000000}">
      <text>
        <r>
          <rPr>
            <sz val="10"/>
            <rFont val="Arial"/>
            <family val="2"/>
          </rPr>
          <t>Dishes per new subscriber. Monte Carlo range 0.9–1.2.</t>
        </r>
      </text>
    </comment>
    <comment ref="B378" authorId="0" shapeId="0" xr:uid="{00000000-0006-0000-0000-00001E000000}">
      <text>
        <r>
          <rPr>
            <sz val="10"/>
            <rFont val="Arial"/>
            <family val="2"/>
          </rPr>
          <t>Dish replacement / churn rate. Monte Carlo range 0.05–0.20.</t>
        </r>
      </text>
    </comment>
    <comment ref="B380" authorId="0" shapeId="0" xr:uid="{00000000-0006-0000-0000-00001F000000}">
      <text>
        <r>
          <rPr>
            <sz val="10"/>
            <rFont val="Arial"/>
            <family val="2"/>
          </rPr>
          <t>Year the target kW/ton is reached; held flat thereafter. Monte Carlo range 2038–2045.</t>
        </r>
      </text>
    </comment>
    <comment ref="B381" authorId="0" shapeId="0" xr:uid="{00000000-0006-0000-0000-000020000000}">
      <text>
        <r>
          <rPr>
            <sz val="10"/>
            <rFont val="Arial"/>
            <family val="2"/>
          </rPr>
          <t>Calibrates 2025 chip power draw to ~700 W (2025 FP8 throughput ÷ 700 W). Drives the dynamic power-draw line (throughput ÷ performance-per-watt). Monte Carlo range 2.5–3.2.</t>
        </r>
      </text>
    </comment>
    <comment ref="B382" authorId="0" shapeId="0" xr:uid="{00000000-0006-0000-0000-000021000000}">
      <text>
        <r>
          <rPr>
            <sz val="10"/>
            <rFont val="Arial"/>
            <family val="2"/>
          </rPr>
          <t>Annual chip-efficiency improvement: performance-per-watt = anchor × (1+rate)^years. As efficiency rises, power draw glides down. Monte Carlo range 0.08–0.15.</t>
        </r>
      </text>
    </comment>
    <comment ref="B383" authorId="0" shapeId="0" xr:uid="{00000000-0006-0000-0000-000022000000}">
      <text>
        <r>
          <rPr>
            <sz val="10"/>
            <rFont val="Arial"/>
            <family val="2"/>
          </rPr>
          <t>Annual growth in chip FP8 throughput, calibrated to ~1,979 in 2025 rising to ~20,974 by 2050 (a smooth curve). Monte Carlo range 0.08–0.12.</t>
        </r>
      </text>
    </comment>
    <comment ref="B384" authorId="0" shapeId="0" xr:uid="{00000000-0006-0000-0000-000023000000}">
      <text>
        <r>
          <rPr>
            <sz val="10"/>
            <rFont val="Arial"/>
            <family val="2"/>
          </rPr>
          <t>Dedicated orbital-data-centre satellite manufacturing CapEx, per sat/yr of capacity. These are 1.8-ton compute satellites, separate from the Starlink (Redmond) line. Monte Carlo range 0.15–0.60.</t>
        </r>
      </text>
    </comment>
    <comment ref="B387" authorId="0" shapeId="0" xr:uid="{00000000-0006-0000-0000-000024000000}">
      <text>
        <r>
          <rPr>
            <sz val="10"/>
            <rFont val="Arial"/>
            <family val="2"/>
          </rPr>
          <t>EV/EBITDA exit multiple for Starlink terminal value (applied to 2040 segment EBITDA). Monte Carlo range 9–15.</t>
        </r>
      </text>
    </comment>
    <comment ref="B388" authorId="0" shapeId="0" xr:uid="{00000000-0006-0000-0000-000025000000}">
      <text>
        <r>
          <rPr>
            <sz val="10"/>
            <rFont val="Arial"/>
            <family val="2"/>
          </rPr>
          <t>EV/EBITDA exit multiple for Customer Launch terminal value (applied to 2040 segment EBITDA). Monte Carlo range 8–14.</t>
        </r>
      </text>
    </comment>
    <comment ref="B389" authorId="0" shapeId="0" xr:uid="{00000000-0006-0000-0000-000026000000}">
      <text>
        <r>
          <rPr>
            <sz val="10"/>
            <rFont val="Arial"/>
            <family val="2"/>
          </rPr>
          <t>EV/EBITDA exit multiple for AI-Compute terminal value (applied to 2040 segment EBITDA of ~$1.08T). This is the single biggest valuation driver — for a trillion-dollar-EBITDA business, 8–12x may be more appropriate. Monte Carlo range 8–15.</t>
        </r>
      </text>
    </comment>
    <comment ref="B487" authorId="0" shapeId="0" xr:uid="{00000000-0006-0000-0000-000027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88" authorId="0" shapeId="0" xr:uid="{00000000-0006-0000-0000-000028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89" authorId="0" shapeId="0" xr:uid="{00000000-0006-0000-0000-000029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0" authorId="0" shapeId="0" xr:uid="{00000000-0006-0000-0000-00002A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1" authorId="0" shapeId="0" xr:uid="{00000000-0006-0000-0000-00002B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 Space restructuring = nil.</t>
        </r>
      </text>
    </comment>
    <comment ref="B492" authorId="0" shapeId="0" xr:uid="{00000000-0006-0000-0000-00002C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3" authorId="0" shapeId="0" xr:uid="{00000000-0006-0000-0000-00002D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4" authorId="0" shapeId="0" xr:uid="{00000000-0006-0000-0000-00002E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495" authorId="0" shapeId="0" xr:uid="{00000000-0006-0000-0000-00002F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496" authorId="0" shapeId="0" xr:uid="{00000000-0006-0000-0000-000030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497" authorId="0" shapeId="0" xr:uid="{00000000-0006-0000-0000-000031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8" authorId="0" shapeId="0" xr:uid="{00000000-0006-0000-0000-000032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499" authorId="0" shapeId="0" xr:uid="{00000000-0006-0000-0000-000033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00" authorId="0" shapeId="0" xr:uid="{00000000-0006-0000-0000-000034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01" authorId="0" shapeId="0" xr:uid="{00000000-0006-0000-0000-000035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 Connectivity restructuring = nil.</t>
        </r>
      </text>
    </comment>
    <comment ref="B502" authorId="0" shapeId="0" xr:uid="{00000000-0006-0000-0000-000036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 Connectivity impairment = nil.</t>
        </r>
      </text>
    </comment>
    <comment ref="B503" authorId="0" shapeId="0" xr:uid="{00000000-0006-0000-0000-000037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04" authorId="0" shapeId="0" xr:uid="{00000000-0006-0000-0000-000038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505" authorId="0" shapeId="0" xr:uid="{00000000-0006-0000-0000-000039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506" authorId="0" shapeId="0" xr:uid="{00000000-0006-0000-0000-00003A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507" authorId="0" shapeId="0" xr:uid="{00000000-0006-0000-0000-00003B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 xAI consolidated via merger; 2025 reporting only.</t>
        </r>
      </text>
    </comment>
    <comment ref="B508" authorId="0" shapeId="0" xr:uid="{00000000-0006-0000-0000-00003C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09" authorId="0" shapeId="0" xr:uid="{00000000-0006-0000-0000-00003D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10" authorId="0" shapeId="0" xr:uid="{00000000-0006-0000-0000-00003E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11" authorId="0" shapeId="0" xr:uid="{00000000-0006-0000-0000-00003F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12" authorId="0" shapeId="0" xr:uid="{00000000-0006-0000-0000-000040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 AI impairment = nil.</t>
        </r>
      </text>
    </comment>
    <comment ref="B513" authorId="0" shapeId="0" xr:uid="{00000000-0006-0000-0000-000041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statement.</t>
        </r>
      </text>
    </comment>
    <comment ref="B514" authorId="0" shapeId="0" xr:uid="{00000000-0006-0000-0000-000042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515" authorId="0" shapeId="0" xr:uid="{00000000-0006-0000-0000-000043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  <comment ref="B516" authorId="0" shapeId="0" xr:uid="{00000000-0006-0000-0000-000044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Source: SpaceX S-1, FY2025 segment income statement (supplemental).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36" authorId="0" shapeId="0" xr:uid="{00000000-0006-0000-0200-000001000000}">
      <text>
        <r>
          <rPr>
            <sz val="10"/>
            <rFont val="Arial"/>
            <family val="2"/>
          </rPr>
          <t>Starshield = 12% of new satellite deployment.</t>
        </r>
      </text>
    </comment>
    <comment ref="D40" authorId="0" shapeId="0" xr:uid="{00000000-0006-0000-0200-000002000000}">
      <text>
        <r>
          <rPr>
            <sz val="10"/>
            <rFont val="Arial"/>
            <family val="2"/>
          </rPr>
          <t>Year-chained: end-of-year fleet = start-of-year less straight-line retirements over the cohort's retirement window (5-year useful life).</t>
        </r>
      </text>
    </comment>
    <comment ref="D41" authorId="0" shapeId="0" xr:uid="{00000000-0006-0000-0200-000003000000}">
      <text>
        <r>
          <rPr>
            <sz val="10"/>
            <rFont val="Arial"/>
            <family val="2"/>
          </rPr>
          <t>Year-chained: end-of-year fleet = start-of-year less straight-line retirements over the cohort's retirement window.</t>
        </r>
      </text>
    </comment>
    <comment ref="D42" authorId="0" shapeId="0" xr:uid="{00000000-0006-0000-0200-000004000000}">
      <text>
        <r>
          <rPr>
            <sz val="10"/>
            <rFont val="Arial"/>
            <family val="2"/>
          </rPr>
          <t>Year-chained: V2 broadband end-of-year fleet = start-of-year + new deployments − retirements (retirements = deployments L years earlier).</t>
        </r>
      </text>
    </comment>
    <comment ref="D43" authorId="0" shapeId="0" xr:uid="{00000000-0006-0000-0200-000005000000}">
      <text>
        <r>
          <rPr>
            <sz val="10"/>
            <rFont val="Arial"/>
            <family val="2"/>
          </rPr>
          <t>Year-chained: V3 broadband end-of-year fleet = start-of-year + new deployments − retirements.</t>
        </r>
      </text>
    </comment>
    <comment ref="D52" authorId="0" shapeId="0" xr:uid="{00000000-0006-0000-0200-000006000000}">
      <text>
        <r>
          <rPr>
            <sz val="10"/>
            <rFont val="Arial"/>
            <family val="2"/>
          </rPr>
          <t>Year-chained: V2 direct-to-cell end-of-year fleet = start-of-year less straight-line retirements. Closed cohort (no new V2 direct-to-cell); retirement window 2029–30.</t>
        </r>
      </text>
    </comment>
    <comment ref="D53" authorId="0" shapeId="0" xr:uid="{00000000-0006-0000-0200-000007000000}">
      <text>
        <r>
          <rPr>
            <sz val="10"/>
            <rFont val="Arial"/>
            <family val="2"/>
          </rPr>
          <t>Year-chained: V3 direct-to-cell end-of-year fleet = start-of-year + new deployments − retirements (L years earlier).</t>
        </r>
      </text>
    </comment>
    <comment ref="D63" authorId="0" shapeId="0" xr:uid="{00000000-0006-0000-0200-000008000000}">
      <text>
        <r>
          <rPr>
            <sz val="10"/>
            <rFont val="Arial"/>
            <family val="2"/>
          </rPr>
          <t>Bandwidth revenue = active Gbps × price per Gbps × utilisation, converted to $mm.</t>
        </r>
      </text>
    </comment>
    <comment ref="D64" authorId="0" shapeId="0" xr:uid="{00000000-0006-0000-0200-000009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E64" authorId="0" shapeId="0" xr:uid="{00000000-0006-0000-0200-000028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F64" authorId="0" shapeId="0" xr:uid="{00000000-0006-0000-0200-00002C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G64" authorId="0" shapeId="0" xr:uid="{00000000-0006-0000-0200-00002F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H64" authorId="0" shapeId="0" xr:uid="{00000000-0006-0000-0200-000032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I64" authorId="0" shapeId="0" xr:uid="{00000000-0006-0000-0200-000035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J64" authorId="0" shapeId="0" xr:uid="{00000000-0006-0000-0200-000038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K64" authorId="0" shapeId="0" xr:uid="{00000000-0006-0000-0200-00003B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L64" authorId="0" shapeId="0" xr:uid="{00000000-0006-0000-0200-00003E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M64" authorId="0" shapeId="0" xr:uid="{00000000-0006-0000-0200-000041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N64" authorId="0" shapeId="0" xr:uid="{00000000-0006-0000-0200-000044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O64" authorId="0" shapeId="0" xr:uid="{00000000-0006-0000-0200-000047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P64" authorId="0" shapeId="0" xr:uid="{00000000-0006-0000-0200-00004A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Q64" authorId="0" shapeId="0" xr:uid="{00000000-0006-0000-0200-00004D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R64" authorId="0" shapeId="0" xr:uid="{00000000-0006-0000-0200-000050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S64" authorId="0" shapeId="0" xr:uid="{00000000-0006-0000-0200-000053000000}">
      <text>
        <r>
          <rPr>
            <sz val="10"/>
            <rFont val="Arial"/>
            <family val="2"/>
          </rPr>
          <t>Broadband hardware revenue = net new broadband subscribers (millions) × kit price. Broadband only — direct-to-cell has no hardware kit.</t>
        </r>
      </text>
    </comment>
    <comment ref="D71" authorId="0" shapeId="0" xr:uid="{00000000-0006-0000-0200-00000A000000}">
      <text>
        <r>
          <rPr>
            <sz val="10"/>
            <rFont val="Arial"/>
            <family val="2"/>
          </rPr>
          <t>Active retail satellites = V2 Mini broadband + V3 broadband + V2 direct-to-cell + V3 direct-to-cell end-of-year fleet. Excludes Legacy (deorbiting) and Starshield (government). Feeds terminal cost of goods.</t>
        </r>
      </text>
    </comment>
    <comment ref="D74" authorId="0" shapeId="0" xr:uid="{00000000-0006-0000-0200-00000B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E74" authorId="0" shapeId="0" xr:uid="{00000000-0006-0000-0200-000029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F74" authorId="0" shapeId="0" xr:uid="{00000000-0006-0000-0200-00002D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G74" authorId="0" shapeId="0" xr:uid="{00000000-0006-0000-0200-000030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H74" authorId="0" shapeId="0" xr:uid="{00000000-0006-0000-0200-000033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I74" authorId="0" shapeId="0" xr:uid="{00000000-0006-0000-0200-000036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J74" authorId="0" shapeId="0" xr:uid="{00000000-0006-0000-0200-000039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K74" authorId="0" shapeId="0" xr:uid="{00000000-0006-0000-0200-00003C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L74" authorId="0" shapeId="0" xr:uid="{00000000-0006-0000-0200-00003F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M74" authorId="0" shapeId="0" xr:uid="{00000000-0006-0000-0200-000042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N74" authorId="0" shapeId="0" xr:uid="{00000000-0006-0000-0200-000045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O74" authorId="0" shapeId="0" xr:uid="{00000000-0006-0000-0200-000048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P74" authorId="0" shapeId="0" xr:uid="{00000000-0006-0000-0200-00004B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Q74" authorId="0" shapeId="0" xr:uid="{00000000-0006-0000-0200-00004E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R74" authorId="0" shapeId="0" xr:uid="{00000000-0006-0000-0200-000051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S74" authorId="0" shapeId="0" xr:uid="{00000000-0006-0000-0200-000054000000}">
      <text>
        <r>
          <rPr>
            <sz val="10"/>
            <rFont val="Arial"/>
            <family val="2"/>
          </rPr>
          <t>Broadband hardware cost = net new broadband subscribers (millions) × unit cost ($500). With a $400 sale price this reflects the roughly $100/kit subsidy.</t>
        </r>
      </text>
    </comment>
    <comment ref="D83" authorId="0" shapeId="0" xr:uid="{00000000-0006-0000-0200-00000C000000}">
      <text>
        <r>
          <rPr>
            <sz val="10"/>
            <rFont val="Arial"/>
            <family val="2"/>
          </rPr>
          <t>Tapered rate applied to revenue: starts at the anchor percentage and trends toward a floor over time (the greater of the floor and anchor × (1+rate)^years).</t>
        </r>
      </text>
    </comment>
    <comment ref="D92" authorId="0" shapeId="0" xr:uid="{00000000-0006-0000-0200-00000D000000}">
      <text>
        <r>
          <rPr>
            <sz val="10"/>
            <rFont val="Arial"/>
            <family val="2"/>
          </rPr>
          <t>Revenue × a rate that starts at the anchor percentage and tapers toward a floor over time.</t>
        </r>
      </text>
    </comment>
    <comment ref="D93" authorId="0" shapeId="0" xr:uid="{00000000-0006-0000-0200-00000E000000}">
      <text>
        <r>
          <rPr>
            <sz val="10"/>
            <rFont val="Arial"/>
            <family val="2"/>
          </rPr>
          <t>Satellite depreciation across the whole active fleet, mass-weighted: active sats per cohort × mass × depreciation per kg. Owned-launch and facility depreciation are tracked separately.</t>
        </r>
      </text>
    </comment>
    <comment ref="D94" authorId="0" shapeId="0" xr:uid="{00000000-0006-0000-0200-00000F000000}">
      <text>
        <r>
          <rPr>
            <sz val="10"/>
            <rFont val="Arial"/>
            <family val="2"/>
          </rPr>
          <t>Straight-line depreciation on cumulative owned-launch CapEx over F9 booster life, capped at cumulative CapEx. Computes zero until launch build costs are populated.</t>
        </r>
      </text>
    </comment>
    <comment ref="D95" authorId="0" shapeId="0" xr:uid="{00000000-0006-0000-0200-000010000000}">
      <text>
        <r>
          <rPr>
            <sz val="10"/>
            <rFont val="Arial"/>
            <family val="2"/>
          </rPr>
          <t>Launch-facility share = Starlink internal launches ÷ (Starlink internal + Customer Launch external launches).</t>
        </r>
      </text>
    </comment>
    <comment ref="D96" authorId="0" shapeId="0" xr:uid="{00000000-0006-0000-0200-000011000000}">
      <text>
        <r>
          <rPr>
            <sz val="10"/>
            <rFont val="Arial"/>
            <family val="2"/>
          </rPr>
          <t>Satellite-manufacturing facility depreciation (all Starlink) plus Starlink's share of launch-facility depreciation.</t>
        </r>
      </text>
    </comment>
    <comment ref="D101" authorId="0" shapeId="0" xr:uid="{00000000-0006-0000-0200-000012000000}">
      <text>
        <r>
          <rPr>
            <sz val="10"/>
            <rFont val="Arial"/>
            <family val="2"/>
          </rPr>
          <t>Satellite build CapEx = satellites built per cohort × build cost. V3 direct-to-cell uses the V3 broadband build cost (same satellite bus).</t>
        </r>
      </text>
    </comment>
    <comment ref="D103" authorId="0" shapeId="0" xr:uid="{00000000-0006-0000-0200-000013000000}">
      <text>
        <r>
          <rPr>
            <sz val="10"/>
            <rFont val="Arial"/>
            <family val="2"/>
          </rPr>
          <t>Owned launch-vehicle CapEx. Reads the launch build-cost lines; computes zero until those build costs are populated.</t>
        </r>
      </text>
    </comment>
    <comment ref="D104" authorId="0" shapeId="0" xr:uid="{00000000-0006-0000-0200-000014000000}">
      <text>
        <r>
          <rPr>
            <sz val="10"/>
            <rFont val="Arial"/>
            <family val="2"/>
          </rPr>
          <t>Change in working capital = total new satellites this year × working capital per satellite.</t>
        </r>
      </text>
    </comment>
    <comment ref="D106" authorId="0" shapeId="0" xr:uid="{00000000-0006-0000-0200-000015000000}">
      <text>
        <r>
          <rPr>
            <sz val="10"/>
            <rFont val="Arial"/>
            <family val="2"/>
          </rPr>
          <t>Module free cash flow = module EBIT + total depreciation − total CapEx.</t>
        </r>
      </text>
    </comment>
    <comment ref="D112" authorId="0" shapeId="0" xr:uid="{00000000-0006-0000-0200-000016000000}">
      <text>
        <r>
          <rPr>
            <sz val="10"/>
            <rFont val="Arial"/>
            <family val="2"/>
          </rPr>
          <t>Margin per satellite (one cost base): revenue/sat = price × Gbps/sat × utilisation, less operating costs and R&amp;D (applied as a blended ratio of OpEx+R&amp;D to revenue) and bandwidth cost per sat. Depreciation is excluded here — it is recovered through the annuity calculation.</t>
        </r>
      </text>
    </comment>
    <comment ref="D118" authorId="0" shapeId="0" xr:uid="{00000000-0006-0000-0200-000017000000}">
      <text>
        <r>
          <rPr>
            <sz val="10"/>
            <rFont val="Arial"/>
            <family val="2"/>
          </rPr>
          <t>Direct-to-cell revenue per satellite uses the same effective-Gbps lever as revenue, so the IRR and P&amp;L share a single cost base.</t>
        </r>
      </text>
    </comment>
    <comment ref="D125" authorId="0" shapeId="0" xr:uid="{00000000-0006-0000-0200-000018000000}">
      <text>
        <r>
          <rPr>
            <sz val="10"/>
            <rFont val="Arial"/>
            <family val="2"/>
          </rPr>
          <t>V3 build cost falls along a Wright's-law learning curve (anchor cost × learning rate ^ log2 of cumulative V3 sats ÷ anchor). This drives V3's return overtaking V2.</t>
        </r>
      </text>
    </comment>
    <comment ref="D135" authorId="0" shapeId="0" xr:uid="{00000000-0006-0000-0200-000019000000}">
      <text>
        <r>
          <rPr>
            <sz val="10"/>
            <rFont val="Arial"/>
            <family val="2"/>
          </rPr>
          <t>Year-chained: Starshield end-of-year fleet = start-of-year + new − retirements (L years earlier).</t>
        </r>
      </text>
    </comment>
    <comment ref="D138" authorId="0" shapeId="0" xr:uid="{00000000-0006-0000-0200-00001A000000}">
      <text>
        <r>
          <rPr>
            <sz val="10"/>
            <rFont val="Arial"/>
            <family val="2"/>
          </rPr>
          <t>IRR safeguard: if annual margin per satellite exceeds the CapEx outlay, payback is under a year and the return is effectively unbounded, so it is capped at 300%. Otherwise the IRR is solved across a range of rate guesses. This prevents very high returns from being reported as zero.</t>
        </r>
      </text>
    </comment>
    <comment ref="D140" authorId="0" shapeId="0" xr:uid="{00000000-0006-0000-0200-00001B000000}">
      <text>
        <r>
          <rPr>
            <sz val="10"/>
            <rFont val="Arial"/>
            <family val="2"/>
          </rPr>
          <t>Revenue-weighted module spot IRR: each stream's IRR (broadband, direct-to-cell, Starshield) weighted by its revenue and divided by total revenue.</t>
        </r>
      </text>
    </comment>
    <comment ref="D158" authorId="0" shapeId="0" xr:uid="{00000000-0006-0000-0200-00001C000000}">
      <text>
        <r>
          <rPr>
            <sz val="10"/>
            <rFont val="Arial"/>
            <family val="2"/>
          </rPr>
          <t>Cumulative capital deployed = running total of module CapEx.</t>
        </r>
      </text>
    </comment>
    <comment ref="D159" authorId="0" shapeId="0" xr:uid="{00000000-0006-0000-0200-00001D000000}">
      <text>
        <r>
          <rPr>
            <sz val="10"/>
            <rFont val="Arial"/>
            <family val="2"/>
          </rPr>
          <t>Same-year launch-mass demand = this year's total new satellites × satellite mass. This feeds the Vehicle Build launch-capacity engine. (Label still reads 'year N+1' but the value is same-year.)</t>
        </r>
      </text>
    </comment>
    <comment ref="D162" authorId="0" shapeId="0" xr:uid="{00000000-0006-0000-0200-00001E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E162" authorId="0" shapeId="0" xr:uid="{00000000-0006-0000-0200-00002A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F162" authorId="0" shapeId="0" xr:uid="{00000000-0006-0000-0200-00002E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G162" authorId="0" shapeId="0" xr:uid="{00000000-0006-0000-0200-000031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H162" authorId="0" shapeId="0" xr:uid="{00000000-0006-0000-0200-000034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I162" authorId="0" shapeId="0" xr:uid="{00000000-0006-0000-0200-000037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J162" authorId="0" shapeId="0" xr:uid="{00000000-0006-0000-0200-00003A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K162" authorId="0" shapeId="0" xr:uid="{00000000-0006-0000-0200-00003D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L162" authorId="0" shapeId="0" xr:uid="{00000000-0006-0000-0200-000040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M162" authorId="0" shapeId="0" xr:uid="{00000000-0006-0000-0200-000043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N162" authorId="0" shapeId="0" xr:uid="{00000000-0006-0000-0200-000046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O162" authorId="0" shapeId="0" xr:uid="{00000000-0006-0000-0200-000049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P162" authorId="0" shapeId="0" xr:uid="{00000000-0006-0000-0200-00004C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Q162" authorId="0" shapeId="0" xr:uid="{00000000-0006-0000-0200-00004F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R162" authorId="0" shapeId="0" xr:uid="{00000000-0006-0000-0200-000052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S162" authorId="0" shapeId="0" xr:uid="{00000000-0006-0000-0200-000055000000}">
      <text>
        <r>
          <rPr>
            <sz val="10"/>
            <rFont val="Arial"/>
            <family val="2"/>
          </rPr>
          <t>Launch-capacity ceiling on satellites = start-of-year launch capacity remaining after Lunar-Mars, divided by average new-satellite mass. It depends only on prior-year capacity and mass assumptions, so it creates no circular reference.</t>
        </r>
      </text>
    </comment>
    <comment ref="D170" authorId="0" shapeId="0" xr:uid="{00000000-0006-0000-0200-00001F000000}">
      <text>
        <r>
          <rPr>
            <sz val="10"/>
            <rFont val="Arial"/>
            <family val="2"/>
          </rPr>
          <t>Compares variable launch cost + owned launch CapEx against the older bundled at-cost transfer (internal launches × at-cost rate). The gap is the owned-launch CapEx that appears once launch build costs are populated.</t>
        </r>
      </text>
    </comment>
    <comment ref="D171" authorId="0" shapeId="0" xr:uid="{00000000-0006-0000-0200-000020000000}">
      <text>
        <r>
          <rPr>
            <sz val="10"/>
            <rFont val="Arial"/>
            <family val="2"/>
          </rPr>
          <t>Cross-check: per-satellite margin before R&amp;D × active sats vs (gross profit − operating costs). Tolerance 5% — the two use slightly different price bases, so a small gap is expected.</t>
        </r>
      </text>
    </comment>
    <comment ref="D176" authorId="0" shapeId="0" xr:uid="{00000000-0006-0000-0200-000021000000}">
      <text>
        <r>
          <rPr>
            <sz val="10"/>
            <rFont val="Arial"/>
            <family val="2"/>
          </rPr>
          <t>Ground-station capacity driver = V2 + V3 broadband Gbps (excludes Legacy). Reference row — exclude from sums.</t>
        </r>
      </text>
    </comment>
    <comment ref="D177" authorId="0" shapeId="0" xr:uid="{00000000-0006-0000-0200-000022000000}">
      <text>
        <r>
          <rPr>
            <sz val="10"/>
            <rFont val="Arial"/>
            <family val="2"/>
          </rPr>
          <t>Terminal-factory capacity driver = V2 + V3 direct-to-cell effective Gbps. Reference row — exclude from sums.</t>
        </r>
      </text>
    </comment>
    <comment ref="D180" authorId="0" shapeId="0" xr:uid="{00000000-0006-0000-0200-000023000000}">
      <text>
        <r>
          <rPr>
            <sz val="10"/>
            <rFont val="Arial"/>
            <family val="2"/>
          </rPr>
          <t>Implied broadband subscribers = broadband service revenue ($mm) ÷ annual ARPU (monthly ARPU × 12). The result is already in millions of subscribers.</t>
        </r>
      </text>
    </comment>
    <comment ref="D181" authorId="0" shapeId="0" xr:uid="{00000000-0006-0000-0200-000024000000}">
      <text>
        <r>
          <rPr>
            <sz val="10"/>
            <rFont val="Arial"/>
            <family val="2"/>
          </rPr>
          <t>2025 starting subscribers = 4.4M; later years chain off the prior year's end-of-year value.</t>
        </r>
      </text>
    </comment>
    <comment ref="E181" authorId="0" shapeId="0" xr:uid="{00000000-0006-0000-0200-00002B000000}">
      <text>
        <r>
          <rPr>
            <sz val="10"/>
            <rFont val="Arial"/>
            <family val="2"/>
          </rPr>
          <t>Implied broadband subscribers = broadband service revenue ($mm) ÷ annual ARPU (monthly ARPU × 12). The result is already in millions of subscribers.</t>
        </r>
      </text>
    </comment>
    <comment ref="D182" authorId="0" shapeId="0" xr:uid="{00000000-0006-0000-0200-000025000000}">
      <text>
        <r>
          <rPr>
            <sz val="10"/>
            <rFont val="Arial"/>
            <family val="2"/>
          </rPr>
          <t>End-of-year value derived from the average: if average = (start + end) ÷ 2, then end = 2 × average − start.</t>
        </r>
      </text>
    </comment>
    <comment ref="D183" authorId="0" shapeId="0" xr:uid="{00000000-0006-0000-0200-000026000000}">
      <text>
        <r>
          <rPr>
            <sz val="10"/>
            <rFont val="Arial"/>
            <family val="2"/>
          </rPr>
          <t>Net subscriber adds = end-of-year − start-of-year, floored at zero. One hardware kit per net new subscriber.</t>
        </r>
      </text>
    </comment>
    <comment ref="D184" authorId="0" shapeId="0" xr:uid="{00000000-0006-0000-0200-000027000000}">
      <text>
        <r>
          <rPr>
            <sz val="10"/>
            <rFont val="Arial"/>
            <family val="2"/>
          </rPr>
          <t>Calibration check: model-implied broadband subscribers vs the 8.9M disclosed for 2025. The model's 9.34M runs about 5% high.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44" authorId="0" shapeId="0" xr:uid="{00000000-0006-0000-0600-000001000000}">
      <text>
        <r>
          <rPr>
            <sz val="10"/>
            <rFont val="Arial"/>
            <family val="2"/>
          </rPr>
          <t>Lunar share set to 100%; the Lunar/Mars split is handled in the Cash Allocation Engine. Mars deployment is zero across the forecast horizon.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A10" authorId="0" shapeId="0" xr:uid="{00000000-0006-0000-0700-000001000000}">
      <text>
        <r>
          <rPr>
            <sz val="10"/>
            <rFont val="Arial"/>
            <family val="2"/>
          </rPr>
          <t>Legacy passthrough of the fully-reusable Starship payload line. The label is kept exactly because other tabs look it up by this text.</t>
        </r>
      </text>
    </comment>
    <comment ref="A16" authorId="0" shapeId="0" xr:uid="{00000000-0006-0000-0700-000002000000}">
      <text>
        <r>
          <rPr>
            <sz val="10"/>
            <rFont val="Arial"/>
            <family val="2"/>
          </rPr>
          <t>Passthrough of the fully-reusable Starship at-cost rate. The label is kept exactly because other tabs look it up by this text.</t>
        </r>
      </text>
    </comment>
    <comment ref="D28" authorId="0" shapeId="0" xr:uid="{00000000-0006-0000-0700-000003000000}">
      <text>
        <r>
          <rPr>
            <sz val="10"/>
            <rFont val="Arial"/>
            <family val="2"/>
          </rPr>
          <t>Roll-up of each module's owned launch CapEx, summed by label. Vehicle Build books no CapEx of its own.</t>
        </r>
      </text>
    </comment>
    <comment ref="D29" authorId="0" shapeId="0" xr:uid="{00000000-0006-0000-0700-000004000000}">
      <text>
        <r>
          <rPr>
            <sz val="10"/>
            <rFont val="Arial"/>
            <family val="2"/>
          </rPr>
          <t>Each module's owned launch CapEx = its share of Starship launches × total Starship build CapEx. The module shares sum to 1, so the modules sum back to the engine total. Note: if AI-Compute or Lunar-Mars begin pulling Starship launches, they must add the matching CapEx share or the reconciliation breaks.</t>
        </r>
      </text>
    </comment>
    <comment ref="D33" authorId="0" shapeId="0" xr:uid="{00000000-0006-0000-0700-000005000000}">
      <text>
        <r>
          <rPr>
            <sz val="10"/>
            <rFont val="Arial"/>
            <family val="2"/>
          </rPr>
          <t>The learning curve is driven by cumulative ships built (the larger production volume). 2025 is unaffected: builds = 0, cumulative = anchor 4 + seed 21 = 25, preserving the $58.5M cost calibration.</t>
        </r>
      </text>
    </comment>
    <comment ref="E33" authorId="0" shapeId="0" xr:uid="{00000000-0006-0000-0700-00000B000000}">
      <text>
        <r>
          <rPr>
            <sz val="10"/>
            <rFont val="Arial"/>
            <family val="2"/>
          </rPr>
          <t>Cumulative Starship stacks = prior cumulative + ships built this year (a true running sum). This cumulative-experience figure drives the learning curve; the 2025 starting point is anchor 4 + seed 21 = 25.</t>
        </r>
      </text>
    </comment>
    <comment ref="E53" authorId="0" shapeId="0" xr:uid="{00000000-0006-0000-0700-00000C000000}">
      <text>
        <r>
          <rPr>
            <sz val="10"/>
            <rFont val="Arial"/>
            <family val="2"/>
          </rPr>
          <t>Cumulative up-mass = prior cumulative + this year's launches × payload (a true running sum, so it never falls). Launch cadence reads the prior-year cumulative to avoid a circular reference.</t>
        </r>
      </text>
    </comment>
    <comment ref="E56" authorId="0" shapeId="0" xr:uid="{00000000-0006-0000-0700-00000D000000}">
      <text>
        <r>
          <rPr>
            <sz val="10"/>
            <rFont val="Arial"/>
            <family val="2"/>
          </rPr>
          <t>Year-chained: start-of-year equals the prior year's end-of-year.</t>
        </r>
      </text>
    </comment>
    <comment ref="D61" authorId="0" shapeId="0" xr:uid="{00000000-0006-0000-0700-000006000000}">
      <text>
        <r>
          <rPr>
            <sz val="10"/>
            <rFont val="Arial"/>
            <family val="2"/>
          </rPr>
          <t>Booster retirement = the greater of usage wear (launches ÷ 35-flight reuse life) and calendar age-out (start-of-year ÷ 10-year life). The calendar term ensures the fleet ages toward zero once launches stop, rather than plateauing.</t>
        </r>
      </text>
    </comment>
    <comment ref="E61" authorId="0" shapeId="0" xr:uid="{00000000-0006-0000-0700-00000E000000}">
      <text>
        <r>
          <rPr>
            <sz val="10"/>
            <rFont val="Arial"/>
            <family val="2"/>
          </rPr>
          <t>Booster retirement = F9 launches ÷ reuse life (35 flights per booster).</t>
        </r>
      </text>
    </comment>
    <comment ref="E62" authorId="0" shapeId="0" xr:uid="{00000000-0006-0000-0700-00000F000000}">
      <text>
        <r>
          <rPr>
            <sz val="10"/>
            <rFont val="Arial"/>
            <family val="2"/>
          </rPr>
          <t>Year-chained: F9 start-of-year equals the prior year's end-of-year.</t>
        </r>
      </text>
    </comment>
    <comment ref="D75" authorId="0" shapeId="0" xr:uid="{00000000-0006-0000-0700-000007000000}">
      <text>
        <r>
          <rPr>
            <sz val="10"/>
            <rFont val="Arial"/>
            <family val="2"/>
          </rPr>
          <t>Starship mass uses full Config-1 payload (no utilisation haircut; Starship mass is zero in 2025, so 2025 calibration is unaffected). F9 mass uses average realized payload of 12,900 kg, not the 22,800 kg engineering maximum.</t>
        </r>
      </text>
    </comment>
    <comment ref="D78" authorId="0" shapeId="0" xr:uid="{00000000-0006-0000-0700-000008000000}">
      <text>
        <r>
          <rPr>
            <sz val="10"/>
            <rFont val="Arial"/>
            <family val="2"/>
          </rPr>
          <t>Model F9 internal launches = 148, reconciling to the 132 core Starlink launches plus ~16 Starshield (132 + 16 = 148).</t>
        </r>
      </text>
    </comment>
    <comment ref="D79" authorId="0" shapeId="0" xr:uid="{00000000-0006-0000-0700-000009000000}">
      <text>
        <r>
          <rPr>
            <sz val="10"/>
            <rFont val="Arial"/>
            <family val="2"/>
          </rPr>
          <t>Model F9 customer launches = 47 vs 38.6 disclosed — a residual of about 8–9, carried as a documented difference rather than forced to match.</t>
        </r>
      </text>
    </comment>
    <comment ref="D80" authorId="0" shapeId="0" xr:uid="{00000000-0006-0000-0700-00000A000000}">
      <text>
        <r>
          <rPr>
            <sz val="10"/>
            <rFont val="Arial"/>
            <family val="2"/>
          </rPr>
          <t>Model total F9 launches = 195 vs 171 disclosed (132 + 38.6) — a residual of about 24, driven mainly by the customer-launch overshoot, and carried as a documented difference.</t>
        </r>
      </text>
    </comment>
    <comment ref="E85" authorId="0" shapeId="0" xr:uid="{00000000-0006-0000-0700-000010000000}">
      <text>
        <r>
          <rPr>
            <sz val="10"/>
            <rFont val="Arial"/>
            <family val="2"/>
          </rPr>
          <t>Year-chained ship fleet: start-of-year equals the prior year's end-of-year.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51" authorId="0" shapeId="0" xr:uid="{00000000-0006-0000-0800-000001000000}">
      <text>
        <r>
          <rPr>
            <sz val="10"/>
            <rFont val="Arial"/>
            <family val="2"/>
          </rPr>
          <t>Starfactory one-time build cost, spread over the 2025–2026 build window. A second Starfactory (triggered by volume, ~1,000 ships/yr cap) stays at zero until ship builds begin.</t>
        </r>
      </text>
    </comment>
    <comment ref="D52" authorId="0" shapeId="0" xr:uid="{00000000-0006-0000-0800-000002000000}">
      <text>
        <r>
          <rPr>
            <sz val="10"/>
            <rFont val="Arial"/>
            <family val="2"/>
          </rPr>
          <t>Straight-line depreciation on cumulative Starfactory CapEx over a 30-year facility life, capped so cumulative depreciation never exceeds cumulative CapEx.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4" authorId="0" shapeId="0" xr:uid="{00000000-0006-0000-0900-000001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2025 = reported actuals (SpaceX S-1, FY2025 segment income statement). Column D gated via IF($D$5=0,...) to stamp the S-1 across Revenue, CoR (incl D&amp;A), R&amp;D, SG&amp;A, Restructuring, Impairment, CapEx. AI segment 2025 reported = xAI consolidated (3,201) only; the model's own AI-Compute thesis line (483→2,911→...) stays continuous and drives 2026+. D&amp;A carried inside CoR (match-S-1); D&amp;A bridge is supplemental memo for 2025. SBC ($1,947M) is supplemental — already inside S-1 EBIT, not re-subtracted. Lunar/corporate items are outside the S-1 3-segment reportable entity for the 2025 tie.</t>
        </r>
      </text>
    </comment>
    <comment ref="D99" authorId="0" shapeId="0" xr:uid="{00000000-0006-0000-0900-000002000000}">
      <text>
        <r>
          <rPr>
            <sz val="10"/>
            <rFont val="Arial"/>
            <family val="2"/>
          </rPr>
          <t>Orbital-compute-to-Starlink bandwidth elimination is left at zero as immaterial (peak ≤$142M vs ~$289bn AI revenue, under 0.05%).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 Saigau</author>
  </authors>
  <commentList>
    <comment ref="D8" authorId="0" shapeId="0" xr:uid="{00000000-0006-0000-0B00-000001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Expected FAIL: 2025 Group Revenue is stamped to S-1 (18,674); the Cash Allocation Engine still computes the model-organic figure. Netted against the S-1 stamp. 2026+ OK. See memo row 21.</t>
        </r>
      </text>
    </comment>
    <comment ref="D9" authorId="0" shapeId="0" xr:uid="{00000000-0006-0000-0B00-000002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Expected FAIL: 2025 EBITDA foot breaks because R&amp;D (D44) and SG&amp;A (D36) are gated to S-1 3-segment scope while EBITDA (D57) is the model native sum. Netted against the S-1 stamp. 2026+ OK.</t>
        </r>
      </text>
    </comment>
    <comment ref="D10" authorId="0" shapeId="0" xr:uid="{00000000-0006-0000-0B00-000003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Expected FAIL: 2025 D&amp;A (D65) gated to S-1 3-segment scope (6,701, excl. Lunar + Facilities); the guard sums all 5 sources. Netted against the S-1 stamp. 2026+ OK.</t>
        </r>
      </text>
    </comment>
    <comment ref="D11" authorId="0" shapeId="0" xr:uid="{00000000-0006-0000-0B00-000004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Expected FAIL: 2025 EBIT (D73) uses the S-1 identity (D&amp;A inside Cost of revenue, not re-subtracted); the check expects the model EBITDA−D&amp;A bridge. Netted against the S-1 stamp. 2026+ OK.</t>
        </r>
      </text>
    </comment>
    <comment ref="D17" authorId="0" shapeId="0" xr:uid="{00000000-0006-0000-0B00-000005000000}">
      <text>
        <r>
          <rPr>
            <sz val="10"/>
            <rFont val="Arial"/>
            <family val="2"/>
          </rPr>
          <t xml:space="preserve">Vlad Saigau:
</t>
        </r>
        <r>
          <rPr>
            <sz val="10"/>
            <color rgb="FF000000"/>
            <rFont val="Tahoma"/>
            <family val="2"/>
            <charset val="1"/>
          </rPr>
          <t>Expected FAIL: rolls up D8–D11, which are stamped to the S-1 basis for 2025 only. 2026+ OK. See memo row 21.</t>
        </r>
      </text>
    </comment>
  </commentList>
</comments>
</file>

<file path=xl/sharedStrings.xml><?xml version="1.0" encoding="utf-8"?>
<sst xmlns="http://schemas.openxmlformats.org/spreadsheetml/2006/main" count="2710" uniqueCount="2068">
  <si>
    <t>GLOBAL</t>
  </si>
  <si>
    <t>Tax rate (corporate, US federal + state blended)</t>
  </si>
  <si>
    <t>Standard US corporate rate; S-1 silent on effective rate split.</t>
  </si>
  <si>
    <t>triangle</t>
  </si>
  <si>
    <t>Demand curve escalator: start rate (annual)</t>
  </si>
  <si>
    <t xml:space="preserve">Early willingness-to-pay growth above inflation. </t>
  </si>
  <si>
    <t>Demand curve escalator: terminal rate (annual)</t>
  </si>
  <si>
    <t>Mature-market escalator ≈ inflation. The tapered curve converges here after the taper ends.</t>
  </si>
  <si>
    <t>ALLOCATOR</t>
  </si>
  <si>
    <t>▸ Cash pool boundary inputs</t>
  </si>
  <si>
    <t>IPO injection amount ($mm)</t>
  </si>
  <si>
    <t>IPO proceeds target not disclosed; placeholder.</t>
  </si>
  <si>
    <t>IPO injection year</t>
  </si>
  <si>
    <t>discrete</t>
  </si>
  <si>
    <t>▸ Lunar/Mars strategic carve-out (Monte Carlo variable)</t>
  </si>
  <si>
    <t>Lunar/Mars carve-out % of prior-year Group FCF</t>
  </si>
  <si>
    <t>Lunar/Mars carve-out floor ($mm/yr)</t>
  </si>
  <si>
    <t>Floor below which carve-out doesn't drop even if prior FCF is small.</t>
  </si>
  <si>
    <t>Lunar/Mars carve-out uses prior-year FCF (0/1)</t>
  </si>
  <si>
    <t>1 = prior year (breaks circularity per Principle 22). Structural input.</t>
  </si>
  <si>
    <t>fixed</t>
  </si>
  <si>
    <t>Lunar/Mars carve-out pre-first-mission-year R&amp;D-only override ($mm/yr)</t>
  </si>
  <si>
    <t>▸ IRR-weighted allocation parameters</t>
  </si>
  <si>
    <t>Allocation sharpness β (top-level 3-module blend)</t>
  </si>
  <si>
    <t>▸ Per-module asset life L (canonical IRR formula input)</t>
  </si>
  <si>
    <t>Asset life L: Customer Launch Starship (years)</t>
  </si>
  <si>
    <t>F9 booster analog (lifetime reuses ramp).</t>
  </si>
  <si>
    <t>Asset life L: Customer Launch F9 (years)</t>
  </si>
  <si>
    <t>Customer Launch IRR anchor.</t>
  </si>
  <si>
    <t>Asset life L: AI/Compute Orbital DC (years)</t>
  </si>
  <si>
    <t>Sat-based; matches Starlink sat life.</t>
  </si>
  <si>
    <t>Asset life L: AI/Compute Terrestrial DC (years)</t>
  </si>
  <si>
    <t>Industry norm for DC infrastructure.</t>
  </si>
  <si>
    <t>Asset life L: AI/Compute AI Apps (years)</t>
  </si>
  <si>
    <t>Customer subscription life / CAC payback.</t>
  </si>
  <si>
    <t>▸ Customer Launch IRR life clamps</t>
  </si>
  <si>
    <t>▸ Vehicle build claim (demand-pulled, one-period lag)</t>
  </si>
  <si>
    <t>CAPACITY (Starship + F9)</t>
  </si>
  <si>
    <t>▸ Starship vehicle physical + cost parameters</t>
  </si>
  <si>
    <t>Starship 2nd-stage manufacturing cost ($mm/unit, base)</t>
  </si>
  <si>
    <t>Reusability matrix anchor.</t>
  </si>
  <si>
    <t>Ship refurb % of manufacturing</t>
  </si>
  <si>
    <t>Per-reuse refurb cost.</t>
  </si>
  <si>
    <t>Payload: booster-only mode (kg-to-LEO)</t>
  </si>
  <si>
    <t>Expendable ship config. S-1 (p.92) confirms 100 mt V3 → 200 mt V4 potentially. 150K kg booster-only sits between V3 and V4.</t>
  </si>
  <si>
    <t>Payload: fully reusable mode (kg-to-LEO)</t>
  </si>
  <si>
    <t>S-1 p.92 EXPLICIT: V3 design 100 mt. Match.</t>
  </si>
  <si>
    <t>▸ Starship cadence (Wright's Law on cum upmass)</t>
  </si>
  <si>
    <t>Base turnaround time per booster (years/flight)</t>
  </si>
  <si>
    <t>2025 starting point.</t>
  </si>
  <si>
    <t>WL learning rate: turnaround vs cum upmass doubling</t>
  </si>
  <si>
    <t>Booster learning rate (0.21). Cumulative experience compounds faster than an annual proxy. Monte Carlo range 0.15–0.28. Holds the rising 6→~22 booster cadence ramp.</t>
  </si>
  <si>
    <t>Cadence ceiling (flights/booster/year)</t>
  </si>
  <si>
    <t>Physical refly ceiling at full maturity.</t>
  </si>
  <si>
    <t>▸ Starship time-varying inputs (year-rows)</t>
  </si>
  <si>
    <t>Lifetime reuses per booster (year cap)</t>
  </si>
  <si>
    <t>Ramps 5 → 100. S-1 anchors F9 at 34x (p.4); soft-anchor 2025 to ~30-35 for F9-class maturity.</t>
  </si>
  <si>
    <t>fixed-yearrow</t>
  </si>
  <si>
    <t>▸ Falcon 9 physical + cost parameters</t>
  </si>
  <si>
    <t>F9 booster (1st stage) mfg cost ($mm/unit)</t>
  </si>
  <si>
    <t>60% of total per reusability matrix source notes. S-1 silent.</t>
  </si>
  <si>
    <t>F9 2nd stage mfg cost ($mm/unit)</t>
  </si>
  <si>
    <t>Expendable each flight.</t>
  </si>
  <si>
    <t>F9 fairing cost net of 75% recovery ($mm/flight)</t>
  </si>
  <si>
    <t>$5M × 25% non-recovered.</t>
  </si>
  <si>
    <t>F9 per-launch ops cost ($mm)</t>
  </si>
  <si>
    <t>Range, propellant, recovery.</t>
  </si>
  <si>
    <t>F9 booster refurb % of mfg</t>
  </si>
  <si>
    <t>Reusability matrix.</t>
  </si>
  <si>
    <t>F9 payload to LEO (kg)</t>
  </si>
  <si>
    <t>Block 5 advertised. S-1 mass-to-orbit decomposition triangulates (p.85): 1,901 mt internal / 122 launches = 15.6 mt/launch, well below F9 stretch limit.</t>
  </si>
  <si>
    <t>F9 lifetime reuses per booster</t>
  </si>
  <si>
    <t>S-1 p.4 reports 34 reflights demonstrated. Lowered Base from 50 to 35 to match demonstrated; upper MC tail to 100.</t>
  </si>
  <si>
    <t>F9 Wright's Law mfg learning rate</t>
  </si>
  <si>
    <t>Mature production line; minimal further learning.</t>
  </si>
  <si>
    <t>F9 cadence per booster (flights/year, flat)</t>
  </si>
  <si>
    <t>S-1 implies actual 2025 = ~5.9 flights/booster (165 launches ÷ 28 boosters). Build Plan 12 was mature ceiling; Base lowered to 8 to reflect actual ramp; MC top retained to 15.</t>
  </si>
  <si>
    <t>F9 base booster build rate (boosters/year, pre-V3-trigger)</t>
  </si>
  <si>
    <t>Q4'25 had 17 manufactured in 2025, but that's pre-decay. Build floor stub.</t>
  </si>
  <si>
    <t>V3 Starlink launch trigger year</t>
  </si>
  <si>
    <t>S-1 p.5, p.93 EXPLICIT: "V3 deployment begins 2H 2026 on Starship; 60 V3 sats per Starship launch." Build Plan had 2027, overridden.</t>
  </si>
  <si>
    <t>F9 build-rate decay window (years)</t>
  </si>
  <si>
    <t>Linear decay over 8 yrs post-trigger.</t>
  </si>
  <si>
    <t>F9 starting fleet at 2025 SoY (boosters)</t>
  </si>
  <si>
    <t>Q4'25 Earth R29 anchored. S-1 doesn't disclose fleet count but cadence math (165 launches ÷ 28 = 5.9 flights/booster) is plausible. V30.5 had 24, corrected.</t>
  </si>
  <si>
    <t>▸ F9 launch glide path (Customer Launch IN to Vehicle Build)</t>
  </si>
  <si>
    <t>CUSTOMER LAUNCH</t>
  </si>
  <si>
    <t>F9 customer launch price ($mm/launch)</t>
  </si>
  <si>
    <t>2025 Space segment revenue = $4,086M (Launch Services $2,576M + Launch &amp; Delivery $1,510M) ÷ 43 commercial customer launches = $95.0M blended. Split: commercial ~$85.9M × ~30 launches + government/defense ~$116.2M × ~13 launches. Declines 3%/yr. Calibration target: 2025 Customer Launch revenue = $4,086M ±5%.</t>
  </si>
  <si>
    <t>Starship customer launch price ($mm/launch): year-row</t>
  </si>
  <si>
    <t>S-1 p.5 confirms first commercial Starship payload delivery 2H 2026. Customer revenue from 2027 (1yr after first delivery). $100M stub stands; 8%/yr decline.</t>
  </si>
  <si>
    <t>Commercial launch market size ($mm/year): year-row</t>
  </si>
  <si>
    <t>Build plan $8B base + 8%/yr growth. The S-1 implies a ~70% SpaceX share of a ~$5.5B 2025 market, so this build plan may be too high.</t>
  </si>
  <si>
    <t>Government launch market size ($mm/year): year-row</t>
  </si>
  <si>
    <t>Build plan $4B + 5%/yr. 2025 Launch &amp; Delivery of $1,510M (NASA CRS + DoW) implies a ~$1.7B market at 90% share, so this build plan looks high.</t>
  </si>
  <si>
    <t>SpaceX commercial market share %</t>
  </si>
  <si>
    <t>S-1 p.81 supports higher share than Build Plan's 70%. New trajectory: 75% (2025) → 80% (2040, linear).</t>
  </si>
  <si>
    <t>SpaceX government market share %</t>
  </si>
  <si>
    <t>Customer A 20.9% concentration trend supports declining gov share. 90% → 80% linear.</t>
  </si>
  <si>
    <t>Launch insurance % of external rev</t>
  </si>
  <si>
    <t>Internal.</t>
  </si>
  <si>
    <t>Launch other COGS % of external rev</t>
  </si>
  <si>
    <t>▸ NEW S-1 derived inputs</t>
  </si>
  <si>
    <t>STARLINK</t>
  </si>
  <si>
    <t>▸ Wright's Law parameters</t>
  </si>
  <si>
    <t>Satellite cost per kg: base year ($/kg)</t>
  </si>
  <si>
    <t>Q4'25 $643.50; S-1 PP&amp;E sat gross $11,949M / 9,600 sats × 575 kg ≈ $720/kg, within tolerance.</t>
  </si>
  <si>
    <t>Satellite cost per kg: learning rate</t>
  </si>
  <si>
    <t>Satellite cost floor ($/kg)</t>
  </si>
  <si>
    <t>▸ Depreciation parameters</t>
  </si>
  <si>
    <t>Satellite Dep per kg: base year ($/kg/yr)</t>
  </si>
  <si>
    <t>Constellation depreciation. S-1 property, plant &amp; equipment: satellite gross $11,949M → ~$2,390M at a 5-year life; 2025 target ≈ $706.9M.</t>
  </si>
  <si>
    <t>▸ Subscribers + ARPU + Terminals (BIG S-1 IMPACTS)</t>
  </si>
  <si>
    <t>Starting BoY 2025 subscribers (millions)</t>
  </si>
  <si>
    <t>S-1 p.22, p.87 audited EoY 2024 = BoY 2025 = 4.4M. Build Plan had 5.0M, overridden.</t>
  </si>
  <si>
    <t>Broadband ARPU ($/sub/mo): year-row</t>
  </si>
  <si>
    <t>S-1 p.22, p.87: 2025 = $81 (audited); Q1'26 = $66 (audited); mgmt guidance: continued decline as international growth + lower-priced plans land. Build Plan $100→$75 by 2030 OVERRIDDEN. New trajectory: $81 → $55 by 2030 → flat.</t>
  </si>
  <si>
    <t>triangle-yearrow</t>
  </si>
  <si>
    <t>Terminal COGS per unit ($)</t>
  </si>
  <si>
    <t>S-1 p.247 Connectivity products $1,510M is terminal-sales channel. No unit cost disclosed.</t>
  </si>
  <si>
    <t>ODC — RETIRED, superseded by the AI/Compute section. Memos below retained.</t>
  </si>
  <si>
    <t>F_ref: reference compute unit (TFLOPS, H100 FP8)</t>
  </si>
  <si>
    <t>▸ Dual revenue model</t>
  </si>
  <si>
    <t>PUE_base (terrestrial colo)</t>
  </si>
  <si>
    <t>Industry standard.</t>
  </si>
  <si>
    <t>Orbital PUE</t>
  </si>
  <si>
    <t>First-principles.</t>
  </si>
  <si>
    <t>Memo: ODC first deployment year (anchor)</t>
  </si>
  <si>
    <t>S-1 p.3, p.10. Cash flows to ODC starting 2027 (1-yr build lead).</t>
  </si>
  <si>
    <t>Memo: Terrestrial AI compute draw (GW): year-row</t>
  </si>
  <si>
    <t>S-1 p.22, p.89: 0.3 EoY 2023 → 0.8 EoY 2025 → 1.0 Q1'26. COLOSSUS + COLOSSUS II buildout. Memo for AI Stack TAM sizing.</t>
  </si>
  <si>
    <t>LUNAR / MARS (strategic carve-out: not in the IRR queue)</t>
  </si>
  <si>
    <t>▸ Module-wide parameters</t>
  </si>
  <si>
    <t>Capital lifetime: BV straight-line depreciation (years)</t>
  </si>
  <si>
    <t>Reuses Asset Life L from R31. Q4'25 R205.</t>
  </si>
  <si>
    <t>Module operating cost: Lunar (% of Lunar CapEx)</t>
  </si>
  <si>
    <t>5% mission ops.</t>
  </si>
  <si>
    <t>Module operating cost: Mars (% of Mars CapEx)</t>
  </si>
  <si>
    <t>Same.</t>
  </si>
  <si>
    <t>First mission year (Lunar Mars)</t>
  </si>
  <si>
    <t>Gates deployment before 2028 to zero.</t>
  </si>
  <si>
    <t>▸ Labour unit shared parameters (Optimus-class proxy)</t>
  </si>
  <si>
    <t>Labour unit mass (kg)</t>
  </si>
  <si>
    <t>Robotic class proxy.</t>
  </si>
  <si>
    <t>Labour unit base hourly output ($/hr; burdened $22/0.7)</t>
  </si>
  <si>
    <t>Derived.</t>
  </si>
  <si>
    <t>Labour unit daily working hours</t>
  </si>
  <si>
    <t>Robots don't sleep.</t>
  </si>
  <si>
    <t>Labour unit productivity factor vs human baseline</t>
  </si>
  <si>
    <t>Parity stub.</t>
  </si>
  <si>
    <t>Labour unit productivity learning rate (%/yr)</t>
  </si>
  <si>
    <t>5%/yr productivity gain.</t>
  </si>
  <si>
    <t>Labour unit operational lifespan on surface (years)</t>
  </si>
  <si>
    <t>Retirement vintage.</t>
  </si>
  <si>
    <t>▸ Lunar-specific</t>
  </si>
  <si>
    <t>Lunar fuel depot multiplier per outbound Starship</t>
  </si>
  <si>
    <t>5 tanker per moon ship.</t>
  </si>
  <si>
    <t>Lunar payload per surface-landed Starship (kg)</t>
  </si>
  <si>
    <t>Translunar with landing reserve.</t>
  </si>
  <si>
    <t>Lunar % payload as labour units</t>
  </si>
  <si>
    <t>30% labour / 70% hardware.</t>
  </si>
  <si>
    <t>▸ Mars-specific</t>
  </si>
  <si>
    <t>Mars fuel depot multiplier per outbound Starship</t>
  </si>
  <si>
    <t>Rocket equation; 5 tankers per Mars ship.</t>
  </si>
  <si>
    <t>Mars payload per surface-landed Starship (kg)</t>
  </si>
  <si>
    <t>Cargo Starship Mars landing.</t>
  </si>
  <si>
    <t>Mars % payload as labour units</t>
  </si>
  <si>
    <t>Same as Lunar.</t>
  </si>
  <si>
    <t>▸ Year-row cost curves</t>
  </si>
  <si>
    <t>Labour unit cost ($/unit): declining curve</t>
  </si>
  <si>
    <t>Optimus-class robot unit manufacturing cost. Single value; no learning-curve decline applied yet.</t>
  </si>
  <si>
    <t>Hardware replacement cost factor ($/kg landed): declining</t>
  </si>
  <si>
    <t>Hardware value-add per kg landed. Single value; no year-by-year decline applied yet.</t>
  </si>
  <si>
    <t>▸ Lunar / Mars share of carve-out cash (derived deployment)</t>
  </si>
  <si>
    <t>Lunar share of Mars/Moon carve-out cash: year-row</t>
  </si>
  <si>
    <t>Lunar continuous (year-round); fills lower-cost end. Stub: high initially, drops as Mars windows arrive.</t>
  </si>
  <si>
    <t>OPEX (Group-level + module-attributed R&amp;D parameters)</t>
  </si>
  <si>
    <t>▸ R&amp;D attribution rules</t>
  </si>
  <si>
    <t>Starlink R&amp;D: start % of (Starlink+Starshield) rev</t>
  </si>
  <si>
    <t xml:space="preserve">Re-anchored to S-1 ~5.3% (was 8%). </t>
  </si>
  <si>
    <t>Starlink R&amp;D: end-state % (floor)</t>
  </si>
  <si>
    <t>Mature satcom peer floor.</t>
  </si>
  <si>
    <t>Starlink R&amp;D: CAGR (taper)</t>
  </si>
  <si>
    <t>10%/yr taper toward floor.</t>
  </si>
  <si>
    <t>Customer Launch R&amp;D: start % of external rev</t>
  </si>
  <si>
    <t>Non-Starship R&amp;D</t>
  </si>
  <si>
    <t>Starship R&amp;D total ($mm/yr): year-row</t>
  </si>
  <si>
    <t>S-1 p.103, p.109: Space R&amp;D 2025 = $3,004M (Starship-driven). Trajectory ramps then declines as Starship matures.</t>
  </si>
  <si>
    <t>▸ Shared / unattributable corporate R&amp;D (Group, residual)</t>
  </si>
  <si>
    <t>Shared corporate R&amp;D ($mm/yr): year-row</t>
  </si>
  <si>
    <t>Backed into from total observed R&amp;D − attributed. HR, IT, basic research, exec. Modest growth.</t>
  </si>
  <si>
    <t>▸ SG&amp;A by function (Group-level)</t>
  </si>
  <si>
    <t>Sales &amp; Marketing: start % of (Starlink+Starshield+CL ext) rev</t>
  </si>
  <si>
    <t>Module-only sales &amp; marketing (Starlink). Corporate S&amp;M is held elsewhere.</t>
  </si>
  <si>
    <t>Sales &amp; Marketing: end-state % (floor)</t>
  </si>
  <si>
    <t>Mature.</t>
  </si>
  <si>
    <t>Sales &amp; Marketing: CAGR (taper)</t>
  </si>
  <si>
    <t>Taper.</t>
  </si>
  <si>
    <t>General &amp; Administrative: start % of group rev</t>
  </si>
  <si>
    <t>S-1 p.111 Connectivity SG&amp;A $468M / Conn rev $11,387M = 4.1%. Hold 5%.</t>
  </si>
  <si>
    <t>General &amp; Administrative: end-state % (floor)</t>
  </si>
  <si>
    <t>G&amp;A is a floor that declines with scale (previously a 6% ceiling that drifted up).</t>
  </si>
  <si>
    <t>General &amp; Administrative: CAGR (taper)</t>
  </si>
  <si>
    <t>Negative taper: G&amp;A % falls at scale (reversed from +1%/yr drift).</t>
  </si>
  <si>
    <t>Customer Service: flat % of Starlink subscription rev</t>
  </si>
  <si>
    <t>2% CS on Starlink subs.</t>
  </si>
  <si>
    <t>Other corporate operating: flat % of group rev</t>
  </si>
  <si>
    <t>Catch-all.</t>
  </si>
  <si>
    <t>VALUATION</t>
  </si>
  <si>
    <t>▸ WACC + risk premia</t>
  </si>
  <si>
    <t>Group WACC</t>
  </si>
  <si>
    <t>10% placeholder for high-growth tech — a single workbook-wide scalar.</t>
  </si>
  <si>
    <t>▸ Terminal value parameters</t>
  </si>
  <si>
    <t>Terminal growth rate g (group + most modules)</t>
  </si>
  <si>
    <t>Gordon Growth perpetuity.</t>
  </si>
  <si>
    <t>Lunar / Mars: terminal BV multiplier</t>
  </si>
  <si>
    <t>Valuation precedent (sum-of-the-parts).</t>
  </si>
  <si>
    <t>Terminal FCF averaging window (years pre-2050)</t>
  </si>
  <si>
    <t>Smooths the FCF cliff.</t>
  </si>
  <si>
    <t>▸ Comparables anchors ($B)</t>
  </si>
  <si>
    <t>Comp anchor: Group EV (Morgan Stanley public)</t>
  </si>
  <si>
    <t>Pre-IPO sell-side note.</t>
  </si>
  <si>
    <t>Comp anchor: Starlink standalone (Bernstein/JPM)</t>
  </si>
  <si>
    <t>EV/Rev ~10× × $15B rev.</t>
  </si>
  <si>
    <t>Comp anchor: AI/Compute standalone (CoreWeave-anchored)</t>
  </si>
  <si>
    <t>Pre-revenue placeholder.</t>
  </si>
  <si>
    <t>Comp anchor: Customer Launch standalone (Rocket Lab)</t>
  </si>
  <si>
    <t>EV/Rev ~5× × $8B Build-Plan TAM (flagged high, see R78).</t>
  </si>
  <si>
    <t>▸ SoTP multiples (EV/Revenue at 2050)</t>
  </si>
  <si>
    <t>Multiple: Customer Launch (EV/Rev at 2050)</t>
  </si>
  <si>
    <t>Rocket Lab proxy.</t>
  </si>
  <si>
    <t>Multiple: Starlink (EV/Rev at 2050)</t>
  </si>
  <si>
    <t>Mature satcom.</t>
  </si>
  <si>
    <t>Multiple: AI/Compute (EV/Rev at 2050)</t>
  </si>
  <si>
    <t>CoreWeave proxy.</t>
  </si>
  <si>
    <t>F9 cadence + at-cost rates + glide path (separate from commercial price)</t>
  </si>
  <si>
    <t>F9 cadence per booster (flights/year)</t>
  </si>
  <si>
    <t>S-1 actual ramp: 165 launches ÷ 28 boosters ≈ 5.9 flights/booster (2025 calibration).</t>
  </si>
  <si>
    <t>F9 at-cost rate per launch ($mm)</t>
  </si>
  <si>
    <t>Fully-loaded marginal cost build-up: $10M 2nd stage (consumed) + $5M per-launch ops + $1.25M fairing net of 75% recovery + $0.9M booster refurb + $0.6M amortized booster + ~$2.25M allocated fixed (insurance/range/facility) = $20M. Distinct from F9 customer launch price ($111M; commercial margin $91M = 82%).</t>
  </si>
  <si>
    <t>Starship at-cost rate per launch ($mm)</t>
  </si>
  <si>
    <t>Build-up at 2027 first-commercial year: $23.4M 2nd stage (consumed each flight) + $0.05M amortized Super Heavy over 24 cadence × 30 reuses + $0.7M Super Heavy refurb (2% × $35.1M) + ~$1M per-launch ops = $25M. Distinct from Starship customer launch price ($100M; commercial margin $75M = 75%). Learning-curve decline 8%/yr on cumulative up-mass.</t>
  </si>
  <si>
    <t>F9 launches glide path (per year)</t>
  </si>
  <si>
    <t>2025 anchor: 171 F9 launches (customer/commercial 38.58 + internal Starlink balance). Glide path: 2025 = 171, 2026 = 150, 2027 = 100 (Starship operational), 2028 = 60, 2029 = 30, 2030 = 10, 2031+ = 0 (Starship absorbs both customer and Starlink internal).</t>
  </si>
  <si>
    <t>triangle (per-year ±25%)</t>
  </si>
  <si>
    <t>F9 booster economic life (years)</t>
  </si>
  <si>
    <t>F9 booster realized service life given cadence 6.0 × life 8 = 48 launches per booster.</t>
  </si>
  <si>
    <t>F9 variable cost per launch ($mm/launch)</t>
  </si>
  <si>
    <t>Cost decomposition: 2nd stage $10M + ops $5M + fairing net $1.25M = $16.25M. Declines 2%/yr.</t>
  </si>
  <si>
    <t>Starship variable cost per launch ($mm/launch)</t>
  </si>
  <si>
    <t>Decomposition: propellant $1.5 + tiles/consumables $3.5 = $5M. Full-reuse architecture much cheaper than F9.</t>
  </si>
  <si>
    <t>▸ STARLINK MODULE</t>
  </si>
  <si>
    <t>Placeholder Group revenue, later replaced by a live Group P&amp;L read. Schedule: $14,650M (2025) × 12%/yr through 2035, then 5%/yr from 2036. Drives total Starship R&amp;D.</t>
  </si>
  <si>
    <t>STRUCTURAL</t>
  </si>
  <si>
    <t>Sat operational life L (years)</t>
  </si>
  <si>
    <t>Shared across V2/V3; satellite life is independent of vehicle generation.</t>
  </si>
  <si>
    <t>Starship operational year</t>
  </si>
  <si>
    <t>Vehicle-availability gate. Operational from H2-2026. Read by both Starlink and Vehicle Build.</t>
  </si>
  <si>
    <t>F9 launches V2-Starlink final year</t>
  </si>
  <si>
    <t>F9 launches V2 through year-end 2026, stops 2027. New-V2 deployment is live up to this year.</t>
  </si>
  <si>
    <t>V2 BB sat mass (kg)</t>
  </si>
  <si>
    <t>Q4'25 V2 Mini anchor.</t>
  </si>
  <si>
    <t>V2 DTC sat mass (kg)</t>
  </si>
  <si>
    <t>V2 Mini DTC same bus as BB.</t>
  </si>
  <si>
    <t>V3 BB sat mass (kg)</t>
  </si>
  <si>
    <t>No 2025 anchor (V3 pre-launch). Default; heavier bus, higher Gbps.</t>
  </si>
  <si>
    <t>V3 DTC sat mass (kg)</t>
  </si>
  <si>
    <t>V3 DTC same bus as V3 BB.</t>
  </si>
  <si>
    <t>V2 BB Gbps per sat</t>
  </si>
  <si>
    <t>Q4'25 V2 Mini anchor (96 Gbps).</t>
  </si>
  <si>
    <t>V3 BB Gbps per sat</t>
  </si>
  <si>
    <t>No 2025 anchor. Roughly 10× V2 per public V3 guidance; default.</t>
  </si>
  <si>
    <t>Working capital per sat ($mm/sat): ΔWC T0</t>
  </si>
  <si>
    <t>T=0 WC in CapEx slug (small for sat business per canonical rule 7).</t>
  </si>
  <si>
    <t>Bandwidth/peering cost per Gbps ($mm/Gbps-yr)</t>
  </si>
  <si>
    <t>Variable cost of goods, scales with served Gbps × utilisation. Single de-duplicated input.</t>
  </si>
  <si>
    <t>Sat utilization (frac)</t>
  </si>
  <si>
    <t>Average served fraction of sat capacity. Drives revenue + COGS (NOT OpEx).</t>
  </si>
  <si>
    <t>Starshield $/Gbps ($/Gbps-yr)</t>
  </si>
  <si>
    <t>Starshield fixed price ($164,699), no demand curve. Raw $ (not $mm), preserving the exact 2025 figure.</t>
  </si>
  <si>
    <t>Starshield active Gbps (year-row)</t>
  </si>
  <si>
    <t>2025 anchor solved: 15,300 × $164,699 ÷ 1e6 × utilisation 1.0 = $2,519.9M ≈ $2,520M. Growth via the input below.</t>
  </si>
  <si>
    <t>Starshield Gbps growth (frac)</t>
  </si>
  <si>
    <t>Drives the year-row Starshield growth from the 2025 anchor.</t>
  </si>
  <si>
    <t>Starshield sat mass (kg)</t>
  </si>
  <si>
    <t>Government bus is heavier (hardened). Default.</t>
  </si>
  <si>
    <t>Starlink deployment 2025 anchor (sats)</t>
  </si>
  <si>
    <t>New sats deployed 2025 (= cumulative end-2025 11,326 − cumulative end-2024 7,486 = 3,840). Splits V2 broadband / V2 direct-to-cell / Starshield per the deployment-split inputs.</t>
  </si>
  <si>
    <t>V3 BB share of new deployment (frac)</t>
  </si>
  <si>
    <t>BB share of new V3 sats (2027+).</t>
  </si>
  <si>
    <t>V3 DTC share of new deployment (frac)</t>
  </si>
  <si>
    <t>DTC share of new V3 sats (2027+).</t>
  </si>
  <si>
    <t>Pre-2025 active Starshield installed base (sats)</t>
  </si>
  <si>
    <t>Starshield largely 2025-on; seed near 0, calibrate to $2,520M 2025 revenue via active-Gbps instead.</t>
  </si>
  <si>
    <t>Starshield utilization (frac)</t>
  </si>
  <si>
    <t>Reconciliation: government take-or-pay ≈ 100%. With active Gbps 15,300 × $164,699 × 1.0 = $2,520M.</t>
  </si>
  <si>
    <t>F9 sats per launch (V2 packing)</t>
  </si>
  <si>
    <t>F9 manifests ~23–26 V2 Mini per launch. Calibrates F9-internal to ≈132 (2025).</t>
  </si>
  <si>
    <t>▸ FACILITIES BUILD: capacity-step facility CapEx</t>
  </si>
  <si>
    <t>Sat factory cost per capacity increment ($mm)</t>
  </si>
  <si>
    <t>Redmond opening value ~$425M (estimate). Monte Carlo range 250–800.</t>
  </si>
  <si>
    <t>Sat factory capacity (sats/yr per increment)</t>
  </si>
  <si>
    <t>~70/week at Redmond; grows with V3. Monte Carlo range 3,000–10,000.</t>
  </si>
  <si>
    <t>Sat factory useful life (years)</t>
  </si>
  <si>
    <t>Structural.</t>
  </si>
  <si>
    <t>Sat facility capacity-ratio CapEx exponent</t>
  </si>
  <si>
    <t>Smoothing factor. Monte Carlo range 0.7–1.3.</t>
  </si>
  <si>
    <t>Starship facility cost per Gigabay increment ($mm)</t>
  </si>
  <si>
    <t>TX Gigabay $250M; FL $1.8B bundles launch infrastructure (wide range). Monte Carlo range 250–1,800.</t>
  </si>
  <si>
    <t>Starship facility capacity (ships/yr per Gigabay)</t>
  </si>
  <si>
    <t>100 ships/yr throughput now; 365 = “ship a day” ceiling. Monte Carlo range 50–365.</t>
  </si>
  <si>
    <t>Starship facility useful life (years)</t>
  </si>
  <si>
    <t>Launch pad build/upgrade cost ($mm per pad)</t>
  </si>
  <si>
    <t>SLC-4E ~$20–30M (Falcon); Starship pads (towers + tank farm) far higher, no public figure, base 200 mid-estimate. Monte Carlo range 20–500.</t>
  </si>
  <si>
    <t>Launch pad useful life (years)</t>
  </si>
  <si>
    <t>Starship launches per pad per year</t>
  </si>
  <si>
    <t>SLC-37 approved for up to 76/yr. Monte Carlo range 40–120.</t>
  </si>
  <si>
    <t>Engine facility cost per capacity increment ($mm)</t>
  </si>
  <si>
    <t>McGregor 2nd Raptor factory; no public figure (estimate). Monte Carlo range 100–500.</t>
  </si>
  <si>
    <t>Engine facility capacity (engines/yr per increment)</t>
  </si>
  <si>
    <t>800–1,000/yr 2nd factory. Monte Carlo range 800–2,000.</t>
  </si>
  <si>
    <t>Engine facility useful life (years)</t>
  </si>
  <si>
    <t>Terminal factory cost per capacity increment ($mm)</t>
  </si>
  <si>
    <t>Bastrop $280M expansion. Monte Carlo range 100–500.</t>
  </si>
  <si>
    <t>Terminal factory capacity (kits/yr per increment)</t>
  </si>
  <si>
    <t>~8.5M/yr, doubling in 2026. Monte Carlo range 4,000,000–17,000,000.</t>
  </si>
  <si>
    <t>Terminal factory useful life (years)</t>
  </si>
  <si>
    <t>Terminal factory CapEx toggle (1=on,0=off)</t>
  </si>
  <si>
    <t>Double-count flag: default OFF until confirmed terminal-factory CapEx isn't double-counted.</t>
  </si>
  <si>
    <t>Ground station build CapEx per station ($mm)</t>
  </si>
  <si>
    <t>Estimate.</t>
  </si>
  <si>
    <t>Ground station useful life (years)</t>
  </si>
  <si>
    <t>Ground stations built per year (placeholder, flat)</t>
  </si>
  <si>
    <t>2025 only</t>
  </si>
  <si>
    <t>HQ facility CapEx (% of revenue)</t>
  </si>
  <si>
    <t>HQ ~$53M / ~$10B revenue (estimate). Monte Carlo range 0.003–0.01.</t>
  </si>
  <si>
    <t>HQ facility useful life (years)</t>
  </si>
  <si>
    <t>Ground-network ops COGS (% of revenue)</t>
  </si>
  <si>
    <t>Ground-network operations cost as % of module revenue. Monte Carlo range 0.015–0.03.</t>
  </si>
  <si>
    <t>Asset insurance COGS (% of revenue)</t>
  </si>
  <si>
    <t>Asset/fleet insurance as % of module revenue. Monte Carlo range 0.005–0.02.</t>
  </si>
  <si>
    <t>Spectrum licence OpEx (% of revenue)</t>
  </si>
  <si>
    <t>Spectrum licence cost as % of revenue. Monte Carlo range 0.008–0.02.</t>
  </si>
  <si>
    <t>Starfactory build cost ($mm)</t>
  </si>
  <si>
    <t>Full production line, ~1,000 ships/yr (estimate, under construction late 2025/2026 — awaiting real figure). One-time capital project, not volume-triggered. Monte Carlo range 500–3,000.</t>
  </si>
  <si>
    <t>Starfactory build window (years)</t>
  </si>
  <si>
    <t>Spreads the one-time Starfactory CapEx over its 2025–2026 construction (structural).</t>
  </si>
  <si>
    <t>▸ STARLINK: real cohorts + DTC effective lever</t>
  </si>
  <si>
    <t>Effective DTC Gbps per sat (revenue calibration)</t>
  </si>
  <si>
    <t>Effective-Gbps lever (not physical throughput). Derived: 2025 Starlink Mobile revenue $632M inverted through the direct-to-cell demand curve → 577.6 total direct-to-cell Gbps ÷ 655 V2 direct-to-cell sats = 0.882. Monte Carlo range 0.5–1.4.</t>
  </si>
  <si>
    <t>Network ops &amp; G&amp;A (% of revenue)</t>
  </si>
  <si>
    <t>Module-level fixed network operations + network admin, distinct from the %-of-traffic ground cost line. Not corporate G&amp;A. Free variable for the $4,423M operating-income tie-out. Monte Carlo range 0.015–0.04.</t>
  </si>
  <si>
    <t>Legacy V1 active sats end-2025</t>
  </si>
  <si>
    <t>Real snapshot (2025-12-26). Deorbits to 0; no new launches. Monte Carlo range 800–920.</t>
  </si>
  <si>
    <t>Legacy V1 Gbps per sat</t>
  </si>
  <si>
    <t>Satellite spec sheet (structural).</t>
  </si>
  <si>
    <t>Legacy V1.5 active sats end-2025</t>
  </si>
  <si>
    <t>Real snapshot. Deorbits to 0. Monte Carlo range 2,500–2,800.</t>
  </si>
  <si>
    <t>Legacy V1.5 Gbps per sat</t>
  </si>
  <si>
    <t>Satellite spec (structural).</t>
  </si>
  <si>
    <t>V2 DTC active sats end-2025</t>
  </si>
  <si>
    <t>Real snapshot. Fixed cohort, no new V2 direct-to-cell ever. Deorbits. Monte Carlo range 640–670.</t>
  </si>
  <si>
    <t>V2 Mini BB sats end-2025</t>
  </si>
  <si>
    <t>Real snapshot count (4,314 V2 Mini broadband sats × 96 Gbps = 414,144). Used by Constellation Build. Monte Carlo range 4,200–4,400.</t>
  </si>
  <si>
    <t>Legacy V1 sat mass (kg)</t>
  </si>
  <si>
    <t>Real V1 spec mass (structural).</t>
  </si>
  <si>
    <t>Legacy V1.5 sat mass (kg)</t>
  </si>
  <si>
    <t>Real V1.5 spec mass (structural).</t>
  </si>
  <si>
    <t>▸ CUSTOMER LAUNCH: module = Space segment, 2-stream revenue, R&amp;D above EBITDA</t>
  </si>
  <si>
    <t>Customer Launch module SG&amp;A (% of external rev)</t>
  </si>
  <si>
    <t>Calibrated to Space segment SG&amp;A $349M ÷ $4,086M = 8.5%. Single module OpEx line (launch site/ground ops + segment SG&amp;A). Free variable for OpEx calibration; corporate-unallocated G&amp;A stays at Group level. Monte Carlo range 0.05–0.12.</t>
  </si>
  <si>
    <t>Launch &amp; Development revenue ($mm/yr): year-row</t>
  </si>
  <si>
    <t>Over-time stream (NASA CRS Dragon cargo + DoW development). Base 1,510 (2025), grows +5%/yr with the government launch/CRS pipeline. Monte Carlo range 1,200–1,800.</t>
  </si>
  <si>
    <t>Starship commercial-readiness factor: year-row</t>
  </si>
  <si>
    <t>Operator-confidence lag behind internal Starship ops. Logistic ramp: ≈0 in 2027, ≈1 by 2033, then flat; forced to 0 for 2025–2027. Monte Carlo range 0–1.0.</t>
  </si>
  <si>
    <t>BB demand curve level multiplier</t>
  </si>
  <si>
    <t>Flat scaler on broadband curve revenue. Base calibrates implied broadband subscribers to the disclosed 8.9M (2025). Represents demand variance, independent of the time-based market escalator. Monte Carlo range 0.9–1.3.</t>
  </si>
  <si>
    <t>DTC demand curve level multiplier</t>
  </si>
  <si>
    <t>Same as broadband, for direct-to-cell. Base = 1.0 to preserve the $632M direct-to-cell calibration (the 0.882 effective-Gbps lever already ties it). Represents direct-to-cell demand variance. Monte Carlo range 0.9–1.3.</t>
  </si>
  <si>
    <t>Blended kit sale price ($/kit)</t>
  </si>
  <si>
    <t>Revenue per broadband kit sold (broadband only; direct-to-cell is direct-to-phone, no kit). Blend of $500 retail (non-subscriber) and $300 (subscriber). Monte Carlo range 300–500.</t>
  </si>
  <si>
    <t>▸ VEHICLE BUILD: Starship fleet Wright's cost + cadence (fleet-level launch learning)</t>
  </si>
  <si>
    <t>Starship manufacturing cost anchor ($mm/stack, 2024 baseline)</t>
  </si>
  <si>
    <t>Booster 54 + ship 36 (60/40 split). Produces ~$58.5M in 2025 via the F9 seed. Monte Carlo range 70–110.</t>
  </si>
  <si>
    <t>Starship booster share of manufacturing cost (% of stack mfg)</t>
  </si>
  <si>
    <t>Monte Carlo range 0.50–0.70.</t>
  </si>
  <si>
    <t>Starship cost WL anchor cum units (= cum stacks at end-2024 baseline)</t>
  </si>
  <si>
    <t>≈4 successful integrated flight tests at end-2024. Denominator of the cost learning-curve ratio. Monte Carlo range 2–10.</t>
  </si>
  <si>
    <t>Starship F9-inherited experience seed (F9-equiv cum stacks at 2025 entry)</t>
  </si>
  <si>
    <t>Calibration knob set to 21 (from a base of 25) so 2025 manufacturing/stack cost = $58.5M. Monte Carlo range 10–50.</t>
  </si>
  <si>
    <t>Starship manufacturing WL learning rate (% reduction per doubling cum stacks)</t>
  </si>
  <si>
    <t>Reconciles the prior 0.10 manufacturing-learning row for the manufacturing curve. Monte Carlo range 0.10–0.25.</t>
  </si>
  <si>
    <t>Starship ops + fuel cost anchor ($mm/launch, 2024 baseline)</t>
  </si>
  <si>
    <t>Split out of the prior $12M combined ops + fuel + refurb. Monte Carlo range 6–16.</t>
  </si>
  <si>
    <t>Starship booster refurb cost anchor ($mm/flight, 2024 baseline)</t>
  </si>
  <si>
    <t>Split from $12M; applies only when the booster is reused. Monte Carlo range 0.8–2.0.</t>
  </si>
  <si>
    <t>Starship ship refurb cost anchor ($mm/flight, 2024 baseline)</t>
  </si>
  <si>
    <t>Split from $12M; applies only in Config 1 (ship reused). Monte Carlo range 0.4–1.5.</t>
  </si>
  <si>
    <t>Starship ops/refurb WL learning rate (% reduction per doubling cum stacks)</t>
  </si>
  <si>
    <t>Applies to all three ops/refurb split rows. Monte Carlo range 0.05–0.15.</t>
  </si>
  <si>
    <t>Starship ship reuse life (flights per ship)</t>
  </si>
  <si>
    <t>Orbital reentry makes the ship harder to reuse than the booster (50). Monte Carlo range 10–40.</t>
  </si>
  <si>
    <t>Starship cum-upmass Wright's anchor (kg)</t>
  </si>
  <si>
    <t>Cumulative up-mass anchor (200,000), the running-sum driver of the learning curve. Monte Carlo range 100,000–400,000.</t>
  </si>
  <si>
    <t>Starship payload ramp 2030 anchor (kg-to-LEO, fully reusable)</t>
  </si>
  <si>
    <t>Mid-horizon payload anchor; 2025 base = fully-reusable payload 100,000; cap 250,000. Monte Carlo range 150,000–250,000.</t>
  </si>
  <si>
    <t>Starship payload max cap (kg-to-LEO, fully reusable)</t>
  </si>
  <si>
    <t>STRUCTURAL, no MC. Hard ceiling on payload ramp.</t>
  </si>
  <si>
    <t>Booster cadence floor (flights/yr, operational)</t>
  </si>
  <si>
    <t>Booster reuse life. Returns fast; at least F9-like once operational. Monte Carlo range 4–12.</t>
  </si>
  <si>
    <t>Ship cadence floor (flights/yr, operational)</t>
  </si>
  <si>
    <t>Ship reuse life. Reentry/refurbishment is slower (at least 2 once design is complete). Monte Carlo range 1–6.</t>
  </si>
  <si>
    <t>Ship-to-booster cadence ratio</t>
  </si>
  <si>
    <t>Ship flies roughly half as often as its booster. Monte Carlo range 0.3–0.8.</t>
  </si>
  <si>
    <t>Launch vehicle calendar life (years)</t>
  </si>
  <si>
    <t>Idle/phase-out term; binds only when usage wear (launches ÷ reuse life) is low. Shared across F9 booster, Starship booster and Starship ship. Monte Carlo range 7–15.</t>
  </si>
  <si>
    <t>Raptor engines per booster (Super Heavy)</t>
  </si>
  <si>
    <t>Super Heavy engine count (structural).</t>
  </si>
  <si>
    <t>Raptor engines per ship (2nd stage)</t>
  </si>
  <si>
    <t>Starship upper-stage Raptor count (3 sea-level + 3 vacuum nominal). Monte Carlo range 3–9.</t>
  </si>
  <si>
    <t>F9 average realized payload per launch (kg)</t>
  </si>
  <si>
    <t>Average realized payload per F9 launch. 2025: 2,213,000 kg ÷ 171 launches ≈ 12.9 t/launch. Distinct from the 22,800 kg max-to-LEO used for capacity. Monte Carlo range 10,000–16,000.</t>
  </si>
  <si>
    <t>▸ Cash Allocation Engine inputs</t>
  </si>
  <si>
    <t>Placeholder AI/strategic CapEx (% of Group revenue): TEMP</t>
  </si>
  <si>
    <t>Interim stand-in for AI-Compute CapEx until that module is loaded. Gated 2026+. Set to 0 to retire. Monte Carlo range 0.00–0.30.</t>
  </si>
  <si>
    <t>▸ FACILITIES BASE ANCHORS (2025 standing capacity + sanity denominator)</t>
  </si>
  <si>
    <t>Sat factory base capacity 2025 (sats/yr)</t>
  </si>
  <si>
    <t>Gigabay base capacity 2025 (ships/yr)</t>
  </si>
  <si>
    <t>Engine facility base capacity 2025 (engines/yr)</t>
  </si>
  <si>
    <t>Launch pads base in service 2025 (Starship-capable)</t>
  </si>
  <si>
    <t>S-1 2025 SpaceX total CapEx ($mm)</t>
  </si>
  <si>
    <t>Legacy V1 base deorbit start year</t>
  </si>
  <si>
    <t>V1 launched 2019–21; survivors over 4 years old end-2025. Monte Carlo range 2026–2027.</t>
  </si>
  <si>
    <t>Legacy V1 base deorbit end year</t>
  </si>
  <si>
    <t>Monte Carlo range 2026–2028.</t>
  </si>
  <si>
    <t>Legacy V1.5 base deorbit start year</t>
  </si>
  <si>
    <t>V1.5 launched 2021–23. Monte Carlo range 2026–2027.</t>
  </si>
  <si>
    <t>Legacy V1.5 base deorbit end year</t>
  </si>
  <si>
    <t>= latest launch (2023) + 5. Monte Carlo range 2027–2029.</t>
  </si>
  <si>
    <t>V2 Mini BB base deorbit start year</t>
  </si>
  <si>
    <t>V2 Mini launched 2023–25. Monte Carlo range 2027–2029.</t>
  </si>
  <si>
    <t>V2 Mini BB base deorbit end year</t>
  </si>
  <si>
    <t>= 2025 + 5. Monte Carlo range 2029–2031.</t>
  </si>
  <si>
    <t>V2 DTC base deorbit start year</t>
  </si>
  <si>
    <t>Direct-to-cell first launch Jan 2024 (+5 = 2029). Monte Carlo range 2028–2030.</t>
  </si>
  <si>
    <t>V2 DTC base deorbit end year</t>
  </si>
  <si>
    <t>Latest launch 2025 (+5 = 2030). Monte Carlo range 2029–2031.</t>
  </si>
  <si>
    <t>▸ 2026 LAUNCH PACING &amp; CASH RESERVE</t>
  </si>
  <si>
    <t>Launch-pacing year (apply caps in this year only)</t>
  </si>
  <si>
    <t>F9 Starlink launches YTD in pacing year (actual)</t>
  </si>
  <si>
    <t>Months elapsed in pacing year (for annualization)</t>
  </si>
  <si>
    <t>F9 Starlink launch cap, annualized (launches/yr): derived</t>
  </si>
  <si>
    <t>needs MC</t>
  </si>
  <si>
    <t>Starship pre-build target: planned next-yr upmass (kg)</t>
  </si>
  <si>
    <t>Starship pre-build buffer multiple (x)</t>
  </si>
  <si>
    <t>Starship payload for pre-build sizing (kg)</t>
  </si>
  <si>
    <t>Starship booster cadence for pre-build sizing (flights/yr)</t>
  </si>
  <si>
    <t>▸ AI / COMPUTE MODULE</t>
  </si>
  <si>
    <t>Hours per year (AI/Compute utilization)</t>
  </si>
  <si>
    <t>Rule 14 lift of Cam's embedded 8760. Structural constant, no MC. A2 repoints Cam's inline 8760 to this cell. Unit: hr/yr.</t>
  </si>
  <si>
    <t>▸ AI: Orbital DC physical anchors</t>
  </si>
  <si>
    <t>Compute power per sat (kW)</t>
  </si>
  <si>
    <t>AI-C</t>
  </si>
  <si>
    <t>Sat solar generation (W)</t>
  </si>
  <si>
    <t>Effective Compute Ratio (ratio)</t>
  </si>
  <si>
    <t>▸ AI: Orbital DC subsystem unit costs</t>
  </si>
  <si>
    <t>Solar array $/W</t>
  </si>
  <si>
    <t>Thermal system $/kg</t>
  </si>
  <si>
    <t>Comms ISL set $/sat</t>
  </si>
  <si>
    <t>ADCS+avionics $/sat</t>
  </si>
  <si>
    <t>Structure $/sat</t>
  </si>
  <si>
    <t>Battery $/sat</t>
  </si>
  <si>
    <t>Shielding $/sat</t>
  </si>
  <si>
    <t>Integration &amp; Test $/sat</t>
  </si>
  <si>
    <t>LR subsystems (learning rate, per doubling)</t>
  </si>
  <si>
    <t>Wright's Law anchor cum sats</t>
  </si>
  <si>
    <t>AI-C: structural anchor (Cam MC blank)</t>
  </si>
  <si>
    <t>Wright's Law floor pct (of base subsystem cost)</t>
  </si>
  <si>
    <t>GPU effective-capacity degradation (per yr)</t>
  </si>
  <si>
    <t>Chip cost basis ($/TFLOPS, gen anchor @2025)</t>
  </si>
  <si>
    <t>Next-gen R&amp;D uplift (peak, × extra R&amp;D at gen jump)</t>
  </si>
  <si>
    <t>▸ AI: Orbital DC ops cost rates</t>
  </si>
  <si>
    <t>Gbps per GWh/yr</t>
  </si>
  <si>
    <t>BB-share of bandwidth (ratio)</t>
  </si>
  <si>
    <t>BB pool at-cost $/Gbps/yr</t>
  </si>
  <si>
    <t>DTC pool at-cost $/Gbps/yr</t>
  </si>
  <si>
    <t>Ground/network opex pct rev</t>
  </si>
  <si>
    <t>ODC insurance pct rev</t>
  </si>
  <si>
    <t>ODC other COGS pct rev</t>
  </si>
  <si>
    <t>▸ AI: Terrestrial DC</t>
  </si>
  <si>
    <t>Terrestrial $/MW build</t>
  </si>
  <si>
    <t>▸ AI: AI Apps</t>
  </si>
  <si>
    <t>AI Apps CAC ($/customer)</t>
  </si>
  <si>
    <t>AI Stack insurance pct rev</t>
  </si>
  <si>
    <t>AI Stack other COGS pct rev</t>
  </si>
  <si>
    <t>AI Apps GPU-hr per trillion tokens</t>
  </si>
  <si>
    <t>AI Apps tokens-per-query intensity CAGR</t>
  </si>
  <si>
    <t>▸ AI: R&amp;D attribution glides</t>
  </si>
  <si>
    <t>ODC R&amp;D start pct</t>
  </si>
  <si>
    <t>ODC R&amp;D floor pct</t>
  </si>
  <si>
    <t>ODC R&amp;D CAGR</t>
  </si>
  <si>
    <t>ODC pre-launch R&amp;D ($mm/yr, 2025-27)</t>
  </si>
  <si>
    <t>AI Stack R&amp;D start pct</t>
  </si>
  <si>
    <t>AI Stack R&amp;D floor pct</t>
  </si>
  <si>
    <t>AI Stack R&amp;D CAGR</t>
  </si>
  <si>
    <t>Terafab R&amp;D start pct</t>
  </si>
  <si>
    <t>Terafab R&amp;D floor pct</t>
  </si>
  <si>
    <t>Terafab R&amp;D CAGR</t>
  </si>
  <si>
    <t>▸ AI: Terafab toggle</t>
  </si>
  <si>
    <t>Terafab toggle (1=NVIDIA-parity ON, 0=buy NVIDIA, 0.5=blend)</t>
  </si>
  <si>
    <t>▸ AI: Terafab chip-fab (→ Facilities Build, A4)</t>
  </si>
  <si>
    <t>Terafab fab CapEx (blended all-in $/wspm)</t>
  </si>
  <si>
    <t>FAB ◄ Facilities Build (chip-fab, A4). MC: 280,000-1,393,615, low = ext 2nm benchmark ($28bn/100k wspm); base = Cam report (vertical-integration/bleeding-edge/onshore premium). A9 scale pass to resolve base.</t>
  </si>
  <si>
    <t>Terafab capacity per fab phase (wspm/phase)</t>
  </si>
  <si>
    <t>FAB ◄ Facilities Build (chip-fab, A4). Cam Low=High; structural.</t>
  </si>
  <si>
    <t>Terafab fab useful life (depreciation, years)</t>
  </si>
  <si>
    <t>FAB ◄ Facilities Build (chip-fab, A4)</t>
  </si>
  <si>
    <t>Terafab good chips per wspm per yr</t>
  </si>
  <si>
    <t>Terafab fab construction window (years)</t>
  </si>
  <si>
    <t>Terafab production cost frac (chip at-cost, → DC CapEx)</t>
  </si>
  <si>
    <t>AI-C ◄ AI-Compute DC CapEx; confirm ex-fab-D&amp;A basis in A4 (double-count gate)</t>
  </si>
  <si>
    <t>▸ AI: year-row inputs (Cam G:AF → Group D:AC)</t>
  </si>
  <si>
    <t>GPU-hr price ($/GPU-hr)</t>
  </si>
  <si>
    <t>year-row: MC via multiplier</t>
  </si>
  <si>
    <t>Utilization (%)</t>
  </si>
  <si>
    <t>Power cost ($/kWh)</t>
  </si>
  <si>
    <t>Allocation sharpness β: Starlink broadband / direct-to-cell sub-split</t>
  </si>
  <si>
    <t>Sharpness of the V3 broadband-vs-direct-to-cell IRR weighting. Parallel to the top-level concentration parameter. Monte Carlo range 0.5–3.</t>
  </si>
  <si>
    <t>▸ AI: Terafab JV split + calibration (A4.1)</t>
  </si>
  <si>
    <t>Terafab: SpaceX cost/capacity share (frac)</t>
  </si>
  <si>
    <t>Joint venture with Tesla. SpaceX books this share of fab CapEx + D&amp;A; Tesla funds the rest. Placeholder, set from the Tesla deal terms. Monte Carlo range 0.40–0.60.</t>
  </si>
  <si>
    <t>▸ AI: AI Apps (consolidated, A2.2)</t>
  </si>
  <si>
    <t>⊘ REDUNDANT — AI Apps subs 2025 seed (M)</t>
  </si>
  <si>
    <t>2025 paying AI-app customers (current). Monte Carlo range 2–5.</t>
  </si>
  <si>
    <t>⊘ REDUNDANT — AI Apps TAM (M subs)</t>
  </si>
  <si>
    <t>Total addressable AI-app subscribers. Monte Carlo range 300–900.</t>
  </si>
  <si>
    <t>⊘ REDUNDANT — AI Apps adoption ceiling (% of TAM)</t>
  </si>
  <si>
    <t>Maximum penetration. Monte Carlo range 0.40–0.80.</t>
  </si>
  <si>
    <t>⊘ REDUNDANT — AI Apps adoption steepness k</t>
  </si>
  <si>
    <t>Adoption slope (per yr). Monte Carlo range 0.30–0.60.</t>
  </si>
  <si>
    <t>⊘ REDUNDANT — AI Apps blended ARPU ($/sub/yr)</t>
  </si>
  <si>
    <t>Blended AI-app pricing; calibrate ~2030 revenue. Monte Carlo range 120–240.</t>
  </si>
  <si>
    <t>⊘ REDUNDANT — AI Apps blended tokens per sub (M/sub/yr)</t>
  </si>
  <si>
    <t>Blended usage intensity. Monte Carlo range 5–15.</t>
  </si>
  <si>
    <t>AI Apps attributed compute capital per sub ($)</t>
  </si>
  <si>
    <t>Diagnostic only; not an allocator input. Monte Carlo range 120–400.</t>
  </si>
  <si>
    <t>Carve-out IRR-response start year</t>
  </si>
  <si>
    <t>Year the IRR scaling switches on; before this year the carve-out stays at the base % (structural).</t>
  </si>
  <si>
    <t>Carve-out IRR-response high-IRR anchor (base % at/above)</t>
  </si>
  <si>
    <t>At or above this average prior-year spot IRR (3 modules), the carve-out stays at the base %. Monte Carlo range 0.40–0.70.</t>
  </si>
  <si>
    <t>Carve-out IRR-response low-IRR anchor (ceiling % at/below)</t>
  </si>
  <si>
    <t>At or below this average prior-year spot IRR, the carve-out hits the ceiling %. Must be below the high anchor. Monte Carlo range 0.05–0.15.</t>
  </si>
  <si>
    <t>Carve-out IRR-response ceiling % (max carve-out at low anchor)</t>
  </si>
  <si>
    <t>Maximum carve-out % of prior-year free cash flow in a depressed-IRR world. Must be ≥ the base % (0.15). Monte Carlo range 0.25–0.50.</t>
  </si>
  <si>
    <t>▸ AI: exogenous cost CAGRs (CAM port, MC)</t>
  </si>
  <si>
    <t>GPU-hr price CAGR</t>
  </si>
  <si>
    <t>Re-derives the GPU-hour year-row from the 2025 anchor of $2.00. −5%/yr is the current implied schedule. Monte Carlo range −0.08 to −0.02.</t>
  </si>
  <si>
    <t>Power cost CAGR</t>
  </si>
  <si>
    <t>Re-derives the power year-row from the anchor of $0.06/kWh. +5% is the current implied schedule. Monte Carlo range 0.03–0.10.</t>
  </si>
  <si>
    <t>Terrestrial facility cost CAGR</t>
  </si>
  <si>
    <t>Escalates the terrestrial $/MW build ($20mm) via (1+rate)^years. 4.7% is the data-centre construction-escalation consensus, net of 40% chips. Monte Carlo range 0.02–0.08. Anchor $/MW Monte Carlo range 14–26mm.</t>
  </si>
  <si>
    <t>Demand curve escalator: taper end (yrs from 2025)</t>
  </si>
  <si>
    <t>Offset year at which the escalator rate reaches terminal; 10 → 2035, then holds flat.</t>
  </si>
  <si>
    <t>▸ AI: external compute demand (A8 endogenisation)</t>
  </si>
  <si>
    <t>External compute 2025 seed (M H100-eq GPU)</t>
  </si>
  <si>
    <t>2025 installed merchant H100-equivalent compute the model can address. Set to 3 (consistent with the ~1M-satellite ceiling). Monte Carlo range 1–6.</t>
  </si>
  <si>
    <t>Compute build headroom buffer (frac)</t>
  </si>
  <si>
    <t>Build to (1+buffer)× demand so capacity isn't pinned exactly at demand. Monte Carlo range 0.05–0.30.</t>
  </si>
  <si>
    <t>DTC TAM uplift target: Starlink Mobile premium (×)</t>
  </si>
  <si>
    <t>Direct-to-cell market uplift. Starlink Mobile is a primary connection plus a premium for owning the customer relationship, so it is a multiple of the coverage-gap market. Ramps from 1.0 in 2025. Monte Carlo range 2.0–4.0.</t>
  </si>
  <si>
    <t>DTC TAM uplift ramp-end (yrs from 2025)</t>
  </si>
  <si>
    <t>Year (offset from 2025) the direct-to-cell uplift reaches target as Mobile rolls out; 7 → 2032, then holds flat. Ramps from 1.0 in 2025. Monte Carlo range 5–10.</t>
  </si>
  <si>
    <t>▸ AI: chip improvement + lightweighting CAGRs (A8.1)</t>
  </si>
  <si>
    <t>Chip FP8 density CAGR (post-2030)</t>
  </si>
  <si>
    <t>Applied to the chip-throughput (FP8) year-row from the 2030 anchor (4,500 TFLOPS, B200-class): 4,500×(1+rate)^(yr−2030). +8%/yr ≈ a generational doubling every ~9 years, slowing from history. Lifts compute per sat and terrestrial compute. Monte Carlo range 0.04–0.14.</t>
  </si>
  <si>
    <t>Chip TDP CAGR (post-2027, W/chip)</t>
  </si>
  <si>
    <t>Applied to chip power draw from the 2027 anchor (600W) forward. −1%/yr is mild efficiency gain (more chips per fixed satellite power budget). Net compute-per-sat growth ≈ throughput growth − power-draw change. Monte Carlo range −0.03 to 0.02.</t>
  </si>
  <si>
    <t>Chip cost-per-TFLOPS decline rate g (per-FLOP, A8.2)</t>
  </si>
  <si>
    <t>Annual secular decline in chip cost per TFLOPS. Calibrated to 0.10 (above the +8%/yr throughput growth) so the cost line declines in out-years. Note: a 15–35% orbital-compute IRR target band is structurally unreachable through this rate alone — out-year returns run ~78–161% across the full range. Monte Carlo range 0.04–0.12.</t>
  </si>
  <si>
    <t>AI: ODC first compute-sat build year</t>
  </si>
  <si>
    <t>Structural toggle. For years before the gate, orbital compute gets zero cash and builds zero sats; that cash redirects to terrestrial data centres. Set the gate year to 2025 to disable it.</t>
  </si>
  <si>
    <t>▸ AI: compute demand curve (A8.3)</t>
  </si>
  <si>
    <t>AI compute demand-curve elasticity b</t>
  </si>
  <si>
    <t>▸ ALLOCATOR: Terafab Construction Facility (debt layer)</t>
  </si>
  <si>
    <t>Terafab facility cap ($mm)</t>
  </si>
  <si>
    <t>Bridge sizing ≈ peak cumulative SpaceX-share Terafab draw (~$70bn).</t>
  </si>
  <si>
    <t>Terafab facility interest rate (annual)</t>
  </si>
  <si>
    <t>$20bn Goldman-led bridge at ~4.58% effective rate.</t>
  </si>
  <si>
    <t>Minimum cash buffer ($mm)</t>
  </si>
  <si>
    <t>Cash spine floor; breaching it triggers a facility draw.</t>
  </si>
  <si>
    <t>FCF repayment sweep (% of excess FCF)</t>
  </si>
  <si>
    <t>Share of prior-year Group free cash flow above the buffer swept to repay debt each year.</t>
  </si>
  <si>
    <t>Terafab facility repaid-by year</t>
  </si>
  <si>
    <t>Hard backstop: forced straight-line amortisation of the residual balance to reach 0 by this year.</t>
  </si>
  <si>
    <t>Terafab facility draw-window end year</t>
  </si>
  <si>
    <t>Draws permitted only up to this year (Terafab build + ramp). Structural.</t>
  </si>
  <si>
    <t>BB TAM uplift target: data-intensity / value-per-connection (×)</t>
  </si>
  <si>
    <t>BB TAM uplift ramp-end (yrs from 2025)</t>
  </si>
  <si>
    <t>Max Starship build-capacity added per year (ships/yr)</t>
  </si>
  <si>
    <t>Starship build-capacity ceiling (ships/yr)</t>
  </si>
  <si>
    <t>▸ AI: orbital serving S-curve + training carve-out (A8.5)</t>
  </si>
  <si>
    <t>AI orbital compute TAM ceiling (M H100-eq GPU)</t>
  </si>
  <si>
    <t>AI orbital compute adoption steepness k</t>
  </si>
  <si>
    <t>Terrestrial training carve-out (% of prior-yr AI revenue)</t>
  </si>
  <si>
    <t>Allocation sharpness β: AI orbital / terrestrial sub-split</t>
  </si>
  <si>
    <t>Sharpness of the within-AI orbital-vs-terrestrial IRR weighting. Decoupled from the top-level 3-module parameter for independent tuning. 1.0 = prior behaviour. Monte Carlo range 0.5–3.</t>
  </si>
  <si>
    <t>▸ MISSING-CAPEX PROGRAMS</t>
  </si>
  <si>
    <t>Corporate, IT &amp; HQ CapEx (% of Group revenue)</t>
  </si>
  <si>
    <t>Launch-site infra CapEx ($mm per annual launch of capacity)</t>
  </si>
  <si>
    <t>Starlink ground-network CapEx (% of Starlink revenue)</t>
  </si>
  <si>
    <t>Infrastructure useful life (years)</t>
  </si>
  <si>
    <t>Terminal kits per net subscriber add</t>
  </si>
  <si>
    <t>Terminal replacement rate (% installed/yr)</t>
  </si>
  <si>
    <t>▸ §A8.6: ODC THERMAL RECALIBRATION (kW/ton glide + dynamic TDP)</t>
  </si>
  <si>
    <t>ODC power density ramp-end year</t>
  </si>
  <si>
    <t>Chip perf-per-watt anchor 2025 (TFLOPS/W)</t>
  </si>
  <si>
    <t>Chip perf-per-watt CAGR (/yr)</t>
  </si>
  <si>
    <t>Chip FP8 per chip CAGR (/yr): smooth curve</t>
  </si>
  <si>
    <t>ODC sat-factory CapEx ($mm per sat/yr of capacity)</t>
  </si>
  <si>
    <t>Starship payload ramp plateau year</t>
  </si>
  <si>
    <t>Year the V4 / stretched-payload plateau (~200t) is reached. Pairs with the payload anchor (150k–250k) and the 250k cap. Monte Carlo range 2028–2033.</t>
  </si>
  <si>
    <t>▸ SoTP EV/EBITDA multiples (terminal, at horizon)</t>
  </si>
  <si>
    <t>Multiple: Starlink (EV/EBITDA at horizon)</t>
  </si>
  <si>
    <t>Multiple: Customer Launch (EV/EBITDA at horizon)</t>
  </si>
  <si>
    <t>Multiple: AI/Compute (EV/EBITDA at horizon)</t>
  </si>
  <si>
    <t>▸ AI: AI Apps demand uplift (un-flatten ARPU + tokens/sub)</t>
  </si>
  <si>
    <t>Launch demand price elasticity e (extra, on $/kg)</t>
  </si>
  <si>
    <t>Constant-elasticity exponent on best-available launch $/kg vs 2025 reference. Total price-elasticity of demand ≈ 1+e once the (currently inert, constant-price) ÷price term is reactivated. Dialled down to reduce low-value CL launch inflation. Base 0.35; MC range 0.2–0.6 (triangle). Feeds Customer Launch row 139.</t>
  </si>
  <si>
    <t>Launch demand elasticity multiplier cap (x)</t>
  </si>
  <si>
    <t>Maximum cheap-launch market-expansion factor. The row-139 multiplier is bounded here. Dialled down from 2.0 to curb low-value CL launch count. 1.0 = expansion off (reverts to pure-CAGR market). Base 1.2; MC range 1.0–1.5 (triangle). Feeds Customer Launch row 139.</t>
  </si>
  <si>
    <t>Launch IRR slug working-capital % of build</t>
  </si>
  <si>
    <t>Canonical T=0 working capital per vehicle as a % of that vehicle's build cost. Completes the IRR CapEx slug. Immaterial to IRR; included for formula completeness. Base 0.05; MC range 0.02–0.10 (triangle). Feeds Customer Launch rows 92/96.</t>
  </si>
  <si>
    <t>▸ §IRR allocation soft floor</t>
  </si>
  <si>
    <t>Allocator min softmax share floor per module (frac)</t>
  </si>
  <si>
    <t>Floor on each top-level module's allocation share via share = floor + (1−N·floor)·softmax, N=3. 0.00 reproduces pure softmax. Structural cap: floor &lt; 1/N = 0.333 so (1−3·floor) &gt; 0. Base 0.05; MC range 0.00–0.10 (triangle). Lets AI-Compute seed/ramp and funds late-Starlink replacement capex instead of zeroing it.</t>
  </si>
  <si>
    <t>Chip operating temp (K)</t>
  </si>
  <si>
    <t>A8.7 ODC thermal rebuild. Radiator hot-side temp. MC range 350–375 (triangle). Feeds AI - Compute R216.</t>
  </si>
  <si>
    <t>Radiator delta-T (K)</t>
  </si>
  <si>
    <t>A8.7. Temperature drop hot-side to radiating surface. MC range 10–25 (triangle). Feeds AI - Compute R216.</t>
  </si>
  <si>
    <t>Radiator emissivity (0-1)</t>
  </si>
  <si>
    <t>A8.7. Radiating surface emissivity ε. MC range 0.85–0.95 (triangle). Feeds AI - Compute R216.</t>
  </si>
  <si>
    <t>Environmental heat load q_env (W/m²)</t>
  </si>
  <si>
    <t>A8.7. Absorbed environmental flux subtracted from gross rejection. MC range 100–240 (triangle). Feeds AI - Compute R216.</t>
  </si>
  <si>
    <t>Two-sided radiator factor</t>
  </si>
  <si>
    <t>A8.7. Both faces radiate. Structural — no MC. Feeds AI - Compute R216.</t>
  </si>
  <si>
    <t>Radiator areal density anchor 2025 (kg/m²)</t>
  </si>
  <si>
    <t>A8.7. 2025 radiator mass per m². MC range 5.0–6.5 (triangle). Glides to mature (B480). Feeds AI - Compute R218.</t>
  </si>
  <si>
    <t>Radiator areal density mature (kg/m²)</t>
  </si>
  <si>
    <t>A8.7. Mature radiator areal density (reached B453=2040). Near McKenzie frontier — flag as aggressive external-facing. MC range 2.5–5.0 (triangle). Feeds AI - Compute R218.</t>
  </si>
  <si>
    <t>Heat transport anchor 2025 (kg/kW)</t>
  </si>
  <si>
    <t>A8.7. 2025 heat-transport (heat pipe / pump loop) mass per kW. MC range 2.0–3.0 (triangle). Glides to mature (B482). Feeds AI - Compute R219.</t>
  </si>
  <si>
    <t>Heat transport mature (kg/kW)</t>
  </si>
  <si>
    <t>A8.7. Mature heat-transport mass per kW (report Base). Aggressive — flag external-facing. MC range 0.8–2.0 (triangle). Feeds AI - Compute R219.</t>
  </si>
  <si>
    <t>Deployable area penalty (kg/m²)</t>
  </si>
  <si>
    <t>A8.7. Extra structural mass per m² for deployable radiator. MC range 0.1–0.5 (triangle). Feeds AI - Compute R25.</t>
  </si>
  <si>
    <t>Solar specific power anchor 2025 (W/kg)</t>
  </si>
  <si>
    <t>A8.7. 2025 solar array specific power. MC range 130–250 (triangle). Glides to mature (B485). Feeds AI - Compute R220.</t>
  </si>
  <si>
    <t>Solar specific power mature (W/kg)</t>
  </si>
  <si>
    <t>A8.7. Mature solar specific power (reached B453=2040). MC range 300–450 (triangle). Feeds AI - Compute R220.</t>
  </si>
  <si>
    <t>Other non-thermal mass: bus+structure+compute (kg)</t>
  </si>
  <si>
    <t>A8.7. Bus + primary structure + compute payload mass per sat. MC range 400–750 (triangle). Feeds AI - Compute R222.</t>
  </si>
  <si>
    <t>Max Starship launch capacity (kg/yr ceiling): 0 = off</t>
  </si>
  <si>
    <t>Optional finite ceiling on annual Starship launch capacity available to the allocator (CAE R48). 0 disables (no ceiling → behaviour identical to today). Set to a finite kg/yr to force scarcity; high-value ODC+Starlink fill first, Customer Launch (residual) absorbs the cut. Structural — no MC. Feeds Cash Allocation Engine R48.</t>
  </si>
  <si>
    <t>▸ ALLOCATOR: ODC Construction Facility (debt layer)</t>
  </si>
  <si>
    <t>ODC construction facility cap ($mm)</t>
  </si>
  <si>
    <t>Max outstanding ODC construction debt. Early-ramp gap (2028–2033) ≈ $250–300bn. Large by design — funds a ~$190bn/yr sat build; partly self-funding via ODC compute FCF sweep. MC 100000–600000. Raise when demand-cap lifts.</t>
  </si>
  <si>
    <t>ODC facility interest rate (annual)</t>
  </si>
  <si>
    <t>Annual interest on outstanding ODC facility balance. Matches Terafab (B429). MC 0.03–0.07.</t>
  </si>
  <si>
    <t>ODC facility draw-window end year</t>
  </si>
  <si>
    <t>Draws permitted only through this year. Structural. Extend to 2040+ once the demand update lands so it funds the late-year rollout.</t>
  </si>
  <si>
    <t>ODC facility repaid-by year</t>
  </si>
  <si>
    <t>Straight-line backstop year if FCF sweep hasn't cleared the balance. Structural.</t>
  </si>
  <si>
    <t>ODC facility FCF repayment sweep (%)</t>
  </si>
  <si>
    <t>Share of positive prior-year AI-module FCF swept to repay the ODC facility. MC 0.3–0.7.</t>
  </si>
  <si>
    <t>▸ AI: AI Apps 5-bucket demand build</t>
  </si>
  <si>
    <t>AIApps Free: users 2025 (M)</t>
  </si>
  <si>
    <t>MC 80-130 triangle. ≈ Grok 117M MAU (Mar-26 IPO filing), mostly free.</t>
  </si>
  <si>
    <t>AIApps Free: user CAGR (/yr)</t>
  </si>
  <si>
    <t>MC 0.15-0.28 triangle. Lands ~2,000M @2040.</t>
  </si>
  <si>
    <t>AIApps Free: ARPU ($/user/yr)</t>
  </si>
  <si>
    <t>Structural, no MC. Revenue = 0; free compute cost flows via tokens→COGS (do NOT book as negative ARPU).</t>
  </si>
  <si>
    <t>AIApps Free: ARPU CAGR (/yr)</t>
  </si>
  <si>
    <t>Structural, no MC.</t>
  </si>
  <si>
    <t>AIApps Free: tokens/user 2025 (M/yr)</t>
  </si>
  <si>
    <t>MC 1.0-3.0 triangle. Light/dormant blended (ChatGPT free behaviour).</t>
  </si>
  <si>
    <t>AIApps Free: tokens/user CAGR (/yr)</t>
  </si>
  <si>
    <t>MC 0.00-0.10 triangle. Demand lever — drives AI % of supply.</t>
  </si>
  <si>
    <t>AIApps Indiv: users 2025 (M)</t>
  </si>
  <si>
    <t>MC 0.5-1.5 triangle. Back-into ~$350M 2025 paid rev.</t>
  </si>
  <si>
    <t>AIApps Indiv: user CAGR (/yr)</t>
  </si>
  <si>
    <t>MC 0.38-0.55 triangle. Lands 273M @2040.</t>
  </si>
  <si>
    <t>AIApps Indiv: ARPU ($/user/yr)</t>
  </si>
  <si>
    <t>MC 150-480 triangle. Blended SuperGrok Lite $120 → Premium+ $480.</t>
  </si>
  <si>
    <t>AIApps Indiv: ARPU CAGR (/yr)</t>
  </si>
  <si>
    <t>MC 0.00-0.03 triangle. Real prices ~stable.</t>
  </si>
  <si>
    <t>AIApps Indiv: tokens/user 2025 (M/yr)</t>
  </si>
  <si>
    <t>MC 20-60 triangle. Merged Plus(21)+Power(67) weighted.</t>
  </si>
  <si>
    <t>AIApps Indiv: tokens/user CAGR (/yr)</t>
  </si>
  <si>
    <t>MC 0.02-0.20 triangle. Demand lever — drives AI % of supply.</t>
  </si>
  <si>
    <t>AIApps API: users 2025 (M)</t>
  </si>
  <si>
    <t>MC 0.08-0.30 triangle. Nascent dev base.</t>
  </si>
  <si>
    <t>AIApps API: user CAGR (/yr)</t>
  </si>
  <si>
    <t>MC 0.25-0.55 triangle. Lands 49M @2040; widest range (model-quality dependent).</t>
  </si>
  <si>
    <t>AIApps API: ARPU ($/acct/yr)</t>
  </si>
  <si>
    <t>MC 200-600 triangle. Per-token spend.</t>
  </si>
  <si>
    <t>AIApps API: ARPU CAGR (/yr)</t>
  </si>
  <si>
    <t>MC 0.00-0.03 triangle.</t>
  </si>
  <si>
    <t>AIApps API: tokens/user 2025 (M/yr)</t>
  </si>
  <si>
    <t>MC 150-400 triangle. High intensity.</t>
  </si>
  <si>
    <t>AIApps API: tokens/user CAGR (/yr)</t>
  </si>
  <si>
    <t>AIApps Ent: seats 2025 (M)</t>
  </si>
  <si>
    <t>MC 0.03-0.12 triangle. Nascent.</t>
  </si>
  <si>
    <t>AIApps Ent: user CAGR (/yr)</t>
  </si>
  <si>
    <t>MC 0.40-0.70 triangle. Lands 68M @2040.</t>
  </si>
  <si>
    <t>AIApps Ent: ARPU ($/seat/yr)</t>
  </si>
  <si>
    <t>MC 400-900 triangle. Seat/contract; likely low.</t>
  </si>
  <si>
    <t>AIApps Ent: ARPU CAGR (/yr)</t>
  </si>
  <si>
    <t>AIApps Ent: tokens/user 2025 (M/yr)</t>
  </si>
  <si>
    <t>MC 100-300 triangle.</t>
  </si>
  <si>
    <t>AIApps Ent: tokens/user CAGR (/yr)</t>
  </si>
  <si>
    <t>AIApps Agentic: users 2025 (M)</t>
  </si>
  <si>
    <t>MC 0.005-0.040 triangle. Near-zero start (Claude Code analogue).</t>
  </si>
  <si>
    <t>AIApps Agentic: user CAGR (/yr)</t>
  </si>
  <si>
    <t>MC 0.50-0.90 triangle. Lands 58M @2040; steepest - gut-check.</t>
  </si>
  <si>
    <t>AIApps Agentic: ARPU ($/user/yr)</t>
  </si>
  <si>
    <t>MC 1800-3000 triangle. Claude-Code-style $150-250/mo.</t>
  </si>
  <si>
    <t>AIApps Agentic: ARPU CAGR (/yr)</t>
  </si>
  <si>
    <t>AIApps Agentic: tokens/user 2025 (M/yr)</t>
  </si>
  <si>
    <t>MC 150-500 triangle. Richest; ramps hardest.</t>
  </si>
  <si>
    <t>AIApps Agentic: tokens/user CAGR (/yr)</t>
  </si>
  <si>
    <t>MC 0.04-0.25 triangle. Demand lever — drives AI % of supply.</t>
  </si>
  <si>
    <t>AIApps Ads: ARPU ($/user/yr)</t>
  </si>
  <si>
    <t>MC 0.5-3.0 triangle. On whole base; Meta RoW floor ~$14 is the ceiling story.</t>
  </si>
  <si>
    <t>AIApps Ads: ARPU CAGR (/yr)</t>
  </si>
  <si>
    <t>MC 0.12-0.28 triangle. Drifts $1→$18 by 2040 (toward Meta RoW).</t>
  </si>
  <si>
    <t>▸ AI: merchant-IaaS supply-share lever</t>
  </si>
  <si>
    <t>AIApps Merchant IaaS demand scale (×)</t>
  </si>
  <si>
    <t>MC 0.30-1.00 triangle. Strategic: fraction of raw compute rented to 3rd parties vs reserved for own AI Apps. 1.0 = rent-everything; 0.30 = mostly own-model. Base &lt;1.0 hair-cuts merchant revenue + fleet.</t>
  </si>
  <si>
    <t>▸ GLIDE-PATH SCALARS (hygiene conversion — Sprint 4.20)</t>
  </si>
  <si>
    <t>F9 customer launch price CAGR</t>
  </si>
  <si>
    <t>r54 learning-curve decline (anchor F54=100, ramp@2027)</t>
  </si>
  <si>
    <t>Commercial launch market CAGR</t>
  </si>
  <si>
    <t>r55 commercial market growth</t>
  </si>
  <si>
    <t>Government launch market CAGR</t>
  </si>
  <si>
    <t>r56 government market growth</t>
  </si>
  <si>
    <t>SpaceX commercial share step (pts/yr)</t>
  </si>
  <si>
    <t>r57 linear share step 0.75-&gt;0.80 (cap 0.80)</t>
  </si>
  <si>
    <t>SpaceX government share step (pts/yr)</t>
  </si>
  <si>
    <t>r58 linear share step 0.90-&gt;0.80 (floor 0.80)</t>
  </si>
  <si>
    <t>Shared corporate R&amp;D CAGR</t>
  </si>
  <si>
    <t>r114 shared R&amp;D growth</t>
  </si>
  <si>
    <t>Starship at-cost rate CAGR</t>
  </si>
  <si>
    <t>r143 Starship at-cost learning curve (anchor F143=25, ramp@2027)</t>
  </si>
  <si>
    <t>Broadband ARPU CAGR</t>
  </si>
  <si>
    <t>r71 broadband ARPU decline to floor B466</t>
  </si>
  <si>
    <t>Broadband ARPU floor ($/mo)</t>
  </si>
  <si>
    <t>r71 terminal ARPU floor</t>
  </si>
  <si>
    <t>Lunar carve-out share decay</t>
  </si>
  <si>
    <t>r105 lunar carve-out decay to floor B468</t>
  </si>
  <si>
    <t>Lunar carve-out share floor</t>
  </si>
  <si>
    <t>r105 terminal lunar floor</t>
  </si>
  <si>
    <t>F9 variable cost CAGR</t>
  </si>
  <si>
    <t>r146 F9 var cost (was inline -0.02)</t>
  </si>
  <si>
    <t>Starship variable cost CAGR</t>
  </si>
  <si>
    <t>r147 Starship var cost (was inline -0.08)</t>
  </si>
  <si>
    <t>Starlink rev growth (pre-cap)</t>
  </si>
  <si>
    <t>r148 Starlink rev growth pre-cap (was inline 0.12)</t>
  </si>
  <si>
    <t>Starlink rev growth (post-cap)</t>
  </si>
  <si>
    <t>r148 Starlink rev growth post-cap (was inline 0.05)</t>
  </si>
  <si>
    <t>Starlink rev growth cap (years)</t>
  </si>
  <si>
    <t>r148 cap years (was inline 10)</t>
  </si>
  <si>
    <t>Launch &amp; Dev revenue CAGR</t>
  </si>
  <si>
    <t>r212 Launch &amp; Dev rev (was inline 1.05)</t>
  </si>
  <si>
    <t>Starship readiness midpoint (year)</t>
  </si>
  <si>
    <t>r213 logistic midpoint (was inline 2030.5)</t>
  </si>
  <si>
    <t>Starship readiness steepness</t>
  </si>
  <si>
    <t>r213 logistic steepness (was inline 1)</t>
  </si>
  <si>
    <t>Placeholder AI CapEx (% rev)</t>
  </si>
  <si>
    <t>r239 placeholder AI CapEx (was inline 0.3)</t>
  </si>
  <si>
    <t>Utilization ramp (pts/yr)</t>
  </si>
  <si>
    <t>r322 utilization ramp (was inline 0.09)</t>
  </si>
  <si>
    <t>Utilization ceiling (%)</t>
  </si>
  <si>
    <t>r322 utilization ceiling (was inline 0.85)</t>
  </si>
  <si>
    <t>r321 GPU-hr CAGR = mirror of existing B340 (already lifted)</t>
  </si>
  <si>
    <t>Booster reuse cap level ×</t>
  </si>
  <si>
    <t>r36 whole-row level multiplier (shape preserved)</t>
  </si>
  <si>
    <t>Terr AI compute draw level ×</t>
  </si>
  <si>
    <t>r79 memo whole-row level multiplier (shape preserved)</t>
  </si>
  <si>
    <t>Starship R&amp;D level ×</t>
  </si>
  <si>
    <t>r112 dev-spend profile level multiplier (shape preserved)</t>
  </si>
  <si>
    <t>F9 launches glide level ×</t>
  </si>
  <si>
    <t>r144 phase-out glide level multiplier (shape preserved)</t>
  </si>
  <si>
    <t>▸ 2025 S-1 ACTUALS (stamp source — structural, no MC)</t>
  </si>
  <si>
    <t>S-1 Space (≙ Customer Launch): Revenue ($mm)</t>
  </si>
  <si>
    <t>S-1 Space: Cost of revenue ($mm)</t>
  </si>
  <si>
    <t>S-1 Space: R&amp;D ($mm)</t>
  </si>
  <si>
    <t>S-1 Space: SG&amp;A ($mm)</t>
  </si>
  <si>
    <t>S-1 Space: Restructuring ($mm)</t>
  </si>
  <si>
    <t>S-1 Space: Impairment ($mm)</t>
  </si>
  <si>
    <t>S-1 Space: Income from operations ($mm)</t>
  </si>
  <si>
    <t>S-1 Space: D&amp;A supplemental ($mm)</t>
  </si>
  <si>
    <t>S-1 Space: SBC supplemental ($mm)</t>
  </si>
  <si>
    <t>S-1 Space: CapEx supplemental ($mm)</t>
  </si>
  <si>
    <t>S-1 Connectivity (≙ Starlink): Revenue ($mm)</t>
  </si>
  <si>
    <t>S-1 Connectivity: Cost of revenue ($mm)</t>
  </si>
  <si>
    <t>S-1 Connectivity: R&amp;D ($mm)</t>
  </si>
  <si>
    <t>S-1 Connectivity: SG&amp;A ($mm)</t>
  </si>
  <si>
    <t>S-1 Connectivity: Restructuring ($mm)</t>
  </si>
  <si>
    <t>S-1 Connectivity: Impairment ($mm)</t>
  </si>
  <si>
    <t>S-1 Connectivity: Income from operations ($mm)</t>
  </si>
  <si>
    <t>S-1 Connectivity: D&amp;A supplemental ($mm)</t>
  </si>
  <si>
    <t>S-1 Connectivity: SBC supplemental ($mm)</t>
  </si>
  <si>
    <t>S-1 Connectivity: CapEx supplemental ($mm)</t>
  </si>
  <si>
    <t>S-1 AI (≙ xAI, consolidated): Revenue ($mm)</t>
  </si>
  <si>
    <t>S-1 AI: Cost of revenue ($mm)</t>
  </si>
  <si>
    <t>S-1 AI: R&amp;D ($mm)</t>
  </si>
  <si>
    <t>S-1 AI: SG&amp;A ($mm)</t>
  </si>
  <si>
    <t>S-1 AI: Restructuring ($mm)</t>
  </si>
  <si>
    <t>S-1 AI: Impairment ($mm)</t>
  </si>
  <si>
    <t>S-1 AI: Income from operations ($mm)</t>
  </si>
  <si>
    <t>S-1 AI: D&amp;A supplemental ($mm)</t>
  </si>
  <si>
    <t>S-1 AI: SBC supplemental ($mm)</t>
  </si>
  <si>
    <t>S-1 AI: CapEx supplemental ($mm)</t>
  </si>
  <si>
    <t>Demand Curves: Starlink BB + DTC piecewise-linear lookup</t>
  </si>
  <si>
    <t>Lookup form: INDEX/MATCH(..., 1) bracket-find + manual linear interp. NO FORECAST / TREND. Per Memory Snapshot v3 §2.4.</t>
  </si>
  <si>
    <t>DTC DEMAND CURVE (piecewise-linear Q→Revenue lookup)</t>
  </si>
  <si>
    <t>Constellation Bandwidth (Gbps)</t>
  </si>
  <si>
    <t>Q (Gbps)</t>
  </si>
  <si>
    <t>Annual DTC Revenue ($mm)</t>
  </si>
  <si>
    <t>DTC Q breakpoint #1 (Gbps)</t>
  </si>
  <si>
    <t>DTC Q breakpoint #2 (Gbps)</t>
  </si>
  <si>
    <t>DTC Q breakpoint #3 (Gbps)</t>
  </si>
  <si>
    <t>DTC Q breakpoint #4 (Gbps)</t>
  </si>
  <si>
    <t>DTC Q breakpoint #5 (Gbps)</t>
  </si>
  <si>
    <t>DTC Q breakpoint #6 (Gbps)</t>
  </si>
  <si>
    <t>DTC Q breakpoint #7 (Gbps)</t>
  </si>
  <si>
    <t>DTC Q breakpoint #8 (Gbps)</t>
  </si>
  <si>
    <t>DTC Q breakpoint #9 (Gbps)</t>
  </si>
  <si>
    <t>DTC Q breakpoint #10 (Gbps)</t>
  </si>
  <si>
    <t>DTC Q breakpoint #11 (Gbps)</t>
  </si>
  <si>
    <t>DTC Q breakpoint #12 (Gbps)</t>
  </si>
  <si>
    <t>DTC Q breakpoint #13 (Gbps)</t>
  </si>
  <si>
    <t>DTC Q breakpoint #14 (Gbps)</t>
  </si>
  <si>
    <t>DTC Q breakpoint #15 (Gbps)</t>
  </si>
  <si>
    <t>DTC Q breakpoint #16 (Gbps)</t>
  </si>
  <si>
    <t>DTC Q breakpoint #17 (Gbps)</t>
  </si>
  <si>
    <t>DTC Q breakpoint #18 (Gbps)</t>
  </si>
  <si>
    <t>DTC Q breakpoint #19 (Gbps)</t>
  </si>
  <si>
    <t>DTC Q breakpoint #20 (Gbps)</t>
  </si>
  <si>
    <t>DTC Q breakpoint #21 (Gbps)</t>
  </si>
  <si>
    <t>DTC Q breakpoint #22 (Gbps)</t>
  </si>
  <si>
    <t>DTC Q breakpoint #23 (Gbps)</t>
  </si>
  <si>
    <t>DTC Q breakpoint #24 (Gbps)</t>
  </si>
  <si>
    <t>DTC Q breakpoint #25 (Gbps)</t>
  </si>
  <si>
    <t>DTC Q breakpoint #26 (Gbps)</t>
  </si>
  <si>
    <t>DTC Q breakpoint #27 (Gbps)</t>
  </si>
  <si>
    <t>DTC Q breakpoint #28 (Gbps)</t>
  </si>
  <si>
    <t>DTC Q breakpoint #29 (Gbps)</t>
  </si>
  <si>
    <t>DTC Q breakpoint #30 (Gbps)</t>
  </si>
  <si>
    <t>DTC Q breakpoint #31 (Gbps)</t>
  </si>
  <si>
    <t>DTC Q breakpoint #32 (Gbps)</t>
  </si>
  <si>
    <t>DTC Q breakpoint #33 (Gbps)</t>
  </si>
  <si>
    <t>DTC Q breakpoint #34 (Gbps)</t>
  </si>
  <si>
    <t>DTC Q breakpoint #35 (Gbps)</t>
  </si>
  <si>
    <t>DTC Q breakpoint #36 (Gbps)</t>
  </si>
  <si>
    <t>DTC Q breakpoint #37 (Gbps)</t>
  </si>
  <si>
    <t>DTC Q breakpoint #38 (Gbps)</t>
  </si>
  <si>
    <t>DTC Q breakpoint #39 (Gbps)</t>
  </si>
  <si>
    <t>DTC Q breakpoint #40 (Gbps)</t>
  </si>
  <si>
    <t>DTC Q breakpoint #41 (Gbps)</t>
  </si>
  <si>
    <t>DTC Q breakpoint #42 (Gbps)</t>
  </si>
  <si>
    <t>DTC Q breakpoint #43 (Gbps)</t>
  </si>
  <si>
    <t>DTC Q breakpoint #44 (Gbps)</t>
  </si>
  <si>
    <t>DTC Q breakpoint #45 (Gbps)</t>
  </si>
  <si>
    <t>DTC Q breakpoint #46 (Gbps)</t>
  </si>
  <si>
    <t>DTC Q breakpoint #47 (Gbps)</t>
  </si>
  <si>
    <t>DTC Q breakpoint #48 (Gbps)</t>
  </si>
  <si>
    <t>DTC Q breakpoint #49 (Gbps)</t>
  </si>
  <si>
    <t>DTC Q breakpoint #50 (Gbps)</t>
  </si>
  <si>
    <t>DTC Q breakpoint #51 (Gbps)</t>
  </si>
  <si>
    <t>DTC Q breakpoint #52 (Gbps)</t>
  </si>
  <si>
    <t>DTC Q breakpoint #53 (Gbps)</t>
  </si>
  <si>
    <t>DTC Q breakpoint #54 (Gbps)</t>
  </si>
  <si>
    <t>DTC Q breakpoint #55 (Gbps)</t>
  </si>
  <si>
    <t>DTC Q breakpoint #56 (Gbps)</t>
  </si>
  <si>
    <t>DTC Q breakpoint #57 (Gbps)</t>
  </si>
  <si>
    <t>DTC Q breakpoint #58 (Gbps)</t>
  </si>
  <si>
    <t>DTC Q breakpoint #59 (Gbps)</t>
  </si>
  <si>
    <t>DTC Q breakpoint #60 (Gbps)</t>
  </si>
  <si>
    <t>DTC Q breakpoint #61 (Gbps)</t>
  </si>
  <si>
    <t>BB DEMAND CURVE (piecewise-linear Q→Revenue lookup)</t>
  </si>
  <si>
    <t>Capacity (Gbps)</t>
  </si>
  <si>
    <t>BB TAM/Revenue ($mm)</t>
  </si>
  <si>
    <t>BB Q breakpoint #1 (Gbps)</t>
  </si>
  <si>
    <t>BB Q breakpoint #2 (Gbps)</t>
  </si>
  <si>
    <t>BB Q breakpoint #3 (Gbps)</t>
  </si>
  <si>
    <t>BB Q breakpoint #4 (Gbps)</t>
  </si>
  <si>
    <t>BB Q breakpoint #5 (Gbps)</t>
  </si>
  <si>
    <t>BB Q breakpoint #6 (Gbps)</t>
  </si>
  <si>
    <t>BB Q breakpoint #7 (Gbps)</t>
  </si>
  <si>
    <t>BB Q breakpoint #8 (Gbps)</t>
  </si>
  <si>
    <t>BB Q breakpoint #9 (Gbps)</t>
  </si>
  <si>
    <t>BB Q breakpoint #10 (Gbps)</t>
  </si>
  <si>
    <t>BB Q breakpoint #11 (Gbps)</t>
  </si>
  <si>
    <t>BB Q breakpoint #12 (Gbps)</t>
  </si>
  <si>
    <t>BB Q breakpoint #13 (Gbps)</t>
  </si>
  <si>
    <t>BB Q breakpoint #14 (Gbps)</t>
  </si>
  <si>
    <t>BB Q breakpoint #15 (Gbps)</t>
  </si>
  <si>
    <t>BB Q breakpoint #16 (Gbps)</t>
  </si>
  <si>
    <t>BB Q breakpoint #17 (Gbps)</t>
  </si>
  <si>
    <t>BB Q breakpoint #18 (Gbps)</t>
  </si>
  <si>
    <t>BB Q breakpoint #19 (Gbps)</t>
  </si>
  <si>
    <t>BB Q breakpoint #20 (Gbps)</t>
  </si>
  <si>
    <t>BB Q breakpoint #21 (Gbps)</t>
  </si>
  <si>
    <t>BB Q breakpoint #22 (Gbps)</t>
  </si>
  <si>
    <t>BB Q breakpoint #23 (Gbps)</t>
  </si>
  <si>
    <t>BB Q breakpoint #24 (Gbps)</t>
  </si>
  <si>
    <t>BB Q breakpoint #25 (Gbps)</t>
  </si>
  <si>
    <t>BB Q breakpoint #26 (Gbps)</t>
  </si>
  <si>
    <t>BB Q breakpoint #27 (Gbps)</t>
  </si>
  <si>
    <t>BB Q breakpoint #28 (Gbps)</t>
  </si>
  <si>
    <t>BB Q breakpoint #29 (Gbps)</t>
  </si>
  <si>
    <t>BB Q breakpoint #30 (Gbps)</t>
  </si>
  <si>
    <t>BB Q breakpoint #31 (Gbps)</t>
  </si>
  <si>
    <t>BB Q breakpoint #32 (Gbps)</t>
  </si>
  <si>
    <t>BB Q breakpoint #33 (Gbps)</t>
  </si>
  <si>
    <t>BB Q breakpoint #34 (Gbps)</t>
  </si>
  <si>
    <t>BB Q breakpoint #35 (Gbps)</t>
  </si>
  <si>
    <t>BB Q breakpoint #36 (Gbps)</t>
  </si>
  <si>
    <t>BB Q breakpoint #37 (Gbps)</t>
  </si>
  <si>
    <t>BB Q breakpoint #38 (Gbps)</t>
  </si>
  <si>
    <t>BB Q breakpoint #39 (Gbps)</t>
  </si>
  <si>
    <t>BB Q breakpoint #40 (Gbps)</t>
  </si>
  <si>
    <t>BB Q breakpoint #41 (Gbps)</t>
  </si>
  <si>
    <t>BB Q breakpoint #42 (Gbps)</t>
  </si>
  <si>
    <t>BB Q breakpoint #43 (Gbps)</t>
  </si>
  <si>
    <t>BB Q breakpoint #44 (Gbps)</t>
  </si>
  <si>
    <t>BB Q breakpoint #45 (Gbps)</t>
  </si>
  <si>
    <t>BB Q breakpoint #46 (Gbps)</t>
  </si>
  <si>
    <t>BB Q breakpoint #47 (Gbps)</t>
  </si>
  <si>
    <t>BB Q breakpoint #48 (Gbps)</t>
  </si>
  <si>
    <t>BB Q breakpoint #49 (Gbps)</t>
  </si>
  <si>
    <t>BB Q breakpoint #50 (Gbps)</t>
  </si>
  <si>
    <t>BB Q breakpoint #51 (Gbps)</t>
  </si>
  <si>
    <t>BB Q breakpoint #52 (Gbps)</t>
  </si>
  <si>
    <t>BB Q breakpoint #53 (Gbps)</t>
  </si>
  <si>
    <t>BB Q breakpoint #54 (Gbps)</t>
  </si>
  <si>
    <t>BB Q breakpoint #55 (Gbps)</t>
  </si>
  <si>
    <t>BB Q breakpoint #56 (Gbps)</t>
  </si>
  <si>
    <t>▸ Curve evaluators (year-row, read by the Starlink module)</t>
  </si>
  <si>
    <t>Annual TAM shift multiplier</t>
  </si>
  <si>
    <t>Starlink BB capacity input (Gbps)</t>
  </si>
  <si>
    <t>Starlink DTC capacity input (Gbps)</t>
  </si>
  <si>
    <t>Starlink BB Revenue from curve ($mm)</t>
  </si>
  <si>
    <t>Starlink DTC Revenue from curve ($mm)</t>
  </si>
  <si>
    <t>Memo: Average $/Gbps BB from curve</t>
  </si>
  <si>
    <t>Memo: Average $/Gbps DTC from curve</t>
  </si>
  <si>
    <t>Annual escalator rate (derived, year-row)</t>
  </si>
  <si>
    <t>DTC TAM uplift multiplier (Starlink Mobile, derived year-row)</t>
  </si>
  <si>
    <t>BB TAM uplift multiplier (data-intensity, derived year-row)</t>
  </si>
  <si>
    <t>Starlink module — real cohorts + total-bandwidth revenue + full waterfall + 4-line OpEx + per-sat IRR</t>
  </si>
  <si>
    <t>▸ ALLOCATOR IN (cross-tab reads)</t>
  </si>
  <si>
    <t>Starlink R&amp;D as % of revenue (frac)</t>
  </si>
  <si>
    <t>Starlink module allocated cash ($mm/yr): live from Cash Allocation Engine</t>
  </si>
  <si>
    <t>F9 payload per launch (kg)</t>
  </si>
  <si>
    <t>Starship payload per launch (kg)</t>
  </si>
  <si>
    <t>▸ CONSTELLATION BUILD (real cohorts → total bandwidth)</t>
  </si>
  <si>
    <t>V2 launch window active (1/0)</t>
  </si>
  <si>
    <t>V3 deployment active (1/0)</t>
  </si>
  <si>
    <t>Total new Starlink deployment (sats/yr)</t>
  </si>
  <si>
    <t>New V2 BB deployment (sats/yr)</t>
  </si>
  <si>
    <t>New V2 DTC deployment (sats/yr)</t>
  </si>
  <si>
    <t>New V3 BB deployment (sats/yr)</t>
  </si>
  <si>
    <t>New V3 DTC deployment (sats/yr)</t>
  </si>
  <si>
    <t>New Starshield deployment (sats/yr)</t>
  </si>
  <si>
    <t>Blended new-sat CapEx slug ($mm/sat): MEMO ONLY (feeds CAE R88 cap; no longer drives deployment)</t>
  </si>
  <si>
    <t>Demand-saturation deployment headroom (sats)</t>
  </si>
  <si>
    <t>BB FLEET (active sats by cohort)</t>
  </si>
  <si>
    <t>Legacy V1 active sats</t>
  </si>
  <si>
    <t>Legacy V1.5 active sats</t>
  </si>
  <si>
    <t>V2 Mini BB active sats</t>
  </si>
  <si>
    <t>V3 BB active sats EoY</t>
  </si>
  <si>
    <t>BB BANDWIDTH (Gbps by cohort)</t>
  </si>
  <si>
    <t>Legacy BB Gbps</t>
  </si>
  <si>
    <t>V2 BB Gbps</t>
  </si>
  <si>
    <t>V3 BB Gbps</t>
  </si>
  <si>
    <t>BB Gbps available for external Starlink revenue</t>
  </si>
  <si>
    <t>DTC FLEET + BANDWIDTH</t>
  </si>
  <si>
    <t>V2 DTC active sats</t>
  </si>
  <si>
    <t>V3 DTC active sats EoY</t>
  </si>
  <si>
    <t>V2 DTC effective Gbps</t>
  </si>
  <si>
    <t>V3 DTC effective Gbps</t>
  </si>
  <si>
    <t>DTC Gbps available for external Starlink revenue</t>
  </si>
  <si>
    <t>▸ REVENUE</t>
  </si>
  <si>
    <t>Starshield active Gbps (working)</t>
  </si>
  <si>
    <t>Starshield $/Gbps ($/Gbps-yr) (working)</t>
  </si>
  <si>
    <t>Total BB revenue ($mm)</t>
  </si>
  <si>
    <t>Total DTC revenue ($mm)</t>
  </si>
  <si>
    <t>Starshield revenue ($mm)</t>
  </si>
  <si>
    <t>Hardware / kit revenue ($mm)</t>
  </si>
  <si>
    <t>Revenue</t>
  </si>
  <si>
    <t>Memo: Starlink+DTC revenue (excl. Starshield)</t>
  </si>
  <si>
    <t>▸ INTERNAL LAUNCHES + RETAIL FLEET (working)</t>
  </si>
  <si>
    <t>F9 internal launches per year (Starlink-driven)</t>
  </si>
  <si>
    <t>Starship internal launches per year (Starlink-driven)</t>
  </si>
  <si>
    <t>Active retail sats (BB + DTC, EoY)</t>
  </si>
  <si>
    <t>▸ COGS → GROSS PROFIT</t>
  </si>
  <si>
    <t>Hardware / kit COGS ($mm)</t>
  </si>
  <si>
    <t>Ground-network ops COGS ($mm)</t>
  </si>
  <si>
    <t>Asset insurance COGS ($mm)</t>
  </si>
  <si>
    <t>Variable launch COGS ($mm)</t>
  </si>
  <si>
    <t>COGS total ($mm)</t>
  </si>
  <si>
    <t>Gross Profit ($mm)</t>
  </si>
  <si>
    <t>Memo: Gross Margin %</t>
  </si>
  <si>
    <t>▸ MODULE OpEx</t>
  </si>
  <si>
    <t>Sales &amp; Marketing ($mm)</t>
  </si>
  <si>
    <t>Customer support &amp; billing ($mm)</t>
  </si>
  <si>
    <t>Network operations ($mm)</t>
  </si>
  <si>
    <t>Spectrum licence OpEx ($mm)</t>
  </si>
  <si>
    <t>Module OpEx total (incl. R&amp;D) ($mm)</t>
  </si>
  <si>
    <t>Module EBITDA ($mm)</t>
  </si>
  <si>
    <t>EBITDA Margin % (memo)</t>
  </si>
  <si>
    <t>▸ EBITDA → EBIT (R&amp;D is in Module OpEx above; only D&amp;A below)</t>
  </si>
  <si>
    <t>Attributed R&amp;D ($mm): component of Module OpEx total (row 87)</t>
  </si>
  <si>
    <t>Constellation D&amp;A ($mm)</t>
  </si>
  <si>
    <t>Owned launch-fleet D&amp;A ($mm)</t>
  </si>
  <si>
    <t>Launch facility share (frac)</t>
  </si>
  <si>
    <t>Facility / ground D&amp;A ($mm)</t>
  </si>
  <si>
    <t>D&amp;A total ($mm)</t>
  </si>
  <si>
    <t>Module EBIT ($mm)</t>
  </si>
  <si>
    <t>▸ CAPEX → MODULE FCF</t>
  </si>
  <si>
    <t>Satellite build CapEx ($mm)</t>
  </si>
  <si>
    <t>Facility / ground CapEx ($mm)</t>
  </si>
  <si>
    <t>Owned launch-vehicle CapEx ($mm)</t>
  </si>
  <si>
    <t>Working capital ΔWC ($mm)</t>
  </si>
  <si>
    <t>Module CapEx total ($mm)</t>
  </si>
  <si>
    <t>Module FCF ($mm)</t>
  </si>
  <si>
    <t>▸ PER-SAT IRR ENGINE (v4 canonical): per cohort, one cost base</t>
  </si>
  <si>
    <t>Avg $/Gbps BB at Q (price-at-Q)</t>
  </si>
  <si>
    <t>Avg $/Gbps DTC at Q (price-at-Q)</t>
  </si>
  <si>
    <t>V2 BB: margin per sat-yr ($mm)</t>
  </si>
  <si>
    <t>V2 BB: CapEx slug per sat ($mm)</t>
  </si>
  <si>
    <t>V2 BB: Spot IRR</t>
  </si>
  <si>
    <t>V2 DTC: margin per sat-yr ($mm)</t>
  </si>
  <si>
    <t>V2 DTC: CapEx slug per sat ($mm)</t>
  </si>
  <si>
    <t>V2 DTC: Spot IRR</t>
  </si>
  <si>
    <t>V3 BB: margin per sat-yr ($mm)</t>
  </si>
  <si>
    <t>V3 BB: CapEx slug per sat ($mm)</t>
  </si>
  <si>
    <t>V3 BB: Spot IRR</t>
  </si>
  <si>
    <t>V3 DTC: margin per sat-yr ($mm)</t>
  </si>
  <si>
    <t>V3 DTC: CapEx slug per sat ($mm)</t>
  </si>
  <si>
    <t>V3 DTC: Spot IRR</t>
  </si>
  <si>
    <t>Starshield: active fleet EoY (sats) (working)</t>
  </si>
  <si>
    <t>Starshield: margin per sat-yr ($mm)</t>
  </si>
  <si>
    <t>Starshield: CapEx slug per sat ($mm)</t>
  </si>
  <si>
    <t>Module Spot IRR (rev-weighted)</t>
  </si>
  <si>
    <t>Cumulative Starlink sats built (sats)</t>
  </si>
  <si>
    <t>Sat cost $/kg (Wright's, floored)</t>
  </si>
  <si>
    <t>▸ ALLOCATOR OUT (canonical labels: Rule 12 sources)</t>
  </si>
  <si>
    <t>COGS total</t>
  </si>
  <si>
    <t>Gross Profit</t>
  </si>
  <si>
    <t>Module OpEx</t>
  </si>
  <si>
    <t>Module EBITDA</t>
  </si>
  <si>
    <t>Attributed R&amp;D</t>
  </si>
  <si>
    <t>D&amp;A</t>
  </si>
  <si>
    <t>Module EBIT</t>
  </si>
  <si>
    <t>Satellite/unit build CapEx</t>
  </si>
  <si>
    <t>Ground/facility CapEx</t>
  </si>
  <si>
    <t>Working capital ΔWC</t>
  </si>
  <si>
    <t>Module CapEx</t>
  </si>
  <si>
    <t>Module FCF</t>
  </si>
  <si>
    <t>Capital Deployed (cumulative)</t>
  </si>
  <si>
    <t>Kg demand year N+1</t>
  </si>
  <si>
    <t>Spot marginal IRR</t>
  </si>
  <si>
    <t>Blended new-sat mass (kg/sat): share-weighted, regime-gated (acyclic)</t>
  </si>
  <si>
    <t>Launch-capacity deployment ceiling (sats): same-year demand vs start-of-year capacity</t>
  </si>
  <si>
    <t>▸ CONSERVATION MEMOS</t>
  </si>
  <si>
    <t>Memo: reclassification conservation</t>
  </si>
  <si>
    <t>Check: launch build costs not yet populated, so variable cost only partly reconstructs the at-cost transfer; gap = unbuilt CapEx ≈ $418M</t>
  </si>
  <si>
    <t>Check: launch build costs not yet populated, so variable cost only partly reconstructs the at-cost transfer; gap = unbuilt CapEx ≈ $361M</t>
  </si>
  <si>
    <t>Check: launch build costs not yet populated, so variable cost only partly reconstructs the at-cost transfer; gap = unbuilt CapEx ≈ $-1817M</t>
  </si>
  <si>
    <t>Check: launch build costs not yet populated, so variable cost only partly reconstructs the at-cost transfer; gap = unbuilt CapEx ≈ $-1699M</t>
  </si>
  <si>
    <t>Check: launch build costs not yet populated, so variable cost only partly reconstructs the at-cost transfer; gap = unbuilt CapEx ≈ $-3094M</t>
  </si>
  <si>
    <t>Check: launch build costs not yet populated, so variable cost only partly reconstructs the at-cost transfer; gap = unbuilt CapEx ≈ $-296M</t>
  </si>
  <si>
    <t>Check: launch build costs not yet populated, so variable cost only partly reconstructs the at-cost transfer; gap = unbuilt CapEx ≈ $441M</t>
  </si>
  <si>
    <t>Check: launch build costs not yet populated, so variable cost only partly reconstructs the at-cost transfer; gap = unbuilt CapEx ≈ $4820M</t>
  </si>
  <si>
    <t>Check: launch build costs not yet populated, so variable cost only partly reconstructs the at-cost transfer; gap = unbuilt CapEx ≈ $5173M</t>
  </si>
  <si>
    <t>Check: launch build costs not yet populated, so variable cost only partly reconstructs the at-cost transfer; gap = unbuilt CapEx ≈ $7723M</t>
  </si>
  <si>
    <t>Check: launch build costs not yet populated, so variable cost only partly reconstructs the at-cost transfer; gap = unbuilt CapEx ≈ $9590M</t>
  </si>
  <si>
    <t>Check: launch build costs not yet populated, so variable cost only partly reconstructs the at-cost transfer; gap = unbuilt CapEx ≈ $11102M</t>
  </si>
  <si>
    <t>Check: launch build costs not yet populated, so variable cost only partly reconstructs the at-cost transfer; gap = unbuilt CapEx ≈ $14011M</t>
  </si>
  <si>
    <t>Check: launch build costs not yet populated, so variable cost only partly reconstructs the at-cost transfer; gap = unbuilt CapEx ≈ $12176M</t>
  </si>
  <si>
    <t>Check: launch build costs not yet populated, so variable cost only partly reconstructs the at-cost transfer; gap = unbuilt CapEx ≈ $6947M</t>
  </si>
  <si>
    <t>Check: launch build costs not yet populated, so variable cost only partly reconstructs the at-cost transfer; gap = unbuilt CapEx ≈ $4844M</t>
  </si>
  <si>
    <t>Memo: P&amp;L↔IRR conservation</t>
  </si>
  <si>
    <t>Memo: 2025 revenue reconciliation</t>
  </si>
  <si>
    <t>RESIDUAL: rev $14252M vs S-1 $11,387M; tune curves/Network ops&amp;G&amp;A: calibration decision</t>
  </si>
  <si>
    <t>RESIDUAL: rev $54068M vs S-1 $11,387M; tune curves/Network ops&amp;G&amp;A: calibration decision</t>
  </si>
  <si>
    <t>RESIDUAL: rev $106456M vs S-1 $11,387M; tune curves/Network ops&amp;G&amp;A: calibration decision</t>
  </si>
  <si>
    <t>RESIDUAL: rev $126533M vs S-1 $11,387M; tune curves/Network ops&amp;G&amp;A: calibration decision</t>
  </si>
  <si>
    <t>RESIDUAL: rev $184189M vs S-1 $11,387M; tune curves/Network ops&amp;G&amp;A: calibration decision</t>
  </si>
  <si>
    <t>RESIDUAL: rev $209407M vs S-1 $11,387M; tune curves/Network ops&amp;G&amp;A: calibration decision</t>
  </si>
  <si>
    <t>RESIDUAL: rev $261600M vs S-1 $11,387M; tune curves/Network ops&amp;G&amp;A: calibration decision</t>
  </si>
  <si>
    <t>RESIDUAL: rev $266753M vs S-1 $11,387M; tune curves/Network ops&amp;G&amp;A: calibration decision</t>
  </si>
  <si>
    <t>RESIDUAL: rev $300396M vs S-1 $11,387M; tune curves/Network ops&amp;G&amp;A: calibration decision</t>
  </si>
  <si>
    <t>RESIDUAL: rev $309166M vs S-1 $11,387M; tune curves/Network ops&amp;G&amp;A: calibration decision</t>
  </si>
  <si>
    <t>RESIDUAL: rev $327745M vs S-1 $11,387M; tune curves/Network ops&amp;G&amp;A: calibration decision</t>
  </si>
  <si>
    <t>RESIDUAL: rev $349663M vs S-1 $11,387M; tune curves/Network ops&amp;G&amp;A: calibration decision</t>
  </si>
  <si>
    <t>RESIDUAL: rev $367436M vs S-1 $11,387M; tune curves/Network ops&amp;G&amp;A: calibration decision</t>
  </si>
  <si>
    <t>RESIDUAL: rev $374020M vs S-1 $11,387M; tune curves/Network ops&amp;G&amp;A: calibration decision</t>
  </si>
  <si>
    <t>RESIDUAL: rev $385224M vs S-1 $11,387M; tune curves/Network ops&amp;G&amp;A: calibration decision</t>
  </si>
  <si>
    <t>Memo: 2025 DTC sub-line reconciliation</t>
  </si>
  <si>
    <t>Check</t>
  </si>
  <si>
    <t>Memo: post-rebuild capacity state (Demand Curves now prices this tab)</t>
  </si>
  <si>
    <t>BB active Gbps (V2+V3 combined)</t>
  </si>
  <si>
    <t>DTC active Gbps (V2+V3 combined)</t>
  </si>
  <si>
    <t>▸ SUBSCRIBERS + HARDWARE</t>
  </si>
  <si>
    <t>BB subscribers: revenue-implied level (M)</t>
  </si>
  <si>
    <t>BB BoY subscribers (M)</t>
  </si>
  <si>
    <t>BB EoY subscribers (= revenue-implied level, M): stabilised</t>
  </si>
  <si>
    <t>BB net adds (M)</t>
  </si>
  <si>
    <t>Memo: implied total Starlink BB subscribers (BB, M) vs S-1 8.9M</t>
  </si>
  <si>
    <t>Gross kit shipments (M)</t>
  </si>
  <si>
    <t>▸ IRR-DRIVEN COHORT ALLOCATION: prior-year spot IRR weights per-cohort affordability (broadband vs direct-to-cell)</t>
  </si>
  <si>
    <t>Active-gen BB Spot IRR (prior yr)</t>
  </si>
  <si>
    <t>Active-gen DTC Spot IRR (prior yr)</t>
  </si>
  <si>
    <t>exp(β·IRR) BB</t>
  </si>
  <si>
    <t>exp(β·IRR) DTC</t>
  </si>
  <si>
    <t>Allocation weight: broadband (V2 era = 1)</t>
  </si>
  <si>
    <t>Allocation weight: direct-to-cell</t>
  </si>
  <si>
    <t>Active-gen BB CapEx slug ($mm/sat)</t>
  </si>
  <si>
    <t>Active-gen DTC CapEx slug ($mm/sat)</t>
  </si>
  <si>
    <t>Cash → BB ($mm)</t>
  </si>
  <si>
    <t>Cash → DTC ($mm)</t>
  </si>
  <si>
    <t>Desired BB sats (pre-cap)</t>
  </si>
  <si>
    <t>Desired DTC sats (pre-cap)</t>
  </si>
  <si>
    <t>Total desired sats (pre-cap)</t>
  </si>
  <si>
    <t>Deployment cap: MIN(demand, launch, pacing) (sats)</t>
  </si>
  <si>
    <t>Cap scale factor (≤1, pro-rata)</t>
  </si>
  <si>
    <t>Final BB sats</t>
  </si>
  <si>
    <t>Final DTC sats</t>
  </si>
  <si>
    <t>Starship sats per launch (V3, mass-derived)</t>
  </si>
  <si>
    <t>Customer Launch module — module = Space segment · 2-stream revenue $4,086M · full waterfall, R&amp;D above EBITDA · separate F9 + Starship D&amp;A · Spot IRR · per-launch D&amp;A interface</t>
  </si>
  <si>
    <t>YEAR</t>
  </si>
  <si>
    <t>Year offset</t>
  </si>
  <si>
    <t>▸ BLOCK A: ALLOCATOR IN (cross-tab reads)</t>
  </si>
  <si>
    <t>Starship customer launch price ($mm/launch)</t>
  </si>
  <si>
    <t>Commercial launch market size ($mm/yr)</t>
  </si>
  <si>
    <t>Government launch market size ($mm/yr)</t>
  </si>
  <si>
    <t>SpaceX commercial market share</t>
  </si>
  <si>
    <t>SpaceX government market share</t>
  </si>
  <si>
    <t>Launch &amp; Development revenue ($mm/yr)</t>
  </si>
  <si>
    <t>Starship commercial-readiness factor</t>
  </si>
  <si>
    <t>F9 booster build cost ($mm)</t>
  </si>
  <si>
    <t>Starship vehicle build cost ($mm)</t>
  </si>
  <si>
    <t>F9 cadence per booster (flights/yr)</t>
  </si>
  <si>
    <t>Starship cadence per vehicle (flights/yr)</t>
  </si>
  <si>
    <t>F9 vehicle life L (years)</t>
  </si>
  <si>
    <t>Starship vehicle life L (years)</t>
  </si>
  <si>
    <t>Customer Launch R&amp;D % (start)</t>
  </si>
  <si>
    <t>Customer Launch R&amp;D % (floor) — retired (flat sustaining rate, see A111)</t>
  </si>
  <si>
    <t>Customer Launch R&amp;D % (CAGR) — retired (flat sustaining rate, see A111)</t>
  </si>
  <si>
    <t>Launch / vehicle facility CapEx ($mm)</t>
  </si>
  <si>
    <t>Launch / vehicle facility D&amp;A ($mm)</t>
  </si>
  <si>
    <t>▸ BLOCK B: LAUNCH DEMAND &amp; FLEET BUILD</t>
  </si>
  <si>
    <t>External commercial launch demand (count)</t>
  </si>
  <si>
    <t>External government launch demand (count)</t>
  </si>
  <si>
    <t>F9 boosters built (yr)</t>
  </si>
  <si>
    <t>F9 boosters retired (yr)</t>
  </si>
  <si>
    <t>F9 booster fleet EoY</t>
  </si>
  <si>
    <t>F9 total launch capacity (launches/yr)</t>
  </si>
  <si>
    <t>F9 customer launches (residual)</t>
  </si>
  <si>
    <t>Starship target launches (internal + commercial demand)</t>
  </si>
  <si>
    <t>Starship vehicles built (yr)</t>
  </si>
  <si>
    <t>Starship vehicle fleet EoY</t>
  </si>
  <si>
    <t>Starship total capacity (launches/yr)</t>
  </si>
  <si>
    <t>Starship commercial launches</t>
  </si>
  <si>
    <t>Memo: total external launches</t>
  </si>
  <si>
    <t>▸ BLOCK C: REVENUE (external only)</t>
  </si>
  <si>
    <t>Launch Services revenue ($mm)</t>
  </si>
  <si>
    <t>Launch &amp; Development revenue ($mm)</t>
  </si>
  <si>
    <t>Revenue   ◄ Allocator OUT</t>
  </si>
  <si>
    <t>Memo: avg $/launch (LS)</t>
  </si>
  <si>
    <t>▸ BLOCK D: COGS → GROSS PROFIT</t>
  </si>
  <si>
    <t>Variable launch cost: F9 ($mm)</t>
  </si>
  <si>
    <t>Variable launch cost: Starship ($mm)</t>
  </si>
  <si>
    <t>Launch insurance ($mm)</t>
  </si>
  <si>
    <t>Other launch COGS ($mm)</t>
  </si>
  <si>
    <t>COGS total ($mm)   ◄ Allocator OUT</t>
  </si>
  <si>
    <t>Gross Profit ($mm)   ◄ Allocator OUT</t>
  </si>
  <si>
    <t>▸ BLOCK E: MODULE OpEx + R&amp;D → MODULE EBITDA (R&amp;D ABOVE EBITDA, Hard Rule 7)</t>
  </si>
  <si>
    <t>Selling, general &amp; administrative ($mm)</t>
  </si>
  <si>
    <t>Module OpEx total ($mm)   ◄ Allocator OUT</t>
  </si>
  <si>
    <t>Attributed R&amp;D ($mm)   ◄ Allocator OUT</t>
  </si>
  <si>
    <t>Module EBITDA ($mm)   ◄ Allocator OUT</t>
  </si>
  <si>
    <t>Memo: EBITDA Margin %</t>
  </si>
  <si>
    <t>▸ BLOCK F: EBITDA → EBIT (only D&amp;A below EBITDA)</t>
  </si>
  <si>
    <t>F9 owned-vehicle D&amp;A ($mm)</t>
  </si>
  <si>
    <t>Starship owned-vehicle D&amp;A ($mm)</t>
  </si>
  <si>
    <t>Launch / facility D&amp;A ($mm)</t>
  </si>
  <si>
    <t>D&amp;A total ($mm)   ◄ Allocator OUT</t>
  </si>
  <si>
    <t>Module EBIT ($mm)   ◄ Allocator OUT</t>
  </si>
  <si>
    <t>▸ BLOCK G: CAPEX → MODULE FCF</t>
  </si>
  <si>
    <t>F9 owned-vehicle build CapEx ($mm)   ◄ Allocator OUT</t>
  </si>
  <si>
    <t>Starship owned-vehicle build CapEx ($mm)   ◄ Allocator OUT</t>
  </si>
  <si>
    <t>Ground/facility CapEx ($mm)   ◄ Allocator OUT</t>
  </si>
  <si>
    <t>Working capital ΔWC ($mm)   ◄ Allocator OUT</t>
  </si>
  <si>
    <t>Module CapEx total ($mm)   ◄ Allocator OUT</t>
  </si>
  <si>
    <t>Module FCF ($mm)   ◄ Allocator OUT</t>
  </si>
  <si>
    <t>▸ BLOCK H: PER-VEHICLE IRR ENGINE (v4 canonical, Spot only)</t>
  </si>
  <si>
    <t>F9: revenue per vehicle per yr ($mm)</t>
  </si>
  <si>
    <t>F9: margin per vehicle per yr ($mm, ex-D&amp;A)</t>
  </si>
  <si>
    <t>F9: CapEx slug per vehicle ($mm)</t>
  </si>
  <si>
    <t>F9 Spot IRR (reporting only, excluded from allocation)</t>
  </si>
  <si>
    <t>Starship: revenue per vehicle per yr ($mm)</t>
  </si>
  <si>
    <t>Starship: margin per vehicle per yr ($mm, ex-D&amp;A)</t>
  </si>
  <si>
    <t>Starship: CapEx slug per vehicle ($mm)</t>
  </si>
  <si>
    <t>Starship Spot IRR (competes in the IRR-weighted allocation)</t>
  </si>
  <si>
    <t>Module Spot IRR   ◄ Allocator OUT</t>
  </si>
  <si>
    <t>▸ BLOCK I: ALLOCATOR OUT (amended canonical labels)</t>
  </si>
  <si>
    <t>F9 owned-vehicle build CapEx</t>
  </si>
  <si>
    <t>Starship owned-vehicle build CapEx</t>
  </si>
  <si>
    <t>F9 owned-vehicle D&amp;A per launch ($mm)            ◄ interface to Starlink</t>
  </si>
  <si>
    <t>Starship owned-vehicle D&amp;A per launch ($mm)      ◄ interface to Starlink</t>
  </si>
  <si>
    <t>▸ BLOCK J, CONSERVATION MEMOS (verification only, excl. sums)</t>
  </si>
  <si>
    <t>Memo: P&amp;L↔IRR operating-margin</t>
  </si>
  <si>
    <t>Memo: R&amp;D dual-track divergence</t>
  </si>
  <si>
    <t>Reported R&amp;D=0 (full dev); IRR R&amp;D=sustaining 4.0%: documented divergence, not a bug</t>
  </si>
  <si>
    <t>Memo: 2025 EBIT reconciliation</t>
  </si>
  <si>
    <t>Memo: 2025 D&amp;A reconciliation</t>
  </si>
  <si>
    <t>Memo: 2025 CapEx reconciliation</t>
  </si>
  <si>
    <t>▸ INTERFACE ALIASES (label-fidelity for downstream tabs)</t>
  </si>
  <si>
    <t>F9 customer launches per year</t>
  </si>
  <si>
    <t>Starship customer launches per year</t>
  </si>
  <si>
    <t>Memo: cum launch-site infra CapEx ($mm)</t>
  </si>
  <si>
    <t>Memo: cum active launch vehicles (F9 + Starship)</t>
  </si>
  <si>
    <t>Memo: launch-infra allocable per vehicle ($mm)</t>
  </si>
  <si>
    <t>Memo: best-available launch $/kg index ($mm/kg, readiness-blended)</t>
  </si>
  <si>
    <t>Memo: launch demand elasticity multiplier (x)</t>
  </si>
  <si>
    <t>Memo: expanded commercial launch $TAM ($mm, elastic — baseline row 13 × multiplier)</t>
  </si>
  <si>
    <t>Memo: expanded government launch $TAM ($mm, elastic — baseline row 14 × multiplier)</t>
  </si>
  <si>
    <t>Memo: SpaceX Launch-Services rev as % of expanded $TAM (coherence check, must be &lt;100%)</t>
  </si>
  <si>
    <t>Cash Allocation Engine — cash pool waterfall + module funding allocator</t>
  </si>
  <si>
    <t>Notes:</t>
  </si>
  <si>
    <t>▸ CASH POOL: LIVE every year (2025 = starting cash $11,385M + $20B bridge)</t>
  </si>
  <si>
    <t>Cash BoY ($mm)</t>
  </si>
  <si>
    <t>IPO injection ($mm)</t>
  </si>
  <si>
    <t>Pre-IPO bridge loan ($mm)</t>
  </si>
  <si>
    <t>Cash available for year ($mm)</t>
  </si>
  <si>
    <t>▸ QUEUE GATE: LIVE every year</t>
  </si>
  <si>
    <t>Memo: Group revenue (claims base) ($mm)</t>
  </si>
  <si>
    <t>Corporate SG&amp;A ($mm)</t>
  </si>
  <si>
    <t>Shared / unattributable R&amp;D ($mm)</t>
  </si>
  <si>
    <t>Corporate CapEx ($mm)</t>
  </si>
  <si>
    <t>Spectrum licence fee ($mm)</t>
  </si>
  <si>
    <t>Taxes ($mm)</t>
  </si>
  <si>
    <t>Queue gate non-module claims total ($mm)</t>
  </si>
  <si>
    <t>Pool after queue gate ($mm)</t>
  </si>
  <si>
    <t>▸ CARVE-OUT: LIVE every year</t>
  </si>
  <si>
    <t>Lunar/Mars carve-out cash ($mm)</t>
  </si>
  <si>
    <t>Remaining pool for IRR-weighted allocation ($mm): gated to 0 in the 2025 anchor year; allocation operative 2026 onward</t>
  </si>
  <si>
    <t>▸ TOP-LEVEL IRR-WEIGHTED ALLOCATION: allocated cash = 0 in the 2025 anchor year; operative 2026→2050 (shares sum to 1)</t>
  </si>
  <si>
    <t>Spot IRR: Starlink</t>
  </si>
  <si>
    <t>Spot IRR: Customer Launch</t>
  </si>
  <si>
    <t>Spot IRR: AI-Compute</t>
  </si>
  <si>
    <t>exp(β·IRR): Starlink</t>
  </si>
  <si>
    <t>exp(β·IRR): Customer Launch</t>
  </si>
  <si>
    <t>exp(β·IRR): AI-Compute</t>
  </si>
  <si>
    <t>Σ exp(β·IRR)</t>
  </si>
  <si>
    <t>Allocation share: Starlink</t>
  </si>
  <si>
    <t>Allocation share: Customer Launch</t>
  </si>
  <si>
    <t>Allocation share: AI-Compute</t>
  </si>
  <si>
    <t>Memo: share sum (must=1)</t>
  </si>
  <si>
    <t>Allocated cash to Starlink ($mm)</t>
  </si>
  <si>
    <t>Allocated cash to Customer Launch ($mm)</t>
  </si>
  <si>
    <t>Allocated cash to AI-Compute ($mm)</t>
  </si>
  <si>
    <t>Memo: cash deployed by modules ($mm)</t>
  </si>
  <si>
    <t>Leftover cash ($mm)</t>
  </si>
  <si>
    <t>▸ KG-RATIONING GATE</t>
  </si>
  <si>
    <t>Memo: total kg demand (kg)</t>
  </si>
  <si>
    <t>LM kg reserved off-top (kg)</t>
  </si>
  <si>
    <t>Capacity available after LM (kg)</t>
  </si>
  <si>
    <t>kg-binding flag (1=capacity binds)</t>
  </si>
  <si>
    <t>Launch capacity allotment: Starlink (kg)</t>
  </si>
  <si>
    <t>Launch capacity allotment: Customer Launch (kg)</t>
  </si>
  <si>
    <t>Launch capacity allotment: AI-Compute (kg)</t>
  </si>
  <si>
    <t>▸ CASH EoY: LIVE every year; 2025 EoY feeds 2026 Cash BoY (the cash spine)</t>
  </si>
  <si>
    <t>Group FCF ($mm)</t>
  </si>
  <si>
    <t>Cash EoY ($mm)</t>
  </si>
  <si>
    <t>Memo: cumulative (Start+ΣIPO+ΣBridge+ΣFCF+Facility net) ($mm)</t>
  </si>
  <si>
    <t>▸ CONSERVATION</t>
  </si>
  <si>
    <t>Memo: carve-out tie (engine − LM receipt, must=0)</t>
  </si>
  <si>
    <t>Memo: VB fleet CapEx conservation (=VB R53)</t>
  </si>
  <si>
    <t>▸ CAPACITY-PRIORITY ALLOCATION</t>
  </si>
  <si>
    <t>Cap: Starlink max deployable ($mm)</t>
  </si>
  <si>
    <t>Cap: Customer Launch max deployable ($mm)</t>
  </si>
  <si>
    <t>Cap: AI-Compute max deployable ($mm)</t>
  </si>
  <si>
    <t>Rank key: Starlink</t>
  </si>
  <si>
    <t>Rank key: Customer Launch</t>
  </si>
  <si>
    <t>Rank key: AI-Compute</t>
  </si>
  <si>
    <t>Higher-rank caps ahead of Starlink ($mm)</t>
  </si>
  <si>
    <t>Higher-rank caps ahead of Customer Launch ($mm)</t>
  </si>
  <si>
    <t>Higher-rank caps ahead of AI-Compute ($mm)</t>
  </si>
  <si>
    <t>Placeholder AI/strategic CapEx ($mm): TEMP (retire when AI-Compute loaded)</t>
  </si>
  <si>
    <t>▸ LEVEL-2: WITHIN-AI ODC vs TERRESTRIAL SPLIT (A7)</t>
  </si>
  <si>
    <t>Spot IRR: ODC (prior yr)</t>
  </si>
  <si>
    <t>Spot IRR: Terrestrial (prior yr)</t>
  </si>
  <si>
    <t>exp(β·IRR): ODC</t>
  </si>
  <si>
    <t>exp(β·IRR): Terrestrial</t>
  </si>
  <si>
    <t>Σ exp: within-AI</t>
  </si>
  <si>
    <t>Allocation share: orbital (ODC)</t>
  </si>
  <si>
    <t>Allocation share: terrestrial</t>
  </si>
  <si>
    <t>Memo: within-AI share sum (=1)</t>
  </si>
  <si>
    <t>Desired cash → ODC ($mm)</t>
  </si>
  <si>
    <t>Desired cash → Terrestrial ($mm)</t>
  </si>
  <si>
    <t>Memo: ODC kg-buildable (diagnostic: unused after A7.1)</t>
  </si>
  <si>
    <t>Allocated cash → ODC ($mm)</t>
  </si>
  <si>
    <t>Memo: ODC→Terr spillover ($mm): A8.3 (consumed by R114)</t>
  </si>
  <si>
    <t>Allocated cash → Terrestrial ($mm)</t>
  </si>
  <si>
    <t>Memo: AI kg ration (diagnostic: ODC self-supplies, A7.1)</t>
  </si>
  <si>
    <t>Memo: chip-supply check (soft)</t>
  </si>
  <si>
    <t>Conservation: Level-2 cash tie: allocated ≤ desired, no creation (≥0 = OK), A8.3</t>
  </si>
  <si>
    <t>Memo: Terr→ODC spillover ($mm): A8.3 (consumed by R112)</t>
  </si>
  <si>
    <t>▸ CARVE-OUT IRR RESPONSE (operative 2030 onward)</t>
  </si>
  <si>
    <t>Carve-out IRR signal: avg prior-yr spot IRR (3 modules)</t>
  </si>
  <si>
    <t>Carve-out IRR-response ramp [0,1]</t>
  </si>
  <si>
    <t>Carve-out effective % (IRR-responsive)</t>
  </si>
  <si>
    <t>Desired launch kg: Starlink</t>
  </si>
  <si>
    <t>Desired launch kg: Customer Launch</t>
  </si>
  <si>
    <t>Desired launch kg: AI-Compute</t>
  </si>
  <si>
    <t>Total desired launch kg</t>
  </si>
  <si>
    <t>▸ TERAFAB CONSTRUCTION FACILITY (debt layer)</t>
  </si>
  <si>
    <t>Terafab CapEx to fund ($mm)</t>
  </si>
  <si>
    <t>Facility draw ($mm)</t>
  </si>
  <si>
    <t>Facility interest ($mm)</t>
  </si>
  <si>
    <t>Facility repayment ($mm)</t>
  </si>
  <si>
    <t>Facility balance EoY ($mm)</t>
  </si>
  <si>
    <t>Memo: cumulative draws ($mm)</t>
  </si>
  <si>
    <t>Memo: cumulative repayments ($mm)</t>
  </si>
  <si>
    <t>Conservation: Σdraw − Σrepay − balance (must = 0)</t>
  </si>
  <si>
    <t>▸ ABSORPTIVE-CAPACITY WATER-FILL (top-level, A-refresh V4.102)</t>
  </si>
  <si>
    <t>Desired cash: Starlink ($mm)</t>
  </si>
  <si>
    <t>Desired cash: Customer Launch ($mm)</t>
  </si>
  <si>
    <t>Desired cash: AI-Compute ($mm)</t>
  </si>
  <si>
    <t>Capped: Starlink ($mm)</t>
  </si>
  <si>
    <t>Capped: Customer Launch ($mm)</t>
  </si>
  <si>
    <t>Capped: AI-Compute ($mm)</t>
  </si>
  <si>
    <t>Water-fill residual ($mm)</t>
  </si>
  <si>
    <t>Headroom: Starlink ($mm)</t>
  </si>
  <si>
    <t>Headroom: Customer Launch ($mm)</t>
  </si>
  <si>
    <t>Headroom: AI-Compute ($mm)</t>
  </si>
  <si>
    <t>Spillover weight: Starlink</t>
  </si>
  <si>
    <t>Spillover weight: Customer Launch</t>
  </si>
  <si>
    <t>Spillover weight: AI-Compute</t>
  </si>
  <si>
    <t>Σ spillover weight</t>
  </si>
  <si>
    <t>Allocated final: Starlink ($mm)</t>
  </si>
  <si>
    <t>Allocated final: Customer Launch ($mm)</t>
  </si>
  <si>
    <t>Allocated final: AI-Compute ($mm)</t>
  </si>
  <si>
    <t>▸ ODC CONSTRUCTION FACILITY (debt layer — funds ODC sat rollout)</t>
  </si>
  <si>
    <t>ODC CapEx need ($mm): launch-feasible deploy × cost</t>
  </si>
  <si>
    <t>ODC pool allocation ($mm)</t>
  </si>
  <si>
    <t>ODC facility draw ($mm)</t>
  </si>
  <si>
    <t>ODC facility interest ($mm)</t>
  </si>
  <si>
    <t>ODC facility repayment ($mm)</t>
  </si>
  <si>
    <t>ODC facility balance EoY ($mm)</t>
  </si>
  <si>
    <t>Memo: ODC cum draws ($mm)</t>
  </si>
  <si>
    <t>Memo: ODC cum repayments ($mm)</t>
  </si>
  <si>
    <t>Conservation: ODC Σdraw − Σrepay − balance (must = 0)</t>
  </si>
  <si>
    <t>AI - Compute module — orbital + terrestrial datacenter build, compute revenue &amp; waterfall</t>
  </si>
  <si>
    <t>▸ AI - COMPUTE OUT CONTRACT</t>
  </si>
  <si>
    <t>▸ AI-COMPUTE SHARED DRIVERS (derived on-tab; no demand curve)</t>
  </si>
  <si>
    <t>Chip TDP per chip (W)</t>
  </si>
  <si>
    <t>Chip FP8 per chip (TFLOPS)</t>
  </si>
  <si>
    <t>GPU-hr price ($/GPU-hr): base (pre-dampener)</t>
  </si>
  <si>
    <t>Chip cost ASP ($/chip): derived</t>
  </si>
  <si>
    <t>Sat thermal mass (kg): derived</t>
  </si>
  <si>
    <t>Total sat dry mass (kg): derived</t>
  </si>
  <si>
    <t>▸ ORBITAL DC: per compute sat-year (sub-line 1, L=5)</t>
  </si>
  <si>
    <t>Launch cost ($mm/launch)</t>
  </si>
  <si>
    <t>Orbital DC: allocated cash ($mm) ◄ CAE Level-2</t>
  </si>
  <si>
    <t>Launch-kg available (= (target + retirements) × dry mass): ODC</t>
  </si>
  <si>
    <t>Sats added (target)</t>
  </si>
  <si>
    <t>Chips per sat</t>
  </si>
  <si>
    <t>Subsystem cost pre-WL ($/sat)</t>
  </si>
  <si>
    <t>Sats per Starship launch</t>
  </si>
  <si>
    <t>Cumulative sats (target, WL)</t>
  </si>
  <si>
    <t>Wright's Law multiplier</t>
  </si>
  <si>
    <t>Subsystem cost w/ WL ($/sat)</t>
  </si>
  <si>
    <t>Chip cost at-cost ($/sat)</t>
  </si>
  <si>
    <t>Sat total cost ($mm/sat)</t>
  </si>
  <si>
    <t>Launch cost per sat ($mm)</t>
  </si>
  <si>
    <t>Sats fundable from cash</t>
  </si>
  <si>
    <t>Sats fundable from launch kg</t>
  </si>
  <si>
    <t>Sat retirements (5y cohort)</t>
  </si>
  <si>
    <t>Sats deployed (actual)</t>
  </si>
  <si>
    <t>Active sat fleet (EoY)</t>
  </si>
  <si>
    <t>Chips deployed (count)</t>
  </si>
  <si>
    <t>Billable H100-eq GPU-hrs/sat</t>
  </si>
  <si>
    <t>Revenue per sat ($mm/yr, incl orbital PUE)</t>
  </si>
  <si>
    <t>Fleet gross compute revenue ($mm)</t>
  </si>
  <si>
    <t>Internal compute share</t>
  </si>
  <si>
    <t>Launch services cost ($mm)</t>
  </si>
  <si>
    <t>Fleet energy (GWh/yr)</t>
  </si>
  <si>
    <t>Gbps demand</t>
  </si>
  <si>
    <t>Bandwidth cost ($mm)</t>
  </si>
  <si>
    <t>Ground/network cost ($mm)</t>
  </si>
  <si>
    <t>R&amp;D % of revenue</t>
  </si>
  <si>
    <t>Chip purchase internal ($mm)</t>
  </si>
  <si>
    <t>Kg demand year N (kg)</t>
  </si>
  <si>
    <t>External revenue ($mm)</t>
  </si>
  <si>
    <t>COGS ($mm)</t>
  </si>
  <si>
    <t xml:space="preserve">  Launch services</t>
  </si>
  <si>
    <t xml:space="preserve">  Bandwidth</t>
  </si>
  <si>
    <t xml:space="preserve">  Ground / network</t>
  </si>
  <si>
    <t>OpEx ($mm)</t>
  </si>
  <si>
    <t>D&amp;A ($mm)</t>
  </si>
  <si>
    <t>Running cost (COGS+OpEx) ($mm)</t>
  </si>
  <si>
    <t>Fully-allocated cost ($mm)</t>
  </si>
  <si>
    <t>Internal transfer revenue ($mm)</t>
  </si>
  <si>
    <t>Total revenue ($mm)</t>
  </si>
  <si>
    <t>Attributed R&amp;D ($mm)</t>
  </si>
  <si>
    <t>EBIT ($mm)</t>
  </si>
  <si>
    <t>CapEx - sat fleet incl chips ($mm)</t>
  </si>
  <si>
    <t>Chip purchases (internal transfer) ($mm)</t>
  </si>
  <si>
    <t>FCF ($mm)</t>
  </si>
  <si>
    <t>Margin per sat per yr ($mm)</t>
  </si>
  <si>
    <t>CapEx slug per sat ($mm)</t>
  </si>
  <si>
    <t>Asset life L: Orbital DC (yrs)</t>
  </si>
  <si>
    <t>Spot IRR</t>
  </si>
  <si>
    <t>Starship launches per year (ODC-driven)</t>
  </si>
  <si>
    <t>▸ TERRESTRIAL DC: per MW-year (sub-line 2, L=15)</t>
  </si>
  <si>
    <t>MW added</t>
  </si>
  <si>
    <t>GPUs added (count)</t>
  </si>
  <si>
    <t>Internal share</t>
  </si>
  <si>
    <t>MW fleet (EoY, 15y cohort)</t>
  </si>
  <si>
    <t>GPU fleet (EoY, 15y cohort)</t>
  </si>
  <si>
    <t>Effective compute (H100-eq, vintage-locked)</t>
  </si>
  <si>
    <t>Billable H100-eq GPU-hrs</t>
  </si>
  <si>
    <t>Gross compute revenue ($mm)</t>
  </si>
  <si>
    <t>CapEx - facility + chips ($mm)</t>
  </si>
  <si>
    <t>Margin per MW per yr ($mm)</t>
  </si>
  <si>
    <t>CapEx slug per MW ($mm)</t>
  </si>
  <si>
    <t>Asset life L: Terrestrial DC (yrs)</t>
  </si>
  <si>
    <t>▸ AI APPS: per customer-year (sub-line 3, L=3)</t>
  </si>
  <si>
    <t>AI Apps subs (M)</t>
  </si>
  <si>
    <t>⊘ REDUNDANT — blended ARPU (superseded by 5-bucket block, rows 224-255)</t>
  </si>
  <si>
    <t>⊘ REDUNDANT — blended tokens/sub (superseded by 5-bucket block, rows 224-255)</t>
  </si>
  <si>
    <t>AI Apps revenue ($mm)</t>
  </si>
  <si>
    <t>Paying customers (M)</t>
  </si>
  <si>
    <t>Net-new customers (M)</t>
  </si>
  <si>
    <t>S&amp;M - customer acquisition ($mm)</t>
  </si>
  <si>
    <t>CapEx ($mm)</t>
  </si>
  <si>
    <t>AI Apps tokens (T)</t>
  </si>
  <si>
    <t>Total AI-stack tokens (T)</t>
  </si>
  <si>
    <t>GPU-hrs required (H100-eq)</t>
  </si>
  <si>
    <t>Total DC compute available (GPU-hrs)</t>
  </si>
  <si>
    <t>AI Apps served (GPU-hrs, capped)</t>
  </si>
  <si>
    <t>AI Apps share of DC compute</t>
  </si>
  <si>
    <t>Demand-vs-supply CHECK (not a cap)</t>
  </si>
  <si>
    <t>Net margin per customer (excl CAC) ($)</t>
  </si>
  <si>
    <t>CAC slug per customer ($)</t>
  </si>
  <si>
    <t>Asset life L: AI Apps (yrs)</t>
  </si>
  <si>
    <t>Memo: AI Apps per-customer Spot IRR (diagnostic: no allocation consumer)</t>
  </si>
  <si>
    <t>▸ MODULE ROLL-UP (consolidated; external rev only; internal compute transfer eliminated; Terafab off-tab → A4/A5)</t>
  </si>
  <si>
    <t>Roll-up Revenue (external, consol)</t>
  </si>
  <si>
    <t>Roll-up COGS (consol)</t>
  </si>
  <si>
    <t>Roll-up Gross Profit</t>
  </si>
  <si>
    <t>Roll-up Gross margin %</t>
  </si>
  <si>
    <t>Roll-up Module OpEx</t>
  </si>
  <si>
    <t>Roll-up Attributed R&amp;D</t>
  </si>
  <si>
    <t>Roll-up D&amp;A</t>
  </si>
  <si>
    <t>Roll-up Module EBIT</t>
  </si>
  <si>
    <t>Roll-up Module CapEx</t>
  </si>
  <si>
    <t>Roll-up Module FCF</t>
  </si>
  <si>
    <t>Roll-up Kg demand year N+1</t>
  </si>
  <si>
    <t>Roll-up Spot marginal IRR (external, consol)</t>
  </si>
  <si>
    <t>Roll-up Starship launches per year (ODC-driven)</t>
  </si>
  <si>
    <t>Roll-up Owned launch-vehicle CapEx ($mm)</t>
  </si>
  <si>
    <t>▸ CONSERVATION (intra-tab; must = 0: Rule 5/21)</t>
  </si>
  <si>
    <t>Compute transfer: DC internal rev − AI Apps COGS (=0)</t>
  </si>
  <si>
    <t>FCF identity: (EBIT + D&amp;A − CapEx) − FCF (=0)</t>
  </si>
  <si>
    <t>▸ AI - COMPUTE OUT CONTRACT — extended</t>
  </si>
  <si>
    <t>COGS</t>
  </si>
  <si>
    <t>▸ CHIP-FAB INTEGRATION (A5): Terafab R&amp;D + boundary tie</t>
  </si>
  <si>
    <t>Terafab R&amp;D % of chip-supply (glide)</t>
  </si>
  <si>
    <t>Terafab chip-supply R&amp;D ($mm) → roll-up R&amp;D</t>
  </si>
  <si>
    <t>Boundary tie: 'Facilities Build' chips − (ODC R55 + Terr R94)×toggle; must = 0</t>
  </si>
  <si>
    <t>Memo: roll-up margin per GPU-hr ($mm)</t>
  </si>
  <si>
    <t>Memo: roll-up cumulative CapEx ($mm)</t>
  </si>
  <si>
    <t>Memo: roll-up capex slug per GPU-hr ($mm)</t>
  </si>
  <si>
    <t>Memo: roll-up blended life L (yrs)</t>
  </si>
  <si>
    <t>Terrestrial DC: allocated cash ($mm) ◄ CAE Level-2 [drives R93]</t>
  </si>
  <si>
    <t>▸ AI: COMPUTE DEMAND BASIS (A8 endogenisation)</t>
  </si>
  <si>
    <t>AI compute demand reference (M H100-eq GPU): seed-anchored S-curve (A8.5)</t>
  </si>
  <si>
    <t>External compute demand (GPU-hrs, H100-eq)</t>
  </si>
  <si>
    <t>Total compute demand (GPU-hrs)</t>
  </si>
  <si>
    <t>Required installed compute w/ buffer (GPU-hrs)</t>
  </si>
  <si>
    <t>Memo: Total-demand-vs-supply CHECK</t>
  </si>
  <si>
    <t>MW retirements (15y cohort)</t>
  </si>
  <si>
    <t>GPU retirements (15y cohort)</t>
  </si>
  <si>
    <t>Memo: Terr share of net demand gap: RETIRED A8.0.1 (superseded by IRR-share demand split)</t>
  </si>
  <si>
    <t>Memo: Terr MW demand-implied (pre-cash)</t>
  </si>
  <si>
    <t>Demand-buildable CapEx ($mm)</t>
  </si>
  <si>
    <t>Memo: ODC demand share: RETIRED A8.3 (demand not split; ODC-priority)</t>
  </si>
  <si>
    <t>Memo: Terr demand share: RETIRED A8.3 (demand not split)</t>
  </si>
  <si>
    <t>ODC target fleet (sats, demand-share)</t>
  </si>
  <si>
    <t>Terr target MW (demand-share)</t>
  </si>
  <si>
    <t>ODC demand-buildable CapEx ($mm)</t>
  </si>
  <si>
    <t>Terr demand-buildable CapEx ($mm)</t>
  </si>
  <si>
    <t>Memo: roll-up CapEx: IRR slug basis (fab on D&amp;A) ($mm)</t>
  </si>
  <si>
    <t>Memo: Demand dampener (price-at-Q, =MIN(1,(demand/supply)^b))</t>
  </si>
  <si>
    <t>Memo: Realized $/GPU-hr (base × dampener)</t>
  </si>
  <si>
    <t>Total existing compute (GPU-hrs): A8.3</t>
  </si>
  <si>
    <t>Total compute gap (GPU-hrs): A8.3</t>
  </si>
  <si>
    <t>Training carve-out % (= input): A8.5</t>
  </si>
  <si>
    <t>Terrestrial training CapEx ($mm): % × prior-yr AI revenue (A8.5)</t>
  </si>
  <si>
    <t>Terrestrial training D&amp;A ($mm): cumulative ÷ life, MIN-capped (A8.5)</t>
  </si>
  <si>
    <t>ODC power density (kW/ton): OUTPUT memo (A8.7)</t>
  </si>
  <si>
    <t>Radiator net rejection (W/m²): A8.7</t>
  </si>
  <si>
    <t>Radiator area (m²): A8.7</t>
  </si>
  <si>
    <t>Radiator areal density (kg/m², glide): A8.7</t>
  </si>
  <si>
    <t>Heat transport (kg/kW, glide): A8.7</t>
  </si>
  <si>
    <t>Solar specific power (W/kg, glide): A8.7</t>
  </si>
  <si>
    <t>Solar array mass (kg): A8.7</t>
  </si>
  <si>
    <t>Non-thermal base mass (kg): A8.7</t>
  </si>
  <si>
    <t>▸ AI APPS: 5-BUCKET DEMAND BUILD (replaces blended R116-118)</t>
  </si>
  <si>
    <t>Free: users (M)</t>
  </si>
  <si>
    <t>Free: ARPU ($/user/yr)</t>
  </si>
  <si>
    <t>Free: tokens/user (M/yr)</t>
  </si>
  <si>
    <t>Free: revenue ($mm)</t>
  </si>
  <si>
    <t>Free: tokens (T)</t>
  </si>
  <si>
    <t>Individual paid: users (M)</t>
  </si>
  <si>
    <t>Individual paid: ARPU ($/user/yr)</t>
  </si>
  <si>
    <t>Individual paid: tokens/user (M/yr)</t>
  </si>
  <si>
    <t>Individual paid: revenue ($mm)</t>
  </si>
  <si>
    <t>Individual paid: tokens (T)</t>
  </si>
  <si>
    <t>Developer/API: users (M)</t>
  </si>
  <si>
    <t>Developer/API: ARPU ($/acct/yr)</t>
  </si>
  <si>
    <t>Developer/API: tokens/user (M/yr)</t>
  </si>
  <si>
    <t>Developer/API: revenue ($mm)</t>
  </si>
  <si>
    <t>Developer/API: tokens (T)</t>
  </si>
  <si>
    <t>Enterprise: seats (M)</t>
  </si>
  <si>
    <t>Enterprise: ARPU ($/seat/yr)</t>
  </si>
  <si>
    <t>Enterprise: tokens/user (M/yr)</t>
  </si>
  <si>
    <t>Enterprise: revenue ($mm)</t>
  </si>
  <si>
    <t>Enterprise: tokens (T)</t>
  </si>
  <si>
    <t>Agentic coding: users (M)</t>
  </si>
  <si>
    <t>Agentic coding: ARPU ($/user/yr)</t>
  </si>
  <si>
    <t>Agentic coding: tokens/user (M/yr)</t>
  </si>
  <si>
    <t>Agentic coding: revenue ($mm)</t>
  </si>
  <si>
    <t>Agentic coding: tokens (T)</t>
  </si>
  <si>
    <t>Ads: monetizable base (M)</t>
  </si>
  <si>
    <t>Ads: ARPU ($/user/yr)</t>
  </si>
  <si>
    <t>Ads: revenue ($mm)</t>
  </si>
  <si>
    <t>AI Apps: paying users (M)</t>
  </si>
  <si>
    <t>AI Apps: total revenue ($mm)</t>
  </si>
  <si>
    <t>AI Apps: total tokens (T)</t>
  </si>
  <si>
    <t>▸ xAI (consolidated — 2025 reported only)</t>
  </si>
  <si>
    <t xml:space="preserve">  consolidated via merger; 2025 reporting only — not part of forward ODC/Apps thesis</t>
  </si>
  <si>
    <t>xAI Revenue ($mm)</t>
  </si>
  <si>
    <t>xAI Cost of revenue ($mm)</t>
  </si>
  <si>
    <t>xAI R&amp;D ($mm)</t>
  </si>
  <si>
    <t>xAI SG&amp;A ($mm)</t>
  </si>
  <si>
    <t>xAI Restructuring ($mm)</t>
  </si>
  <si>
    <t>xAI Income from ops ($mm)</t>
  </si>
  <si>
    <t>Memo: xAI D&amp;A ($mm)</t>
  </si>
  <si>
    <t>Memo: xAI SBC ($mm)</t>
  </si>
  <si>
    <t>xAI CapEx ($mm)</t>
  </si>
  <si>
    <t>Lunar - Mars module — carve-out funded program, CapEx &amp; book-value waterfall</t>
  </si>
  <si>
    <t>▸ INPUTS READ FROM ASSUMPTIONS</t>
  </si>
  <si>
    <t>Carve-out % of prior-year Group FCF</t>
  </si>
  <si>
    <t>Carve-out floor ($mm/yr)</t>
  </si>
  <si>
    <t>Carve-out pre-2028 R&amp;D-only override ($mm/yr)</t>
  </si>
  <si>
    <t>Capital lifetime: BV straight-line dep (yrs)</t>
  </si>
  <si>
    <t>Mission ops cost: Lunar (% of Lunar CapEx)</t>
  </si>
  <si>
    <t>Mission ops cost: Mars (% of Mars CapEx)</t>
  </si>
  <si>
    <t>Labour unit base hourly output ($/hr)</t>
  </si>
  <si>
    <t>Labour unit productivity factor</t>
  </si>
  <si>
    <t>Labour unit useful life (yrs)</t>
  </si>
  <si>
    <t>Labour unit cost ($/unit)</t>
  </si>
  <si>
    <t>Hardware value-add ($/kg landed)</t>
  </si>
  <si>
    <t>▸ CARVE-OUT CASH RECEIPT (taken off the top, before the IRR allocation)</t>
  </si>
  <si>
    <t>Memo: (retired: carve-out computed on Cash Allocation Engine R24)</t>
  </si>
  <si>
    <t>Carve-out cash receipt ($mm)</t>
  </si>
  <si>
    <t>▸ PER-SHIP COST BUILD</t>
  </si>
  <si>
    <t>Lunar labour mass per ship (kg)</t>
  </si>
  <si>
    <t>Lunar hardware mass per ship (kg)</t>
  </si>
  <si>
    <t>Lunar labour units per ship (count)</t>
  </si>
  <si>
    <t>Per-ship cost: Lunar ($mm/ship)</t>
  </si>
  <si>
    <t>Mars labour mass per ship (kg)</t>
  </si>
  <si>
    <t>Mars hardware mass per ship (kg)</t>
  </si>
  <si>
    <t>Mars labour units per ship (count)</t>
  </si>
  <si>
    <t>Per-ship cost: Mars ($mm/ship)</t>
  </si>
  <si>
    <t>▸ LUNAR MISSION DEPLOYMENT (first-mission-year gated)</t>
  </si>
  <si>
    <t>Lunar share of carve-out cash (year-row)</t>
  </si>
  <si>
    <t>Lunar carve-out cash this year ($mm)</t>
  </si>
  <si>
    <t>Lunar surface missions deployed (count)</t>
  </si>
  <si>
    <t>Lunar labour mass landed this year (kg)</t>
  </si>
  <si>
    <t>Lunar hardware mass landed this year (kg)</t>
  </si>
  <si>
    <t>Lunar labour units landed this year (count)</t>
  </si>
  <si>
    <t>▸ MARS MISSION DEPLOYMENT (first-mission-year gated)</t>
  </si>
  <si>
    <t>Mars share of carve-out cash (year-row)</t>
  </si>
  <si>
    <t>Mars carve-out cash this year ($mm)</t>
  </si>
  <si>
    <t>Mars surface missions deployed (count)</t>
  </si>
  <si>
    <t>Mars labour mass landed this year (kg)</t>
  </si>
  <si>
    <t>Mars hardware mass landed this year (kg)</t>
  </si>
  <si>
    <t>Mars labour units landed this year (count)</t>
  </si>
  <si>
    <t>▸ BV ENGINE: SoTP / VALUATION TRACK (off-P&amp;L)</t>
  </si>
  <si>
    <t>Labour annual output per unit, base year ($mm/yr)</t>
  </si>
  <si>
    <t>Productivity multiplier (year-row, anchor-offset)</t>
  </si>
  <si>
    <t>Labour annual output per unit this year ($mm/yr)</t>
  </si>
  <si>
    <t>LUNAR labour units retired this year (cohort lookback)</t>
  </si>
  <si>
    <t>MARS labour units retired this year (cohort lookback)</t>
  </si>
  <si>
    <t>LUNAR active labour fleet EoY (running sum, net retire)</t>
  </si>
  <si>
    <t>MARS active labour fleet EoY (running sum, net retire)</t>
  </si>
  <si>
    <t>LUNAR annual production output ($mm/yr)</t>
  </si>
  <si>
    <t>MARS annual production output ($mm/yr)</t>
  </si>
  <si>
    <t>LUNAR annual hardware value-add ($mm/yr)</t>
  </si>
  <si>
    <t>MARS annual hardware value-add ($mm/yr)</t>
  </si>
  <si>
    <t>LUNAR annual BV contribution ($mm/yr)</t>
  </si>
  <si>
    <t>MARS annual BV contribution ($mm/yr)</t>
  </si>
  <si>
    <t>LUNAR economic-output proxy ($mm): MEMO ONLY, NOT used in valuation</t>
  </si>
  <si>
    <t>MARS economic-output proxy ($mm): MEMO ONLY, NOT used in valuation</t>
  </si>
  <si>
    <t>Memo: Total Lunar + Mars Accumulated BV ($mm): SoTP terminal input</t>
  </si>
  <si>
    <t>▸ LUNAR–MARS REPORTED P&amp;L</t>
  </si>
  <si>
    <t>Total Revenue ($mm)</t>
  </si>
  <si>
    <t>Mission ops cost: Lunar ($mm)</t>
  </si>
  <si>
    <t>Mission ops cost: Mars ($mm)</t>
  </si>
  <si>
    <t>Module OpEx ($mm)</t>
  </si>
  <si>
    <t>Module CapEx ($mm)</t>
  </si>
  <si>
    <t>Cumulative Module CapEx ($mm)</t>
  </si>
  <si>
    <t>Lunar Mars Module D&amp;A ($mm)</t>
  </si>
  <si>
    <t>Cumulative Module D&amp;A ($mm)</t>
  </si>
  <si>
    <t>Σ-D&amp;A ≤ Σ-CapEx check (1=OK)</t>
  </si>
  <si>
    <t>Module CapEx (FCF input) ($mm)</t>
  </si>
  <si>
    <t>Module EBITDA Margin %</t>
  </si>
  <si>
    <t>▸ MEMO / DIAGNOSTICS</t>
  </si>
  <si>
    <t>Memo: Lunar surface missions cumulative</t>
  </si>
  <si>
    <t>Memo: Mars surface missions cumulative</t>
  </si>
  <si>
    <t>Memo: Carve-out reserved vs Module CapEx gap ($mm)</t>
  </si>
  <si>
    <t>Memo: Total Lunar+Mars kg landed this year</t>
  </si>
  <si>
    <t>▸ INTERFACE CONTRACT (exposed labels)</t>
  </si>
  <si>
    <t>Revenue ($mm)</t>
  </si>
  <si>
    <t>Kg demand year N+1 (off-the-top reservation)</t>
  </si>
  <si>
    <t>Lunar+Mars Net Book Value ($mm): SoTP terminal (cumCapEx − cum D&amp;A)</t>
  </si>
  <si>
    <t>(retired: NBV reported as total on R115; output-BV memo on R76/R77)</t>
  </si>
  <si>
    <t>▸ VEHICLE BUILD EXPOSURES (added 2026-06-01: resolve VB fleet pulls; canonical uniform labels)</t>
  </si>
  <si>
    <t>Starship launches per year (Lunar/Mars)</t>
  </si>
  <si>
    <t>Vehicle Build: demand-pulled Starship + F9 launch capacity</t>
  </si>
  <si>
    <t>Roll-up / reconciliation tab — modules own launch CapEx. Books no FCF; aggregates module-owned launch CapEx + fleet.</t>
  </si>
  <si>
    <t>VEHICLE PHYSICAL PARAMETERS (F9 + Starship payload + cadence)</t>
  </si>
  <si>
    <t>F9 annual cadence per booster in service</t>
  </si>
  <si>
    <t>Starship BOOSTER cadence per vehicle in service</t>
  </si>
  <si>
    <t>Starship SHIP cadence per vehicle in service</t>
  </si>
  <si>
    <t>PER-LAUNCH AT-COST RATES ($mm): internal transfer pricing source</t>
  </si>
  <si>
    <t>LAUNCHES PER YEAR (F9 glide path + Starship demand-pulled)</t>
  </si>
  <si>
    <t>F9 launches per year</t>
  </si>
  <si>
    <t>Starship launches per year</t>
  </si>
  <si>
    <t>CAPACITY + CapEx + TRANSFER REVENUE</t>
  </si>
  <si>
    <t>Total launch capacity (kg)</t>
  </si>
  <si>
    <t>Vehicle Build CapEx ($mm)</t>
  </si>
  <si>
    <t>Vehicle Build at-cost transfer revenue ($mm) — RETIRED (modules own launch CapEx)</t>
  </si>
  <si>
    <t>▸ LAUNCH CAPEX ROLL-UP (books no FCF)</t>
  </si>
  <si>
    <t>Total fleet launch CapEx ($mm): independent (engine)</t>
  </si>
  <si>
    <t>Memo: Σ module owned launch CapEx (all modules)</t>
  </si>
  <si>
    <t>Memo: fleet CapEx conservation (engine − Σ module; must = 0)</t>
  </si>
  <si>
    <t>FLEET WRIGHT'S COST CURVES + CONFIG LINES</t>
  </si>
  <si>
    <t>Cum Starship experience units (Wright's-Law cost basis, incl. 2024 baseline + F9-inherited seed; NOT the standing fleet)</t>
  </si>
  <si>
    <t>Starship manufacturing cost per stack ($mm)</t>
  </si>
  <si>
    <t>Booster mfg per stack ($mm)</t>
  </si>
  <si>
    <t>Ship mfg per stack ($mm)</t>
  </si>
  <si>
    <t>Starship ops + fuel per launch ($mm)</t>
  </si>
  <si>
    <t>Starship booster refurb per flight ($mm)</t>
  </si>
  <si>
    <t>Starship ship refurb per flight ($mm)</t>
  </si>
  <si>
    <t>Starship amortized mfg per launch, fully reusable ($mm)</t>
  </si>
  <si>
    <t>Starship at-cost rate, fully reusable ($mm/launch)</t>
  </si>
  <si>
    <t>Starship at-cost rate, expendable ship / reusable booster ($mm/launch)</t>
  </si>
  <si>
    <t>Starship at-cost rate, fully expendable ($mm/launch)</t>
  </si>
  <si>
    <t>Starship payload, fully reusable (kg)</t>
  </si>
  <si>
    <t>Starship payload, expendable ship (kg)</t>
  </si>
  <si>
    <t>Starship payload, fully expendable (kg)</t>
  </si>
  <si>
    <t>Starship $/kg, fully reusable</t>
  </si>
  <si>
    <t>Starship $/kg, expendable ship</t>
  </si>
  <si>
    <t>Starship $/kg, fully expendable</t>
  </si>
  <si>
    <t>Starship build cost ($mm/stack)</t>
  </si>
  <si>
    <t>CUM-UPMASS + FLEET ROLL-FORWARD</t>
  </si>
  <si>
    <t>Cum Starship upmass (fleet, end-of-year, kg)</t>
  </si>
  <si>
    <t>Boosters needed (fleet)</t>
  </si>
  <si>
    <t>Boosters built (fleet)</t>
  </si>
  <si>
    <t>Booster fleet BoY (units)</t>
  </si>
  <si>
    <t>Boosters retired (fleet)</t>
  </si>
  <si>
    <t>Booster fleet EoY (units)</t>
  </si>
  <si>
    <t>Memo: launch cadence (Wright's Law) is driven by total fleet cumulative up-mass (row 76 = Σ row 32 Starship launches × payload) — all flights, internal Starlink + commercial, not customer-launch flights only. Do not repoint.</t>
  </si>
  <si>
    <t>F9 boosters built per year</t>
  </si>
  <si>
    <t>F9 boosters retired per year</t>
  </si>
  <si>
    <t>F9 fleet BoY (boosters)</t>
  </si>
  <si>
    <t>F9 fleet EoY (boosters)</t>
  </si>
  <si>
    <t>F9 launch capacity (launches/yr)</t>
  </si>
  <si>
    <t>TOTAL KG DEMAND</t>
  </si>
  <si>
    <t>Total launch kg demand year N+1 (fleet)</t>
  </si>
  <si>
    <t>Total launch capacity: start-of-year stock (kg)</t>
  </si>
  <si>
    <t>F9 INTERNAL-VS-CUSTOMER RECONCILIATION (memo)</t>
  </si>
  <si>
    <t>Memo: F9 internal launches (Starlink-driven)</t>
  </si>
  <si>
    <t>Memo: F9 customer launches (Customer Launch)</t>
  </si>
  <si>
    <t>Memo: Total F9 launches (internal + customer)</t>
  </si>
  <si>
    <t>Memo: F9 launch capacity (launches/yr)</t>
  </si>
  <si>
    <t>Memo: Mass to orbit: F9 (kg)</t>
  </si>
  <si>
    <t>Memo: Mass to orbit: Starship (kg)</t>
  </si>
  <si>
    <t>Memo: Total mass to orbit (mt)</t>
  </si>
  <si>
    <t>Memo: Vehicle Build FCF ($mm): must = 0 by construction</t>
  </si>
  <si>
    <t>Memo: F9 internal (model) vs S-1 core Starlink + Starshield</t>
  </si>
  <si>
    <t>Memo: F9 customer (model) vs S-1 customer − Starshield</t>
  </si>
  <si>
    <t>Memo: total F9 (model) vs S-1 total 171 (132 internal + 38.6 customer)</t>
  </si>
  <si>
    <t>SHIP FLEET ROLL-FORWARD (booster / ship split)</t>
  </si>
  <si>
    <t>Ships needed (fleet)</t>
  </si>
  <si>
    <t>Ships built (fleet)</t>
  </si>
  <si>
    <t>Ship fleet BoY (units)</t>
  </si>
  <si>
    <t>Ships retired (fleet)</t>
  </si>
  <si>
    <t>Ship fleet EoY (units)</t>
  </si>
  <si>
    <t>STARSHIP BUILD CapEx SPLIT</t>
  </si>
  <si>
    <t>Booster build CapEx ($mm)</t>
  </si>
  <si>
    <t>Ship build CapEx ($mm)</t>
  </si>
  <si>
    <t>Total Starship build CapEx ($mm)</t>
  </si>
  <si>
    <t>Memo: launch/vehicle facility CapEx (from Facilities Build)</t>
  </si>
  <si>
    <t>Memo: total launch + facility CapEx</t>
  </si>
  <si>
    <t>FLEET PRODUCTION ↔ STANDING-FLEET RECONCILIATION</t>
  </si>
  <si>
    <t>Cum Starship ships built (cumulative, from 0)</t>
  </si>
  <si>
    <t>Cum Starship ships retired (cumulative, from 0)</t>
  </si>
  <si>
    <t>Cum Starship boosters built (cumulative, from 0)</t>
  </si>
  <si>
    <t>Cum Starship boosters retired (cumulative, from 0)</t>
  </si>
  <si>
    <t>Memo: ship fleet reconciliation ((cum built − cum retired) − Ship fleet EoY; must = 0)</t>
  </si>
  <si>
    <t>Memo: booster fleet reconciliation ((cum built − cum retired) − Booster fleet EoY; must = 0)</t>
  </si>
  <si>
    <t>▸ DEMAND-DRIVEN FLEET SIZING (forward-demand pull, no circular reference)</t>
  </si>
  <si>
    <t>Total desired upmass kg (fleet, current yr)  ◄ Cash Allocation Engine</t>
  </si>
  <si>
    <t>Memo: F9 available capacity (kg)</t>
  </si>
  <si>
    <t>Desired Starship launches (current yr)</t>
  </si>
  <si>
    <t>Gigabay installed Starship build capacity (ships/yr)  ◄ Assumptions</t>
  </si>
  <si>
    <t>Facilities Build: capacity-step facility CapEx engine</t>
  </si>
  <si>
    <t>7 buckets: sat-mfg (Redmond), Starship-vehicle (Gigabay @100/yr), pads, engines, terminals (toggle-OFF), ground stations, HQ→Group. Exposes CapEx + D&amp;A totals by label.</t>
  </si>
  <si>
    <t>▸ SATELLITE-MFG FACILITY ENGINE (Redmond)</t>
  </si>
  <si>
    <t>Sats built: Starlink (sats/yr)</t>
  </si>
  <si>
    <t>Installed sat-factory capacity (sats/yr): EoY ratchet, ≥ current build</t>
  </si>
  <si>
    <t>Sat-factory capacity ratio</t>
  </si>
  <si>
    <t>New sat-factory CapEx this year ($mm)</t>
  </si>
  <si>
    <t>Ground stations built this year</t>
  </si>
  <si>
    <t>Ground station CapEx this year ($mm)</t>
  </si>
  <si>
    <t>Sat-mfg facility CapEx total ($mm)  ◄ Starlink</t>
  </si>
  <si>
    <t>Sat-mfg facility D&amp;A ($mm)  ◄ Starlink</t>
  </si>
  <si>
    <t>▸ STARSHIP PRODUCTION FACILITY (Starfactory/Gigabay): capacity + scaling</t>
  </si>
  <si>
    <t>Ships built this year (= Vehicle Build Ships built (fleet), unified)</t>
  </si>
  <si>
    <t>Installed Starship build capacity (ships/yr): rate-limited ramp</t>
  </si>
  <si>
    <t>New Starship build-capacity added (ships/yr)</t>
  </si>
  <si>
    <t>New Gigabay CapEx this year ($mm)</t>
  </si>
  <si>
    <t>Engines demanded this year (= ships × engines/vehicle)</t>
  </si>
  <si>
    <t>New engine-facility CapEx this year ($mm)</t>
  </si>
  <si>
    <t>Launch pads needed (= Starship launches ÷ launches/pad)</t>
  </si>
  <si>
    <t>New launch-pad CapEx this year ($mm)</t>
  </si>
  <si>
    <t>Launch/vehicle facility CapEx total ($mm)  ◄ launch/vehicle</t>
  </si>
  <si>
    <t>Launch/vehicle facility D&amp;A total ($mm)  ◄ launch/vehicle</t>
  </si>
  <si>
    <t>Installed engine-facility capacity (engines/yr): EoY ratchet, ≥ current demand, memo</t>
  </si>
  <si>
    <t>Installed launch pads (Starship): cumulative, ≥ base, memo</t>
  </si>
  <si>
    <t>▸ TERMINALS (Bastrop): toggle-gated</t>
  </si>
  <si>
    <t>Terminal kits demanded this year (placeholder: Gbps-growth scaled)</t>
  </si>
  <si>
    <t>New terminal-factory CapEx this year ($mm) × toggle</t>
  </si>
  <si>
    <t>Terminal facility D&amp;A ($mm) × toggle  ◄ Starlink</t>
  </si>
  <si>
    <t>Installed terminal-factory capacity (kits/yr): cumulative, memo</t>
  </si>
  <si>
    <t>▸ HQ FACILITY (CORPORATE → GROUP)</t>
  </si>
  <si>
    <t>Group revenue base ($mm): placeholder (Starlink rev; swap to Group total in 4.5)</t>
  </si>
  <si>
    <t>HQ facility CapEx ($mm)  ◄ Group P&amp;L</t>
  </si>
  <si>
    <t>HQ facility D&amp;A ($mm)  ◄ Group P&amp;L</t>
  </si>
  <si>
    <t>▸ CONSERVATION + CALIBRATION</t>
  </si>
  <si>
    <t>Total facility CapEx ($mm) = sat-mfg + launch/vehicle + terminal + HQ</t>
  </si>
  <si>
    <t>Conservation: max bucket (cum D&amp;A − cum CapEx): must be ≤ 0</t>
  </si>
  <si>
    <t>Memo: satellite-manufacturing CapEx (2025 ≈ $200M reference)</t>
  </si>
  <si>
    <t>Memo: launch/vehicle CapEx (2025 ≈ $593M reference; low today: Starship ships = 0)</t>
  </si>
  <si>
    <t>Memo: HQ CapEx (2025 ≈ $53M reference)</t>
  </si>
  <si>
    <t>Top-down sanity: Total facility CapEx vs S-1 2025 SpaceX capex $8,000M (must be a fraction)</t>
  </si>
  <si>
    <t>Top-down sanity ex-chip-fab: (Total − chip-fab) vs S-1 2025 capex</t>
  </si>
  <si>
    <t>▸ STARFACTORY: initial production facility (base capacity, one-time)</t>
  </si>
  <si>
    <t>Starfactory CapEx this year ($mm)</t>
  </si>
  <si>
    <t>Starfactory D&amp;A ($mm)</t>
  </si>
  <si>
    <t>Boosters built this year (= Vehicle Build Boosters built (fleet))</t>
  </si>
  <si>
    <t>Total Starship airframes built (booster + ship)</t>
  </si>
  <si>
    <t>▸ CHIP-FAB FACILITY ENGINE (Terafab)</t>
  </si>
  <si>
    <t>Chips demanded this year (count)  ◄ AI-Compute</t>
  </si>
  <si>
    <t>Required fab capacity (wspm)</t>
  </si>
  <si>
    <t>Installed fab capacity (wspm): EoY ratchet / phase step</t>
  </si>
  <si>
    <t>New fab capacity added (wspm)</t>
  </si>
  <si>
    <t>Fab slug cost (online-year, $mm)</t>
  </si>
  <si>
    <t>New fab CapEx this year ($mm): 3yr window spread</t>
  </si>
  <si>
    <t>Chip-fab facility CapEx total ($mm)  ◄ AI-Compute</t>
  </si>
  <si>
    <t>Chip-fab facility D&amp;A total ($mm)  ◄ AI-Compute</t>
  </si>
  <si>
    <t>Conservation: fab chips − DC chips×toggle; must = 0</t>
  </si>
  <si>
    <t>Memo: DC chips deployed (ODC R55 + Terr R94)</t>
  </si>
  <si>
    <t>Memo: full JV fab CapEx (100%, pre-share) ($mm)</t>
  </si>
  <si>
    <t>Memo: Tesla-funded fab CapEx ((1−share)) ($mm)</t>
  </si>
  <si>
    <t>▸ MISSING-CAPEX BUCKETS (prior-year-driven; 2025 = current-year anchor)</t>
  </si>
  <si>
    <t>Corporate, IT &amp; HQ CapEx ($mm)</t>
  </si>
  <si>
    <t>Launch-infra capacity installed (launches/yr)</t>
  </si>
  <si>
    <t>Launch-site infrastructure CapEx ($mm)</t>
  </si>
  <si>
    <t>Starlink ground-network CapEx ($mm)</t>
  </si>
  <si>
    <t>RETIRED (orbital-data-centre ground stations installed)</t>
  </si>
  <si>
    <t>RETIRED (orbital-data-centre ground stations CapEx)</t>
  </si>
  <si>
    <t>Memo: Σ new infrastructure CapEx ex-terminal ($mm)</t>
  </si>
  <si>
    <t>Corporate &amp; infrastructure CapEx total ($mm)</t>
  </si>
  <si>
    <t>Corporate &amp; infrastructure D&amp;A total ($mm)</t>
  </si>
  <si>
    <t>ODC sats built: driver (sats/yr)</t>
  </si>
  <si>
    <t>ODC sat-factory capacity installed (sats/yr): EoY ratchet</t>
  </si>
  <si>
    <t>ODC sat-mfg facility CapEx ($mm)  ◄ infra/Group</t>
  </si>
  <si>
    <t>GROUP P&amp;L: segment consolidation</t>
  </si>
  <si>
    <t>▸ REVENUE ($mm)</t>
  </si>
  <si>
    <t>Revenue: Starlink</t>
  </si>
  <si>
    <t>Revenue: Customer Launch</t>
  </si>
  <si>
    <t>Revenue: AI - Compute</t>
  </si>
  <si>
    <t>Revenue: Lunar - Mars</t>
  </si>
  <si>
    <t>less inter-module eliminations</t>
  </si>
  <si>
    <t>Group Revenue ($mm)</t>
  </si>
  <si>
    <t>▸ COGS ($mm)</t>
  </si>
  <si>
    <t>COGS: Starlink</t>
  </si>
  <si>
    <t>COGS: Customer Launch</t>
  </si>
  <si>
    <t>COGS: AI - Compute</t>
  </si>
  <si>
    <t>COGS: Lunar - Mars</t>
  </si>
  <si>
    <t>Group COGS ($mm)</t>
  </si>
  <si>
    <t>▸ GROSS PROFIT ($mm)</t>
  </si>
  <si>
    <t>Gross Profit: Starlink</t>
  </si>
  <si>
    <t>Gross Profit: Customer Launch</t>
  </si>
  <si>
    <t>Gross Profit: AI - Compute</t>
  </si>
  <si>
    <t>Gross Profit: Lunar - Mars</t>
  </si>
  <si>
    <t>Group Gross Profit ($mm)</t>
  </si>
  <si>
    <t>▸ MODULE OpEx: direct ($mm)</t>
  </si>
  <si>
    <t>Module OpEx: Starlink</t>
  </si>
  <si>
    <t>Module OpEx: Customer Launch</t>
  </si>
  <si>
    <t>Module OpEx: AI - Compute</t>
  </si>
  <si>
    <t>Module OpEx: Lunar - Mars</t>
  </si>
  <si>
    <t>Total Module OpEx ($mm)</t>
  </si>
  <si>
    <t>▸ R&amp;D ($mm)</t>
  </si>
  <si>
    <t>Memo: Attributed R&amp;D, Starlink (now in Module OpEx; excl. from Total R&amp;D)</t>
  </si>
  <si>
    <t>Attributed R&amp;D: Customer Launch (sustaining floor + Starship launch-share; platform R&amp;D net in Shared)</t>
  </si>
  <si>
    <t>Attributed R&amp;D: AI - Compute</t>
  </si>
  <si>
    <t>Attributed R&amp;D: Lunar - Mars</t>
  </si>
  <si>
    <t>Shared / unattributable R&amp;D: corporate (Starship platform R&amp;D, net of CL carve-out)</t>
  </si>
  <si>
    <t>Total R&amp;D ($mm)</t>
  </si>
  <si>
    <t>▸ CORPORATE OpEx ($mm)</t>
  </si>
  <si>
    <t>Corporate SG&amp;A</t>
  </si>
  <si>
    <t>Spectrum licence fee</t>
  </si>
  <si>
    <t>Total corporate OpEx ($mm)</t>
  </si>
  <si>
    <t>▸ EBITDA: by segment ($mm)</t>
  </si>
  <si>
    <t>EBITDA: Starlink</t>
  </si>
  <si>
    <t>EBITDA: Customer Launch</t>
  </si>
  <si>
    <t>EBITDA: AI - Compute</t>
  </si>
  <si>
    <t>EBITDA: Lunar - Mars</t>
  </si>
  <si>
    <t>EBITDA: Corporate</t>
  </si>
  <si>
    <t>Group EBITDA ($mm)</t>
  </si>
  <si>
    <t>▸ D&amp;A ($mm)</t>
  </si>
  <si>
    <t>D&amp;A: Starlink</t>
  </si>
  <si>
    <t>D&amp;A: Customer Launch</t>
  </si>
  <si>
    <t>D&amp;A: AI - Compute</t>
  </si>
  <si>
    <t>D&amp;A: Lunar - Mars</t>
  </si>
  <si>
    <t>D&amp;A: Corporate / facilities</t>
  </si>
  <si>
    <t>Group D&amp;A ($mm)</t>
  </si>
  <si>
    <t>▸ EBIT: by segment ($mm)</t>
  </si>
  <si>
    <t>EBIT: Starlink</t>
  </si>
  <si>
    <t>EBIT: Customer Launch</t>
  </si>
  <si>
    <t>EBIT: AI - Compute</t>
  </si>
  <si>
    <t>EBIT: Lunar - Mars</t>
  </si>
  <si>
    <t>EBIT: Corporate</t>
  </si>
  <si>
    <t>Group EBIT ($mm)</t>
  </si>
  <si>
    <t>▸ TAXES &amp; NOPAT ($mm)</t>
  </si>
  <si>
    <t>Group Taxes ($mm)</t>
  </si>
  <si>
    <t>NOPAT ($mm)</t>
  </si>
  <si>
    <t>▸ CAPEX ($mm)</t>
  </si>
  <si>
    <t>CapEx: Starlink</t>
  </si>
  <si>
    <t>CapEx: Customer Launch</t>
  </si>
  <si>
    <t>CapEx: AI - Compute</t>
  </si>
  <si>
    <t>CapEx: Lunar - Mars</t>
  </si>
  <si>
    <t>CapEx: Corporate</t>
  </si>
  <si>
    <t>Group CapEx: accrual ($mm)</t>
  </si>
  <si>
    <t>▸ FREE CASH FLOW: by segment ($mm)</t>
  </si>
  <si>
    <t>FCF: Starlink</t>
  </si>
  <si>
    <t>FCF: Customer Launch</t>
  </si>
  <si>
    <t>FCF: AI - Compute</t>
  </si>
  <si>
    <t>FCF: Lunar - Mars</t>
  </si>
  <si>
    <t>FCF: less corporate (SG&amp;A+shared R&amp;D+spectrum+taxes+corp CapEx)</t>
  </si>
  <si>
    <t>Group FCF: accrual walk ($mm)</t>
  </si>
  <si>
    <t>Memo: AI placeholder strategic CapEx ($mm): engine, TEMP</t>
  </si>
  <si>
    <t>Memo: Engine cash Group FCF ($mm)</t>
  </si>
  <si>
    <t>Group FCF: normalized walk (NOPAT+D&amp;A−CapEx) ($mm)</t>
  </si>
  <si>
    <t>▸ INTER-MODULE ELIMINATIONS (Rule 21: $0 in current build)</t>
  </si>
  <si>
    <t>Internal launch services: RETIRED by 4.5 inversion</t>
  </si>
  <si>
    <t>Internal bandwidth eliminated, ODC→Starlink</t>
  </si>
  <si>
    <t>Internal compute eliminated, ODC→AI</t>
  </si>
  <si>
    <t>Total inter-module eliminations ($mm)</t>
  </si>
  <si>
    <t>▸ SoTP TERMINAL MEMO</t>
  </si>
  <si>
    <t>Lunar+Mars Net Book Value ($mm)</t>
  </si>
  <si>
    <t>(retired)</t>
  </si>
  <si>
    <t>▸ DIAGNOSTIC: 2025 vs Q4'25 anchors (narrow-gate, non-halt)</t>
  </si>
  <si>
    <t>Memo: Reportable EBITDA 2025 variance vs S-1 $4,112M</t>
  </si>
  <si>
    <t>Memo: Group D&amp;A 2025 variance vs S-1 $6,701M</t>
  </si>
  <si>
    <t>Memo: Income from ops 2025 variance vs S-1 $(2,589)M</t>
  </si>
  <si>
    <t>Memo: AI EBITDA tie: Group EBITDA-AI (R54) − module ('AI - Compute' R169+R168); must = 0</t>
  </si>
  <si>
    <t>▸ 2025 S-1 RECONCILIATION (FY2025 actuals — ties to Total Reportable $18,674M)</t>
  </si>
  <si>
    <t>Line ($mm)</t>
  </si>
  <si>
    <t>Space</t>
  </si>
  <si>
    <t>Connectivity</t>
  </si>
  <si>
    <t>AI (xAI)</t>
  </si>
  <si>
    <t>Total</t>
  </si>
  <si>
    <t>Model 2025</t>
  </si>
  <si>
    <t>Δ (model−S-1)</t>
  </si>
  <si>
    <t>Cost of revenue</t>
  </si>
  <si>
    <t>Research and development</t>
  </si>
  <si>
    <t>Selling, general and administrative</t>
  </si>
  <si>
    <t>Restructuring</t>
  </si>
  <si>
    <t>Impairment</t>
  </si>
  <si>
    <t>Total costs and expenses</t>
  </si>
  <si>
    <t>Income (loss) from operations</t>
  </si>
  <si>
    <t>Supplemental (memo):</t>
  </si>
  <si>
    <t>Depreciation &amp; amortization</t>
  </si>
  <si>
    <t>Stock-based compensation</t>
  </si>
  <si>
    <t>Capital expenditures</t>
  </si>
  <si>
    <t>▸ 2025 S-1 REPORTABLE BRIDGE (col D memo — feeds 2025 EBIT tie)</t>
  </si>
  <si>
    <t>Memo: Restructuring (xAI, 2025 reported only)</t>
  </si>
  <si>
    <t>Memo: Impairment (Space, 2025 reported only)</t>
  </si>
  <si>
    <t>Memo: SBC total (supplemental — already in EBIT, not re-subtracted)</t>
  </si>
  <si>
    <t>Memo: Reportable Group EBITDA (S-1, 3-segment)</t>
  </si>
  <si>
    <t>Segment P&amp;L — full Group waterfall with revenue broken to module sub-segments (read-only presentation; ties to Group P&amp;L)</t>
  </si>
  <si>
    <t xml:space="preserve"> </t>
  </si>
  <si>
    <t>▸ REVENUE — SEGMENT SUB-LINES ($mm)</t>
  </si>
  <si>
    <t>Revenue: Starlink — Broadband (BB)</t>
  </si>
  <si>
    <t>Revenue: Starlink — Direct-to-Cell (DTC)</t>
  </si>
  <si>
    <t>Revenue: Starlink — Starshield</t>
  </si>
  <si>
    <t>Revenue: Starlink — Hardware / kit</t>
  </si>
  <si>
    <t>Subtotal: Starlink Revenue ($mm)</t>
  </si>
  <si>
    <t>Revenue: Customer Launch — Launch Services</t>
  </si>
  <si>
    <t>Revenue: Customer Launch — Launch &amp; Development</t>
  </si>
  <si>
    <t>Subtotal: Customer Launch Revenue ($mm)</t>
  </si>
  <si>
    <t>Revenue: AI - Compute — Orbital DC (external)</t>
  </si>
  <si>
    <t>Revenue: AI - Compute — Terrestrial DC (external)</t>
  </si>
  <si>
    <t>Revenue: AI - Compute — AI Apps (external)</t>
  </si>
  <si>
    <t>Subtotal: AI - Compute Revenue ($mm)</t>
  </si>
  <si>
    <t>Subtotal: Lunar - Mars Revenue ($mm)</t>
  </si>
  <si>
    <t>Memo: Attributed R&amp;D, Starlink (in Module OpEx; excl. Total R&amp;D)</t>
  </si>
  <si>
    <t>Attributed R&amp;D: Customer Launch</t>
  </si>
  <si>
    <t>Shared / unattributable R&amp;D: corporate</t>
  </si>
  <si>
    <t>FCF: less corporate</t>
  </si>
  <si>
    <t>▸ TIE-OUT CHECKS (must = 0 within $1mm)</t>
  </si>
  <si>
    <t>Memo: Starlink sub-lines − module Revenue</t>
  </si>
  <si>
    <t>Memo: Customer Launch sub-lines − module Revenue</t>
  </si>
  <si>
    <t>Memo: AI - Compute sub-lines − module Revenue</t>
  </si>
  <si>
    <t>Memo: Lunar - Mars sub-line − module Revenue</t>
  </si>
  <si>
    <t>Memo: Group Revenue − Group P&amp;L Group Revenue</t>
  </si>
  <si>
    <t>▸ SUB-SEGMENT MIX — % OF OWN SEGMENT REVENUE</t>
  </si>
  <si>
    <t>Starlink — Broadband (BB)</t>
  </si>
  <si>
    <t>Starlink — Direct-to-Cell (DTC)</t>
  </si>
  <si>
    <t>Starlink — Starshield</t>
  </si>
  <si>
    <t>Starlink — Hardware / kit</t>
  </si>
  <si>
    <t>Starlink — total</t>
  </si>
  <si>
    <t>Customer Launch — Launch Services</t>
  </si>
  <si>
    <t>Customer Launch — Launch &amp; Development</t>
  </si>
  <si>
    <t>Customer Launch — total</t>
  </si>
  <si>
    <t>AI - Compute — Orbital DC (external)</t>
  </si>
  <si>
    <t>AI - Compute — Terrestrial DC (external)</t>
  </si>
  <si>
    <t>AI - Compute — AI Apps (external)</t>
  </si>
  <si>
    <t>AI - Compute — total</t>
  </si>
  <si>
    <t>▸ SEGMENT MIX — % OF GROUP REVENUE</t>
  </si>
  <si>
    <t>Starlink</t>
  </si>
  <si>
    <t>Customer Launch</t>
  </si>
  <si>
    <t>AI - Compute</t>
  </si>
  <si>
    <t>Lunar - Mars</t>
  </si>
  <si>
    <t>Group Revenue — total</t>
  </si>
  <si>
    <t>CONSERVATION: identity checks</t>
  </si>
  <si>
    <t>Revenue tie</t>
  </si>
  <si>
    <t>n/a (2040 horizon edge)</t>
  </si>
  <si>
    <t>EBITDA foot</t>
  </si>
  <si>
    <t>D&amp;A + Lunar-Mars book-value guard</t>
  </si>
  <si>
    <t>EBIT consistency</t>
  </si>
  <si>
    <t>Accrual↔cash FCF reconciliation</t>
  </si>
  <si>
    <t>FCF foot vs NOPAT+D&amp;A−CapEx walk</t>
  </si>
  <si>
    <t>Cash-flow identity</t>
  </si>
  <si>
    <t>Elimination conservation (Rule 21)</t>
  </si>
  <si>
    <t>ALL OK (R108-equivalent)</t>
  </si>
  <si>
    <t>Memo: Σ Group FCF cumulative (Rule 23 yr-chained)</t>
  </si>
  <si>
    <t>Memo: normalization delta (accrual walk − normalized walk) ($mm)</t>
  </si>
  <si>
    <t>Memo: 2025 (col D) conservation FAILs are EXPECTED — netted out against the SpaceX S-1 stamp.</t>
  </si>
  <si>
    <t>2025 is stamped to the S-1 reported basis (3-segment Space/Conn/AI; D&amp;A inside Cost of revenue; xAI consolidated for AI). The model's native conservation identities assume the 4-segment computed basis (Lunar incl.; D&amp;A in the EBITDA→EBIT bridge), so checks D8–D11 net against the stamp and read FAIL for 2025 only. 2026+ recompute from drivers and remain OK. Basis difference, not corruption.</t>
  </si>
  <si>
    <t>SoTP / VALUATION: dual-track terminal · single WACC · EV only</t>
  </si>
  <si>
    <t>As-of valuation dates →</t>
  </si>
  <si>
    <t>WACC (Group)</t>
  </si>
  <si>
    <t>Terminal growth g</t>
  </si>
  <si>
    <t>Terminal FCF avg window (yrs, =5)</t>
  </si>
  <si>
    <t>Lunar/Mars BV multiplier</t>
  </si>
  <si>
    <t>▸ MODULE FCF: DCF inputs (direct from Group P&amp;L, $mm)</t>
  </si>
  <si>
    <t>FCF: Corporate (cost centre)</t>
  </si>
  <si>
    <t>FCF: Group DCF subtotal (SL+CL+AI+Corp; excl L/M)</t>
  </si>
  <si>
    <t>▸ DISCOUNT FACTORS: 1/(1+WACC)^(year−asof); 0 before asof</t>
  </si>
  <si>
    <t>DF: as-of 2026</t>
  </si>
  <si>
    <t>DF: as-of 2030</t>
  </si>
  <si>
    <t>DF: as-of 2035</t>
  </si>
  <si>
    <t>DF: as-of 2040</t>
  </si>
  <si>
    <t>▸ TERMINAL VALUE @2040 (both methods, $mm)</t>
  </si>
  <si>
    <t>(by module)</t>
  </si>
  <si>
    <t>NormTermFCF(5y)</t>
  </si>
  <si>
    <t>Gordon TV</t>
  </si>
  <si>
    <t>Exit mult</t>
  </si>
  <si>
    <t>Exit-mult TV</t>
  </si>
  <si>
    <t>EV/EBITDA mult</t>
  </si>
  <si>
    <t>EBITDA @2040 ($mm)</t>
  </si>
  <si>
    <t>EBITDA-mult TV</t>
  </si>
  <si>
    <t>Corporate</t>
  </si>
  <si>
    <t>n/a (cost centre)</t>
  </si>
  <si>
    <t>n/a</t>
  </si>
  <si>
    <t>▸ MODULE SoTP: GORDON (perpetuity-growth) terminal, $mm</t>
  </si>
  <si>
    <t>(cols C:F = as-of)</t>
  </si>
  <si>
    <t>Lunar / Mars (BV×mult)</t>
  </si>
  <si>
    <t>GROUP EV: Gordon ($mm)</t>
  </si>
  <si>
    <t>GROUP EV: Gordon ($B)</t>
  </si>
  <si>
    <t>▸ MODULE SoTP: EXIT-MULTIPLE terminal, $mm</t>
  </si>
  <si>
    <t>GROUP EV: Exit-mult ($mm)</t>
  </si>
  <si>
    <t>GROUP EV: Exit-mult ($B)</t>
  </si>
  <si>
    <t>▸ DUAL-TRACK SUMMARY: Group EV by as-of ($B)</t>
  </si>
  <si>
    <t>Group EV: Gordon</t>
  </si>
  <si>
    <t>Group EV: Exit-multiple</t>
  </si>
  <si>
    <t>Spread (Exit − Gordon)</t>
  </si>
  <si>
    <t>Spread %</t>
  </si>
  <si>
    <t>▸ LUNAR/MARS BRIDGE &amp; GROUP-FCF RECON (memo, as-of 2026)</t>
  </si>
  <si>
    <t>Memo: explicit-DCF of Group FCF incl L/M (no TV)</t>
  </si>
  <si>
    <t>Memo: explicit-DCF of SoTP modules (SL+CL+AI+Corp)</t>
  </si>
  <si>
    <t>Memo: PV of L/M FCF drain embedded in Group FCF</t>
  </si>
  <si>
    <t>Memo: L/M SoTP (BV-based, as-of 2026)</t>
  </si>
  <si>
    <t>Memo: L/M strategic premium over cash-drain PV</t>
  </si>
  <si>
    <t>▸ SENSITIVITY: Group EV as-of 2026, GORDON ($B)</t>
  </si>
  <si>
    <t>Helper: Σ NormTermFCF (SL+CL+AI+Corp) $mm</t>
  </si>
  <si>
    <t>Helper: L/M BV×mult @2040 (undiscounted) $mm</t>
  </si>
  <si>
    <r>
      <rPr>
        <sz val="10"/>
        <color theme="1"/>
        <rFont val="Arial"/>
        <family val="2"/>
        <charset val="1"/>
      </rPr>
      <t xml:space="preserve">g </t>
    </r>
    <r>
      <rPr>
        <sz val="10"/>
        <color theme="1"/>
        <rFont val="DejaVu Sans"/>
        <family val="2"/>
      </rPr>
      <t xml:space="preserve">＼ </t>
    </r>
    <r>
      <rPr>
        <sz val="10"/>
        <color theme="1"/>
        <rFont val="Arial"/>
        <family val="2"/>
        <charset val="1"/>
      </rPr>
      <t>WACC →</t>
    </r>
  </si>
  <si>
    <t>▸ CHECKS (Rule 4/5/15)</t>
  </si>
  <si>
    <t>WACC&gt;g (1=OK; HALT if 0)</t>
  </si>
  <si>
    <t>DF as-of2026 @2026 = 1.000</t>
  </si>
  <si>
    <t>DF as-of2040 @2040 = 1.000</t>
  </si>
  <si>
    <t>Explicit-PV tie (subtotal vs Σ modules) = 0</t>
  </si>
  <si>
    <t>Flag: rev-module SoTP&lt;0, as-of2026 Gordon (cnt, expect 0)</t>
  </si>
  <si>
    <t>Flag: rev-module SoTP&lt;0, as-of2026 Exit (cnt, expect 0)</t>
  </si>
  <si>
    <t>Memo: Group EV as-of2026 Gordon $B</t>
  </si>
  <si>
    <t>Memo: Group EV as-of2026 Exit $B</t>
  </si>
  <si>
    <t>▸ MODULE SoTP: EBITDA-MULTIPLE terminal, $mm</t>
  </si>
  <si>
    <t>GROUP EV: EBITDA-mult ($mm)</t>
  </si>
  <si>
    <t>GROUP EV: EBITDA-mult ($B)</t>
  </si>
  <si>
    <t>▸ TRI-TRACK SUMMARY: Group EV by as-of ($B)</t>
  </si>
  <si>
    <t>Group EV: Gordon (perpetuity-growth)</t>
  </si>
  <si>
    <t>Group EV: Exit-multiple (revenue)</t>
  </si>
  <si>
    <t>Group EV: EBITDA-multiple</t>
  </si>
  <si>
    <t>Range (max − min)</t>
  </si>
  <si>
    <t>Midpoint (mean of 3)</t>
  </si>
  <si>
    <t>Launch Dashboard — actual launches flown, by module, per year</t>
  </si>
  <si>
    <t>Read-only. Direct pulls from module tabs. Each module row is the realized (capped) launch count; total = their sum.</t>
  </si>
  <si>
    <t>▸ STARSHIP LAUNCHES FLOWN (count/yr)</t>
  </si>
  <si>
    <t>Starlink (internal)</t>
  </si>
  <si>
    <t>Customer Launch (commercial)</t>
  </si>
  <si>
    <t>AI-Compute / ODC</t>
  </si>
  <si>
    <t>Lunar / Mars</t>
  </si>
  <si>
    <t>Total Starship launches</t>
  </si>
  <si>
    <t>▸ MODULE SHARE OF STARSHIP LAUNCHES (%)</t>
  </si>
  <si>
    <t>▸ F9 LAUNCHES FLOWN (count/yr) — legacy, winding down</t>
  </si>
  <si>
    <t>Starlink (internal) F9</t>
  </si>
  <si>
    <t>Customer Launch F9</t>
  </si>
  <si>
    <t>Total F9 launches</t>
  </si>
  <si>
    <t>▸ TOTAL LAUNCHES, ALL VEHICLES (count/yr)</t>
  </si>
  <si>
    <t>Starship</t>
  </si>
  <si>
    <t>F9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</si>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</sst>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0.0%"/>
    <numFmt numFmtId="165" formatCode="#,##0.00;\(#,##0.00\);\-"/>
    <numFmt numFmtId="166" formatCode="#,##0;\(#,##0\);\-"/>
    <numFmt numFmtId="167" formatCode="#,##0.0;\(#,##0.0\);\-"/>
    <numFmt numFmtId="168" formatCode="0.000%"/>
    <numFmt numFmtId="169" formatCode="0.000"/>
    <numFmt numFmtId="170" formatCode="0.0"/>
    <numFmt numFmtId="171" formatCode="\$#,##0;&quot;($&quot;#,##0\);\-"/>
    <numFmt numFmtId="172" formatCode="0.0\x"/>
    <numFmt numFmtId="173" formatCode="\$#,##0.00;&quot;($&quot;#,##0.00\);\-"/>
    <numFmt numFmtId="174" formatCode="0.0000"/>
    <numFmt numFmtId="175" formatCode="#,##0.0"/>
    <numFmt numFmtId="176" formatCode="#,##0.000"/>
    <numFmt numFmtId="177" formatCode="0.0%;\(0.0%\);\-"/>
    <numFmt numFmtId="178" formatCode="0.000000"/>
    <numFmt numFmtId="179" formatCode="0.00\x"/>
    <numFmt numFmtId="180" formatCode="0.000000000%"/>
    <numFmt numFmtId="181" formatCode="#,##0.000;\(#,##0.000\);\-"/>
    <numFmt numFmtId="182" formatCode="#,##0.000000;\(#,##0.000000\);\-"/>
    <numFmt numFmtId="183" formatCode="\$#,##0.0;&quot;($&quot;#,##0.0\);\-"/>
    <numFmt numFmtId="184" formatCode="_-* #,##0_-;\(#,##0\)_-;_-* \-_-;_-@"/>
    <numFmt numFmtId="185" formatCode="#,##0;\(#,##0\)"/>
  </numFmts>
  <fonts count="37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b/>
      <sz val="10"/>
      <color rgb="FF40404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808080"/>
      <name val="Arial"/>
      <family val="2"/>
      <charset val="1"/>
    </font>
    <font>
      <b/>
      <sz val="10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FFFFFF"/>
      <name val="Arial"/>
      <family val="2"/>
      <charset val="1"/>
    </font>
    <font>
      <sz val="10"/>
      <color rgb="FF000000"/>
      <name val="Tahoma"/>
      <family val="2"/>
      <charset val="1"/>
    </font>
    <font>
      <sz val="12"/>
      <color rgb="FF000000"/>
      <name val="Aptos Narrow"/>
      <family val="2"/>
      <charset val="1"/>
    </font>
    <font>
      <b/>
      <sz val="10"/>
      <color rgb="FFFFFFFF"/>
      <name val="Arial"/>
      <family val="2"/>
      <charset val="1"/>
    </font>
    <font>
      <sz val="8"/>
      <color rgb="FF404040"/>
      <name val="Arial"/>
      <family val="2"/>
      <charset val="1"/>
    </font>
    <font>
      <sz val="10"/>
      <color rgb="FF008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008000"/>
      <name val="Arial"/>
      <family val="2"/>
      <charset val="1"/>
    </font>
    <font>
      <sz val="12"/>
      <color theme="1"/>
      <name val="Aptos Narrow"/>
    </font>
    <font>
      <sz val="10"/>
      <color rgb="FFC00000"/>
      <name val="Arial"/>
      <family val="2"/>
      <charset val="1"/>
    </font>
    <font>
      <sz val="10"/>
      <color rgb="FFFF0000"/>
      <name val="Arial"/>
      <family val="2"/>
      <charset val="1"/>
    </font>
    <font>
      <sz val="12"/>
      <color rgb="FFFF0000"/>
      <name val="Aptos Narrow"/>
      <family val="2"/>
      <charset val="1"/>
    </font>
    <font>
      <b/>
      <sz val="12"/>
      <color theme="1"/>
      <name val="Aptos Narrow"/>
    </font>
    <font>
      <b/>
      <i/>
      <sz val="9"/>
      <color theme="1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10"/>
      <color rgb="FF808080"/>
      <name val="Arial"/>
      <family val="2"/>
      <charset val="1"/>
    </font>
    <font>
      <i/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8"/>
      <color rgb="FF404040"/>
      <name val="Arial"/>
      <family val="2"/>
      <charset val="1"/>
    </font>
    <font>
      <b/>
      <i/>
      <sz val="12"/>
      <color theme="1"/>
      <name val="Aptos Narrow"/>
      <family val="2"/>
      <charset val="1"/>
    </font>
    <font>
      <b/>
      <sz val="10"/>
      <color rgb="FF0000FF"/>
      <name val="Arial"/>
      <family val="2"/>
      <charset val="1"/>
    </font>
    <font>
      <sz val="10"/>
      <color theme="1"/>
      <name val="DejaVu Sans"/>
      <family val="2"/>
    </font>
    <font>
      <i/>
      <sz val="9"/>
      <color rgb="FF404040"/>
      <name val="Arial"/>
      <family val="2"/>
      <charset val="1"/>
    </font>
    <font>
      <sz val="12"/>
      <color theme="1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404040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F2F2F2"/>
      </patternFill>
    </fill>
    <fill>
      <patternFill patternType="solid">
        <fgColor rgb="FFD9D9D9"/>
        <bgColor rgb="FFE8E8E8"/>
      </patternFill>
    </fill>
    <fill>
      <patternFill patternType="solid">
        <fgColor theme="9" tint="0.79989013336588644"/>
        <bgColor rgb="FFE8E8E8"/>
      </patternFill>
    </fill>
    <fill>
      <patternFill patternType="solid">
        <fgColor theme="5" tint="0.79989013336588644"/>
        <bgColor rgb="FFE8E8E8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6" fillId="0" borderId="0" applyBorder="0" applyProtection="0"/>
  </cellStyleXfs>
  <cellXfs count="22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indent="1"/>
    </xf>
    <xf numFmtId="0" fontId="5" fillId="0" borderId="0" xfId="0" applyFont="1"/>
    <xf numFmtId="0" fontId="5" fillId="3" borderId="0" xfId="0" applyFont="1" applyFill="1"/>
    <xf numFmtId="0" fontId="3" fillId="3" borderId="0" xfId="0" applyFont="1" applyFill="1"/>
    <xf numFmtId="164" fontId="5" fillId="0" borderId="0" xfId="0" applyNumberFormat="1" applyFont="1"/>
    <xf numFmtId="0" fontId="6" fillId="0" borderId="0" xfId="0" applyFont="1"/>
    <xf numFmtId="164" fontId="5" fillId="3" borderId="0" xfId="0" applyNumberFormat="1" applyFont="1" applyFill="1"/>
    <xf numFmtId="0" fontId="7" fillId="0" borderId="0" xfId="0" applyFont="1"/>
    <xf numFmtId="0" fontId="8" fillId="4" borderId="0" xfId="0" applyFont="1" applyFill="1"/>
    <xf numFmtId="165" fontId="5" fillId="0" borderId="0" xfId="0" applyNumberFormat="1" applyFont="1"/>
    <xf numFmtId="165" fontId="9" fillId="0" borderId="0" xfId="0" applyNumberFormat="1" applyFont="1"/>
    <xf numFmtId="0" fontId="10" fillId="0" borderId="0" xfId="0" applyFont="1" applyAlignment="1">
      <alignment indent="1"/>
    </xf>
    <xf numFmtId="0" fontId="10" fillId="0" borderId="0" xfId="0" applyFont="1"/>
    <xf numFmtId="166" fontId="5" fillId="0" borderId="0" xfId="0" applyNumberFormat="1" applyFont="1"/>
    <xf numFmtId="0" fontId="3" fillId="0" borderId="2" xfId="0" applyFont="1" applyBorder="1" applyAlignment="1">
      <alignment indent="1"/>
    </xf>
    <xf numFmtId="0" fontId="3" fillId="0" borderId="2" xfId="0" applyFont="1" applyBorder="1"/>
    <xf numFmtId="0" fontId="5" fillId="0" borderId="2" xfId="0" applyFont="1" applyBorder="1"/>
    <xf numFmtId="167" fontId="5" fillId="0" borderId="0" xfId="0" applyNumberFormat="1" applyFont="1"/>
    <xf numFmtId="0" fontId="9" fillId="0" borderId="0" xfId="0" applyFont="1"/>
    <xf numFmtId="0" fontId="11" fillId="4" borderId="0" xfId="0" applyFont="1" applyFill="1"/>
    <xf numFmtId="0" fontId="9" fillId="0" borderId="0" xfId="0" applyFont="1" applyAlignment="1">
      <alignment indent="1"/>
    </xf>
    <xf numFmtId="0" fontId="9" fillId="3" borderId="0" xfId="0" applyFont="1" applyFill="1"/>
    <xf numFmtId="168" fontId="5" fillId="0" borderId="0" xfId="0" applyNumberFormat="1" applyFont="1"/>
    <xf numFmtId="168" fontId="5" fillId="3" borderId="0" xfId="0" applyNumberFormat="1" applyFont="1" applyFill="1"/>
    <xf numFmtId="166" fontId="9" fillId="0" borderId="0" xfId="0" applyNumberFormat="1" applyFont="1"/>
    <xf numFmtId="169" fontId="5" fillId="0" borderId="0" xfId="0" applyNumberFormat="1" applyFont="1"/>
    <xf numFmtId="169" fontId="9" fillId="0" borderId="0" xfId="0" applyNumberFormat="1" applyFont="1"/>
    <xf numFmtId="169" fontId="5" fillId="3" borderId="0" xfId="0" applyNumberFormat="1" applyFont="1" applyFill="1"/>
    <xf numFmtId="1" fontId="5" fillId="0" borderId="0" xfId="0" applyNumberFormat="1" applyFont="1"/>
    <xf numFmtId="0" fontId="9" fillId="0" borderId="2" xfId="0" applyFont="1" applyBorder="1" applyAlignment="1">
      <alignment indent="1"/>
    </xf>
    <xf numFmtId="1" fontId="9" fillId="0" borderId="0" xfId="0" applyNumberFormat="1" applyFont="1"/>
    <xf numFmtId="170" fontId="5" fillId="0" borderId="0" xfId="0" applyNumberFormat="1" applyFont="1"/>
    <xf numFmtId="10" fontId="9" fillId="0" borderId="0" xfId="0" applyNumberFormat="1" applyFont="1"/>
    <xf numFmtId="2" fontId="5" fillId="0" borderId="0" xfId="0" applyNumberFormat="1" applyFont="1"/>
    <xf numFmtId="2" fontId="5" fillId="3" borderId="0" xfId="0" applyNumberFormat="1" applyFont="1" applyFill="1"/>
    <xf numFmtId="170" fontId="5" fillId="3" borderId="0" xfId="0" applyNumberFormat="1" applyFont="1" applyFill="1"/>
    <xf numFmtId="166" fontId="5" fillId="3" borderId="0" xfId="0" applyNumberFormat="1" applyFont="1" applyFill="1"/>
    <xf numFmtId="171" fontId="5" fillId="0" borderId="0" xfId="0" applyNumberFormat="1" applyFont="1"/>
    <xf numFmtId="171" fontId="5" fillId="3" borderId="0" xfId="0" applyNumberFormat="1" applyFont="1" applyFill="1"/>
    <xf numFmtId="1" fontId="5" fillId="3" borderId="0" xfId="0" applyNumberFormat="1" applyFont="1" applyFill="1"/>
    <xf numFmtId="164" fontId="5" fillId="0" borderId="2" xfId="0" applyNumberFormat="1" applyFont="1" applyBorder="1"/>
    <xf numFmtId="172" fontId="5" fillId="0" borderId="2" xfId="0" applyNumberFormat="1" applyFont="1" applyBorder="1"/>
    <xf numFmtId="0" fontId="12" fillId="0" borderId="0" xfId="0" applyFont="1"/>
    <xf numFmtId="0" fontId="8" fillId="4" borderId="0" xfId="0" applyFont="1" applyFill="1" applyAlignment="1">
      <alignment indent="1"/>
    </xf>
    <xf numFmtId="0" fontId="12" fillId="4" borderId="0" xfId="0" applyFont="1" applyFill="1"/>
    <xf numFmtId="172" fontId="5" fillId="0" borderId="0" xfId="0" applyNumberFormat="1" applyFont="1"/>
    <xf numFmtId="172" fontId="5" fillId="3" borderId="0" xfId="0" applyNumberFormat="1" applyFont="1" applyFill="1"/>
    <xf numFmtId="10" fontId="5" fillId="0" borderId="0" xfId="0" applyNumberFormat="1" applyFont="1"/>
    <xf numFmtId="0" fontId="10" fillId="0" borderId="2" xfId="0" applyFont="1" applyBorder="1"/>
    <xf numFmtId="0" fontId="12" fillId="0" borderId="2" xfId="0" applyFont="1" applyBorder="1"/>
    <xf numFmtId="0" fontId="4" fillId="2" borderId="0" xfId="0" applyFont="1" applyFill="1" applyAlignment="1">
      <alignment indent="1"/>
    </xf>
    <xf numFmtId="173" fontId="5" fillId="0" borderId="0" xfId="0" applyNumberFormat="1" applyFont="1"/>
    <xf numFmtId="0" fontId="11" fillId="0" borderId="0" xfId="0" applyFont="1" applyAlignment="1">
      <alignment indent="1"/>
    </xf>
    <xf numFmtId="174" fontId="5" fillId="0" borderId="0" xfId="0" applyNumberFormat="1" applyFont="1"/>
    <xf numFmtId="175" fontId="5" fillId="0" borderId="0" xfId="0" applyNumberFormat="1" applyFont="1"/>
    <xf numFmtId="164" fontId="9" fillId="0" borderId="0" xfId="0" applyNumberFormat="1" applyFont="1"/>
    <xf numFmtId="0" fontId="13" fillId="2" borderId="0" xfId="0" applyFont="1" applyFill="1"/>
    <xf numFmtId="3" fontId="5" fillId="0" borderId="0" xfId="0" applyNumberFormat="1" applyFont="1"/>
    <xf numFmtId="0" fontId="16" fillId="2" borderId="0" xfId="0" applyFont="1" applyFill="1" applyAlignment="1">
      <alignment inden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7" fillId="5" borderId="2" xfId="0" applyFont="1" applyFill="1" applyBorder="1" applyAlignment="1">
      <alignment horizontal="left"/>
    </xf>
    <xf numFmtId="0" fontId="17" fillId="5" borderId="2" xfId="0" applyFont="1" applyFill="1" applyBorder="1" applyAlignment="1">
      <alignment horizontal="center"/>
    </xf>
    <xf numFmtId="0" fontId="3" fillId="6" borderId="0" xfId="0" applyFont="1" applyFill="1" applyAlignment="1">
      <alignment indent="1"/>
    </xf>
    <xf numFmtId="0" fontId="3" fillId="6" borderId="0" xfId="0" applyFont="1" applyFill="1"/>
    <xf numFmtId="166" fontId="18" fillId="0" borderId="0" xfId="0" applyNumberFormat="1" applyFont="1"/>
    <xf numFmtId="176" fontId="9" fillId="0" borderId="0" xfId="0" applyNumberFormat="1" applyFont="1"/>
    <xf numFmtId="169" fontId="18" fillId="0" borderId="0" xfId="0" applyNumberFormat="1" applyFont="1"/>
    <xf numFmtId="2" fontId="18" fillId="0" borderId="0" xfId="0" applyNumberFormat="1" applyFont="1"/>
    <xf numFmtId="0" fontId="2" fillId="2" borderId="0" xfId="0" applyFont="1" applyFill="1" applyAlignment="1">
      <alignment indent="1"/>
    </xf>
    <xf numFmtId="1" fontId="11" fillId="0" borderId="0" xfId="0" applyNumberFormat="1" applyFont="1" applyAlignment="1">
      <alignment horizontal="center"/>
    </xf>
    <xf numFmtId="1" fontId="17" fillId="5" borderId="2" xfId="0" applyNumberFormat="1" applyFont="1" applyFill="1" applyBorder="1" applyAlignment="1">
      <alignment horizontal="center"/>
    </xf>
    <xf numFmtId="0" fontId="18" fillId="0" borderId="0" xfId="0" applyFont="1"/>
    <xf numFmtId="0" fontId="19" fillId="0" borderId="2" xfId="0" applyFont="1" applyBorder="1"/>
    <xf numFmtId="0" fontId="20" fillId="0" borderId="2" xfId="0" applyFont="1" applyBorder="1"/>
    <xf numFmtId="171" fontId="18" fillId="0" borderId="0" xfId="0" applyNumberFormat="1" applyFont="1"/>
    <xf numFmtId="166" fontId="11" fillId="0" borderId="2" xfId="0" applyNumberFormat="1" applyFont="1" applyBorder="1"/>
    <xf numFmtId="0" fontId="19" fillId="0" borderId="0" xfId="0" applyFont="1" applyAlignment="1">
      <alignment indent="1"/>
    </xf>
    <xf numFmtId="166" fontId="11" fillId="0" borderId="0" xfId="0" applyNumberFormat="1" applyFont="1"/>
    <xf numFmtId="171" fontId="11" fillId="0" borderId="2" xfId="0" applyNumberFormat="1" applyFont="1" applyBorder="1"/>
    <xf numFmtId="0" fontId="21" fillId="0" borderId="0" xfId="0" applyFont="1"/>
    <xf numFmtId="0" fontId="19" fillId="7" borderId="0" xfId="0" applyFont="1" applyFill="1" applyAlignment="1">
      <alignment indent="1"/>
    </xf>
    <xf numFmtId="0" fontId="3" fillId="7" borderId="0" xfId="0" applyFont="1" applyFill="1"/>
    <xf numFmtId="171" fontId="11" fillId="7" borderId="0" xfId="0" applyNumberFormat="1" applyFont="1" applyFill="1"/>
    <xf numFmtId="0" fontId="0" fillId="7" borderId="0" xfId="0" applyFill="1"/>
    <xf numFmtId="171" fontId="9" fillId="0" borderId="0" xfId="0" applyNumberFormat="1" applyFont="1"/>
    <xf numFmtId="177" fontId="9" fillId="0" borderId="0" xfId="0" applyNumberFormat="1" applyFont="1"/>
    <xf numFmtId="0" fontId="19" fillId="0" borderId="3" xfId="0" applyFont="1" applyBorder="1"/>
    <xf numFmtId="171" fontId="11" fillId="0" borderId="3" xfId="0" applyNumberFormat="1" applyFont="1" applyBorder="1"/>
    <xf numFmtId="0" fontId="19" fillId="0" borderId="0" xfId="0" applyFont="1"/>
    <xf numFmtId="171" fontId="11" fillId="0" borderId="0" xfId="0" applyNumberFormat="1" applyFont="1"/>
    <xf numFmtId="177" fontId="11" fillId="0" borderId="2" xfId="0" applyNumberFormat="1" applyFont="1" applyBorder="1"/>
    <xf numFmtId="171" fontId="20" fillId="0" borderId="2" xfId="0" applyNumberFormat="1" applyFont="1" applyBorder="1"/>
    <xf numFmtId="0" fontId="19" fillId="0" borderId="2" xfId="0" applyFont="1" applyBorder="1" applyAlignment="1">
      <alignment indent="1"/>
    </xf>
    <xf numFmtId="171" fontId="9" fillId="0" borderId="2" xfId="0" applyNumberFormat="1" applyFont="1" applyBorder="1"/>
    <xf numFmtId="177" fontId="3" fillId="0" borderId="0" xfId="0" applyNumberFormat="1" applyFont="1"/>
    <xf numFmtId="167" fontId="18" fillId="0" borderId="0" xfId="0" applyNumberFormat="1" applyFont="1"/>
    <xf numFmtId="167" fontId="9" fillId="0" borderId="0" xfId="0" applyNumberFormat="1" applyFont="1"/>
    <xf numFmtId="167" fontId="20" fillId="0" borderId="2" xfId="0" applyNumberFormat="1" applyFont="1" applyBorder="1"/>
    <xf numFmtId="177" fontId="5" fillId="0" borderId="0" xfId="0" applyNumberFormat="1" applyFont="1"/>
    <xf numFmtId="165" fontId="18" fillId="0" borderId="0" xfId="0" applyNumberFormat="1" applyFont="1"/>
    <xf numFmtId="0" fontId="11" fillId="0" borderId="0" xfId="0" applyFont="1" applyAlignment="1">
      <alignment horizontal="left" indent="1"/>
    </xf>
    <xf numFmtId="0" fontId="17" fillId="5" borderId="2" xfId="0" applyFont="1" applyFill="1" applyBorder="1" applyAlignment="1">
      <alignment horizontal="left" indent="1"/>
    </xf>
    <xf numFmtId="1" fontId="18" fillId="0" borderId="0" xfId="0" applyNumberFormat="1" applyFont="1"/>
    <xf numFmtId="164" fontId="20" fillId="0" borderId="2" xfId="0" applyNumberFormat="1" applyFont="1" applyBorder="1"/>
    <xf numFmtId="164" fontId="18" fillId="0" borderId="0" xfId="0" applyNumberFormat="1" applyFont="1"/>
    <xf numFmtId="167" fontId="11" fillId="0" borderId="2" xfId="0" applyNumberFormat="1" applyFont="1" applyBorder="1"/>
    <xf numFmtId="0" fontId="22" fillId="0" borderId="0" xfId="0" applyFont="1" applyAlignment="1">
      <alignment indent="1"/>
    </xf>
    <xf numFmtId="166" fontId="11" fillId="0" borderId="3" xfId="0" applyNumberFormat="1" applyFont="1" applyBorder="1"/>
    <xf numFmtId="164" fontId="11" fillId="0" borderId="0" xfId="0" applyNumberFormat="1" applyFont="1"/>
    <xf numFmtId="166" fontId="9" fillId="0" borderId="2" xfId="0" applyNumberFormat="1" applyFont="1" applyBorder="1"/>
    <xf numFmtId="0" fontId="23" fillId="0" borderId="0" xfId="0" applyFont="1"/>
    <xf numFmtId="0" fontId="24" fillId="0" borderId="0" xfId="0" applyFont="1"/>
    <xf numFmtId="0" fontId="11" fillId="0" borderId="2" xfId="0" applyFont="1" applyBorder="1"/>
    <xf numFmtId="178" fontId="10" fillId="0" borderId="0" xfId="0" applyNumberFormat="1" applyFont="1" applyAlignment="1">
      <alignment indent="1"/>
    </xf>
    <xf numFmtId="179" fontId="10" fillId="0" borderId="0" xfId="0" applyNumberFormat="1" applyFont="1"/>
    <xf numFmtId="166" fontId="10" fillId="0" borderId="0" xfId="0" applyNumberFormat="1" applyFont="1"/>
    <xf numFmtId="9" fontId="10" fillId="0" borderId="0" xfId="0" applyNumberFormat="1" applyFont="1"/>
    <xf numFmtId="3" fontId="18" fillId="0" borderId="0" xfId="0" applyNumberFormat="1" applyFont="1"/>
    <xf numFmtId="3" fontId="9" fillId="0" borderId="0" xfId="0" applyNumberFormat="1" applyFont="1"/>
    <xf numFmtId="166" fontId="20" fillId="0" borderId="2" xfId="0" applyNumberFormat="1" applyFont="1" applyBorder="1"/>
    <xf numFmtId="3" fontId="11" fillId="0" borderId="2" xfId="0" applyNumberFormat="1" applyFont="1" applyBorder="1"/>
    <xf numFmtId="0" fontId="23" fillId="0" borderId="0" xfId="0" applyFont="1" applyAlignment="1">
      <alignment indent="1"/>
    </xf>
    <xf numFmtId="164" fontId="23" fillId="0" borderId="0" xfId="0" applyNumberFormat="1" applyFont="1"/>
    <xf numFmtId="3" fontId="20" fillId="0" borderId="2" xfId="0" applyNumberFormat="1" applyFont="1" applyBorder="1"/>
    <xf numFmtId="166" fontId="3" fillId="0" borderId="0" xfId="0" applyNumberFormat="1" applyFont="1"/>
    <xf numFmtId="180" fontId="9" fillId="0" borderId="0" xfId="0" applyNumberFormat="1" applyFont="1"/>
    <xf numFmtId="180" fontId="3" fillId="0" borderId="0" xfId="0" applyNumberFormat="1" applyFont="1"/>
    <xf numFmtId="171" fontId="3" fillId="0" borderId="0" xfId="0" applyNumberFormat="1" applyFont="1"/>
    <xf numFmtId="181" fontId="9" fillId="0" borderId="0" xfId="0" applyNumberFormat="1" applyFont="1"/>
    <xf numFmtId="169" fontId="12" fillId="0" borderId="0" xfId="0" applyNumberFormat="1" applyFont="1"/>
    <xf numFmtId="166" fontId="12" fillId="0" borderId="0" xfId="0" applyNumberFormat="1" applyFont="1"/>
    <xf numFmtId="1" fontId="12" fillId="0" borderId="0" xfId="0" applyNumberFormat="1" applyFont="1"/>
    <xf numFmtId="3" fontId="0" fillId="0" borderId="0" xfId="0" applyNumberFormat="1"/>
    <xf numFmtId="173" fontId="18" fillId="0" borderId="0" xfId="0" applyNumberFormat="1" applyFont="1"/>
    <xf numFmtId="2" fontId="11" fillId="0" borderId="2" xfId="0" applyNumberFormat="1" applyFont="1" applyBorder="1"/>
    <xf numFmtId="2" fontId="9" fillId="0" borderId="0" xfId="0" applyNumberFormat="1" applyFont="1"/>
    <xf numFmtId="9" fontId="19" fillId="0" borderId="0" xfId="1" applyFont="1" applyBorder="1" applyAlignment="1" applyProtection="1">
      <alignment indent="1"/>
    </xf>
    <xf numFmtId="9" fontId="19" fillId="0" borderId="0" xfId="1" applyFont="1" applyBorder="1" applyProtection="1"/>
    <xf numFmtId="164" fontId="11" fillId="0" borderId="0" xfId="1" applyNumberFormat="1" applyFont="1" applyBorder="1" applyProtection="1"/>
    <xf numFmtId="9" fontId="25" fillId="0" borderId="0" xfId="1" applyFont="1" applyBorder="1" applyProtection="1"/>
    <xf numFmtId="0" fontId="25" fillId="0" borderId="0" xfId="0" applyFont="1"/>
    <xf numFmtId="0" fontId="3" fillId="4" borderId="0" xfId="0" applyFont="1" applyFill="1" applyAlignment="1">
      <alignment indent="1"/>
    </xf>
    <xf numFmtId="0" fontId="3" fillId="4" borderId="0" xfId="0" applyFont="1" applyFill="1"/>
    <xf numFmtId="166" fontId="11" fillId="4" borderId="0" xfId="0" applyNumberFormat="1" applyFont="1" applyFill="1"/>
    <xf numFmtId="0" fontId="19" fillId="4" borderId="2" xfId="0" applyFont="1" applyFill="1" applyBorder="1"/>
    <xf numFmtId="166" fontId="11" fillId="4" borderId="2" xfId="0" applyNumberFormat="1" applyFont="1" applyFill="1" applyBorder="1"/>
    <xf numFmtId="170" fontId="18" fillId="0" borderId="0" xfId="0" applyNumberFormat="1" applyFont="1"/>
    <xf numFmtId="182" fontId="9" fillId="0" borderId="0" xfId="0" applyNumberFormat="1" applyFont="1"/>
    <xf numFmtId="0" fontId="11" fillId="0" borderId="2" xfId="0" applyFont="1" applyBorder="1" applyAlignment="1">
      <alignment horizontal="center"/>
    </xf>
    <xf numFmtId="177" fontId="18" fillId="0" borderId="0" xfId="0" applyNumberFormat="1" applyFont="1"/>
    <xf numFmtId="2" fontId="11" fillId="0" borderId="0" xfId="0" applyNumberFormat="1" applyFont="1"/>
    <xf numFmtId="0" fontId="26" fillId="0" borderId="0" xfId="0" applyFont="1" applyAlignment="1">
      <alignment indent="1"/>
    </xf>
    <xf numFmtId="166" fontId="0" fillId="0" borderId="0" xfId="0" applyNumberFormat="1"/>
    <xf numFmtId="0" fontId="27" fillId="0" borderId="0" xfId="0" applyFont="1" applyAlignment="1">
      <alignment indent="1"/>
    </xf>
    <xf numFmtId="3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176" fontId="3" fillId="0" borderId="0" xfId="0" applyNumberFormat="1" applyFont="1"/>
    <xf numFmtId="3" fontId="19" fillId="0" borderId="2" xfId="0" applyNumberFormat="1" applyFont="1" applyBorder="1"/>
    <xf numFmtId="175" fontId="3" fillId="0" borderId="0" xfId="0" applyNumberFormat="1" applyFont="1"/>
    <xf numFmtId="1" fontId="3" fillId="0" borderId="0" xfId="0" applyNumberFormat="1" applyFont="1"/>
    <xf numFmtId="175" fontId="19" fillId="0" borderId="2" xfId="0" applyNumberFormat="1" applyFont="1" applyBorder="1"/>
    <xf numFmtId="167" fontId="9" fillId="0" borderId="2" xfId="0" applyNumberFormat="1" applyFont="1" applyBorder="1"/>
    <xf numFmtId="164" fontId="11" fillId="0" borderId="2" xfId="0" applyNumberFormat="1" applyFont="1" applyBorder="1"/>
    <xf numFmtId="164" fontId="19" fillId="0" borderId="2" xfId="0" applyNumberFormat="1" applyFont="1" applyBorder="1"/>
    <xf numFmtId="0" fontId="11" fillId="6" borderId="0" xfId="0" applyFont="1" applyFill="1" applyAlignment="1">
      <alignment indent="1"/>
    </xf>
    <xf numFmtId="0" fontId="11" fillId="6" borderId="0" xfId="0" applyFont="1" applyFill="1"/>
    <xf numFmtId="0" fontId="8" fillId="4" borderId="1" xfId="0" applyFont="1" applyFill="1" applyBorder="1"/>
    <xf numFmtId="183" fontId="18" fillId="0" borderId="0" xfId="0" applyNumberFormat="1" applyFont="1"/>
    <xf numFmtId="183" fontId="5" fillId="0" borderId="0" xfId="0" applyNumberFormat="1" applyFont="1"/>
    <xf numFmtId="183" fontId="9" fillId="0" borderId="0" xfId="0" applyNumberFormat="1" applyFont="1"/>
    <xf numFmtId="0" fontId="8" fillId="4" borderId="2" xfId="0" applyFont="1" applyFill="1" applyBorder="1"/>
    <xf numFmtId="166" fontId="5" fillId="0" borderId="2" xfId="0" applyNumberFormat="1" applyFont="1" applyBorder="1"/>
    <xf numFmtId="167" fontId="8" fillId="4" borderId="1" xfId="0" applyNumberFormat="1" applyFont="1" applyFill="1" applyBorder="1"/>
    <xf numFmtId="0" fontId="28" fillId="0" borderId="3" xfId="0" applyFont="1" applyBorder="1"/>
    <xf numFmtId="171" fontId="20" fillId="0" borderId="3" xfId="0" applyNumberFormat="1" applyFont="1" applyBorder="1"/>
    <xf numFmtId="171" fontId="20" fillId="0" borderId="0" xfId="0" applyNumberFormat="1" applyFont="1"/>
    <xf numFmtId="0" fontId="28" fillId="0" borderId="2" xfId="0" applyFont="1" applyBorder="1"/>
    <xf numFmtId="0" fontId="0" fillId="8" borderId="0" xfId="0" applyFill="1"/>
    <xf numFmtId="184" fontId="2" fillId="2" borderId="0" xfId="0" applyNumberFormat="1" applyFont="1" applyFill="1"/>
    <xf numFmtId="184" fontId="3" fillId="0" borderId="0" xfId="0" applyNumberFormat="1" applyFont="1"/>
    <xf numFmtId="184" fontId="8" fillId="4" borderId="0" xfId="0" applyNumberFormat="1" applyFont="1" applyFill="1"/>
    <xf numFmtId="184" fontId="18" fillId="0" borderId="0" xfId="0" applyNumberFormat="1" applyFont="1"/>
    <xf numFmtId="184" fontId="9" fillId="0" borderId="0" xfId="0" applyNumberFormat="1" applyFont="1"/>
    <xf numFmtId="184" fontId="11" fillId="0" borderId="2" xfId="0" applyNumberFormat="1" applyFont="1" applyBorder="1"/>
    <xf numFmtId="0" fontId="3" fillId="0" borderId="1" xfId="0" applyFont="1" applyBorder="1" applyAlignment="1">
      <alignment indent="1"/>
    </xf>
    <xf numFmtId="0" fontId="3" fillId="0" borderId="1" xfId="0" applyFont="1" applyBorder="1"/>
    <xf numFmtId="184" fontId="18" fillId="0" borderId="1" xfId="0" applyNumberFormat="1" applyFont="1" applyBorder="1"/>
    <xf numFmtId="0" fontId="3" fillId="0" borderId="0" xfId="0" applyFont="1" applyAlignment="1">
      <alignment horizontal="right"/>
    </xf>
    <xf numFmtId="0" fontId="29" fillId="0" borderId="0" xfId="0" applyFont="1"/>
    <xf numFmtId="0" fontId="30" fillId="0" borderId="0" xfId="0" applyFont="1"/>
    <xf numFmtId="166" fontId="29" fillId="0" borderId="0" xfId="0" applyNumberFormat="1" applyFont="1"/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31" fillId="5" borderId="0" xfId="0" applyFont="1" applyFill="1" applyAlignment="1">
      <alignment horizontal="center"/>
    </xf>
    <xf numFmtId="1" fontId="31" fillId="5" borderId="0" xfId="0" applyNumberFormat="1" applyFont="1" applyFill="1" applyAlignment="1">
      <alignment horizontal="center"/>
    </xf>
    <xf numFmtId="0" fontId="9" fillId="0" borderId="2" xfId="0" applyFont="1" applyBorder="1"/>
    <xf numFmtId="184" fontId="18" fillId="0" borderId="2" xfId="0" applyNumberFormat="1" applyFont="1" applyBorder="1"/>
    <xf numFmtId="0" fontId="11" fillId="0" borderId="0" xfId="0" applyFont="1"/>
    <xf numFmtId="0" fontId="32" fillId="0" borderId="0" xfId="0" applyFont="1"/>
    <xf numFmtId="172" fontId="18" fillId="0" borderId="0" xfId="0" applyNumberFormat="1" applyFont="1"/>
    <xf numFmtId="185" fontId="18" fillId="0" borderId="0" xfId="0" applyNumberFormat="1" applyFont="1"/>
    <xf numFmtId="185" fontId="11" fillId="0" borderId="2" xfId="0" applyNumberFormat="1" applyFont="1" applyBorder="1"/>
    <xf numFmtId="185" fontId="9" fillId="0" borderId="0" xfId="0" applyNumberFormat="1" applyFont="1"/>
    <xf numFmtId="0" fontId="33" fillId="0" borderId="0" xfId="0" applyFont="1"/>
    <xf numFmtId="185" fontId="11" fillId="0" borderId="3" xfId="0" applyNumberFormat="1" applyFont="1" applyBorder="1"/>
    <xf numFmtId="167" fontId="11" fillId="0" borderId="0" xfId="0" applyNumberFormat="1" applyFont="1"/>
    <xf numFmtId="167" fontId="11" fillId="0" borderId="3" xfId="0" applyNumberFormat="1" applyFont="1" applyBorder="1"/>
    <xf numFmtId="185" fontId="20" fillId="0" borderId="2" xfId="0" applyNumberFormat="1" applyFont="1" applyBorder="1"/>
    <xf numFmtId="164" fontId="33" fillId="0" borderId="0" xfId="0" applyNumberFormat="1" applyFont="1"/>
    <xf numFmtId="164" fontId="3" fillId="0" borderId="0" xfId="0" applyNumberFormat="1" applyFont="1" applyAlignment="1">
      <alignment indent="1"/>
    </xf>
    <xf numFmtId="1" fontId="11" fillId="0" borderId="0" xfId="0" applyNumberFormat="1" applyFont="1"/>
    <xf numFmtId="1" fontId="11" fillId="0" borderId="2" xfId="0" applyNumberFormat="1" applyFont="1" applyBorder="1"/>
    <xf numFmtId="0" fontId="11" fillId="0" borderId="3" xfId="0" applyFont="1" applyBorder="1"/>
    <xf numFmtId="0" fontId="35" fillId="0" borderId="0" xfId="0" applyFont="1"/>
    <xf numFmtId="184" fontId="1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F2D0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6"/>
  <sheetViews>
    <sheetView showGridLines="0" tabSelected="1" topLeftCell="E150" zoomScaleNormal="100" workbookViewId="0">
      <selection activeCell="C243" sqref="C243"/>
    </sheetView>
  </sheetViews>
  <sheetFormatPr baseColWidth="10" defaultColWidth="10.6640625" defaultRowHeight="16" outlineLevelCol="4"/>
  <cols>
    <col min="1" max="1" width="50" customWidth="1" outlineLevel="4"/>
    <col min="3" max="3" width="88.1640625" customWidth="1"/>
    <col min="16" max="16" width="10.83203125" customWidth="1" outlineLevel="3"/>
    <col min="20" max="20" width="10.83203125" customWidth="1"/>
  </cols>
  <sheetData>
    <row r="1" spans="1:25" ht="21.75" customHeight="1">
      <c r="A1" s="1">
        <v>0.01</v>
      </c>
      <c r="B1" s="1"/>
      <c r="C1" s="1"/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3"/>
      <c r="U1" s="3"/>
      <c r="V1" s="3"/>
      <c r="W1" s="3"/>
      <c r="X1" s="3"/>
      <c r="Y1" s="3"/>
    </row>
    <row r="2" spans="1:25">
      <c r="A2" s="4" t="s">
        <v>0</v>
      </c>
      <c r="B2" s="4"/>
      <c r="C2" s="4"/>
      <c r="D2" s="4">
        <v>0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  <c r="Q2" s="4">
        <v>13</v>
      </c>
      <c r="R2" s="4">
        <v>14</v>
      </c>
      <c r="S2" s="4">
        <v>15</v>
      </c>
      <c r="T2" s="4"/>
      <c r="U2" s="4"/>
      <c r="V2" s="4"/>
      <c r="W2" s="4"/>
      <c r="X2" s="4"/>
      <c r="Y2" s="4"/>
    </row>
    <row r="3" spans="1:25">
      <c r="A3" s="5" t="s">
        <v>1</v>
      </c>
      <c r="B3" s="6">
        <v>0.21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7">
        <v>0.18</v>
      </c>
      <c r="X3" s="7">
        <v>0.27</v>
      </c>
      <c r="Y3" s="8" t="s">
        <v>3</v>
      </c>
    </row>
    <row r="4" spans="1:25" ht="16.5" customHeight="1">
      <c r="A4" s="5" t="s">
        <v>4</v>
      </c>
      <c r="B4" s="9">
        <v>3.5000000000000003E-2</v>
      </c>
      <c r="C4" s="3" t="s">
        <v>5</v>
      </c>
      <c r="D4" s="10">
        <v>2025</v>
      </c>
      <c r="E4" s="10">
        <v>2026</v>
      </c>
      <c r="F4" s="10">
        <v>2027</v>
      </c>
      <c r="G4" s="10">
        <v>2028</v>
      </c>
      <c r="H4" s="10">
        <v>2029</v>
      </c>
      <c r="I4" s="10">
        <v>2030</v>
      </c>
      <c r="J4" s="10">
        <v>2031</v>
      </c>
      <c r="K4" s="10">
        <v>2032</v>
      </c>
      <c r="L4" s="10">
        <v>2033</v>
      </c>
      <c r="M4" s="10">
        <v>2034</v>
      </c>
      <c r="N4" s="10">
        <v>2035</v>
      </c>
      <c r="O4" s="10">
        <v>2036</v>
      </c>
      <c r="P4" s="10">
        <v>2037</v>
      </c>
      <c r="Q4" s="10">
        <v>2038</v>
      </c>
      <c r="R4" s="10">
        <v>2039</v>
      </c>
      <c r="S4" s="10">
        <v>2040</v>
      </c>
      <c r="T4" s="3"/>
      <c r="U4" s="3"/>
      <c r="V4" s="3"/>
      <c r="W4" s="11">
        <v>2.5000000000000001E-2</v>
      </c>
      <c r="X4" s="11">
        <v>0.05</v>
      </c>
      <c r="Y4" s="8" t="s">
        <v>3</v>
      </c>
    </row>
    <row r="5" spans="1:25">
      <c r="A5" s="5" t="s">
        <v>6</v>
      </c>
      <c r="B5" s="9">
        <v>2.5000000000000001E-2</v>
      </c>
      <c r="C5" s="3" t="s">
        <v>7</v>
      </c>
      <c r="D5" s="12">
        <v>0</v>
      </c>
      <c r="E5" s="12">
        <v>1</v>
      </c>
      <c r="F5" s="12">
        <v>2</v>
      </c>
      <c r="G5" s="12">
        <v>3</v>
      </c>
      <c r="H5" s="12">
        <v>4</v>
      </c>
      <c r="I5" s="12">
        <v>5</v>
      </c>
      <c r="J5" s="12">
        <v>6</v>
      </c>
      <c r="K5" s="12">
        <v>7</v>
      </c>
      <c r="L5" s="12">
        <v>8</v>
      </c>
      <c r="M5" s="12">
        <v>9</v>
      </c>
      <c r="N5" s="12">
        <v>10</v>
      </c>
      <c r="O5" s="12">
        <v>11</v>
      </c>
      <c r="P5" s="12">
        <v>12</v>
      </c>
      <c r="Q5" s="12">
        <v>13</v>
      </c>
      <c r="R5" s="12">
        <v>14</v>
      </c>
      <c r="S5" s="12">
        <v>15</v>
      </c>
      <c r="T5" s="3"/>
      <c r="U5" s="3"/>
      <c r="V5" s="3"/>
      <c r="W5" s="11">
        <v>0.02</v>
      </c>
      <c r="X5" s="11">
        <v>0.03</v>
      </c>
      <c r="Y5" s="8" t="s">
        <v>3</v>
      </c>
    </row>
    <row r="6" spans="1:25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13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>
      <c r="A8" s="5" t="s">
        <v>10</v>
      </c>
      <c r="B8" s="6">
        <v>75000</v>
      </c>
      <c r="C8" s="3" t="s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7"/>
      <c r="X8" s="7"/>
      <c r="Y8" s="8"/>
    </row>
    <row r="9" spans="1:25">
      <c r="A9" s="5" t="s">
        <v>12</v>
      </c>
      <c r="B9" s="6">
        <v>2027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7">
        <v>2026</v>
      </c>
      <c r="X9" s="7">
        <v>2028</v>
      </c>
      <c r="Y9" s="8" t="s">
        <v>13</v>
      </c>
    </row>
    <row r="10" spans="1:25">
      <c r="A10" s="13" t="s">
        <v>14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>
      <c r="A11" s="5" t="s">
        <v>15</v>
      </c>
      <c r="B11" s="6">
        <v>0.15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7">
        <v>0.03</v>
      </c>
      <c r="X11" s="7">
        <v>0.35</v>
      </c>
      <c r="Y11" s="8" t="s">
        <v>3</v>
      </c>
    </row>
    <row r="12" spans="1:25">
      <c r="A12" s="5" t="s">
        <v>16</v>
      </c>
      <c r="B12" s="6">
        <v>1000</v>
      </c>
      <c r="C12" s="3" t="s">
        <v>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7">
        <v>500</v>
      </c>
      <c r="X12" s="7">
        <v>2500</v>
      </c>
      <c r="Y12" s="8" t="s">
        <v>3</v>
      </c>
    </row>
    <row r="13" spans="1:25">
      <c r="A13" s="5" t="s">
        <v>18</v>
      </c>
      <c r="B13" s="6">
        <v>1</v>
      </c>
      <c r="C13" s="3" t="s">
        <v>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 t="s">
        <v>20</v>
      </c>
    </row>
    <row r="14" spans="1:25">
      <c r="A14" s="5" t="s">
        <v>21</v>
      </c>
      <c r="B14" s="6">
        <v>750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500</v>
      </c>
      <c r="X14" s="3">
        <v>1000</v>
      </c>
      <c r="Y14" s="8" t="s">
        <v>3</v>
      </c>
    </row>
    <row r="15" spans="1:25">
      <c r="A15" s="13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>
      <c r="A16" s="5" t="s">
        <v>23</v>
      </c>
      <c r="B16" s="6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7">
        <v>1</v>
      </c>
      <c r="X16" s="7">
        <v>10</v>
      </c>
      <c r="Y16" s="8" t="s">
        <v>3</v>
      </c>
    </row>
    <row r="17" spans="1:25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5" t="s">
        <v>25</v>
      </c>
      <c r="B18" s="6">
        <v>8</v>
      </c>
      <c r="C18" s="3" t="s">
        <v>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7">
        <v>6</v>
      </c>
      <c r="X18" s="7">
        <v>10</v>
      </c>
      <c r="Y18" s="8" t="s">
        <v>3</v>
      </c>
    </row>
    <row r="19" spans="1:25">
      <c r="A19" s="5" t="s">
        <v>27</v>
      </c>
      <c r="B19" s="6">
        <v>8</v>
      </c>
      <c r="C19" s="3" t="s">
        <v>28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7">
        <v>6</v>
      </c>
      <c r="X19" s="7">
        <v>10</v>
      </c>
      <c r="Y19" s="8" t="s">
        <v>3</v>
      </c>
    </row>
    <row r="20" spans="1:25">
      <c r="A20" s="5" t="s">
        <v>29</v>
      </c>
      <c r="B20" s="6">
        <v>5</v>
      </c>
      <c r="C20" s="3" t="s">
        <v>30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7">
        <v>4</v>
      </c>
      <c r="X20" s="7">
        <v>7</v>
      </c>
      <c r="Y20" s="8" t="s">
        <v>3</v>
      </c>
    </row>
    <row r="21" spans="1:25">
      <c r="A21" s="5" t="s">
        <v>31</v>
      </c>
      <c r="B21" s="6">
        <v>15</v>
      </c>
      <c r="C21" s="3" t="s">
        <v>32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7">
        <v>10</v>
      </c>
      <c r="X21" s="7">
        <v>20</v>
      </c>
      <c r="Y21" s="8" t="s">
        <v>3</v>
      </c>
    </row>
    <row r="22" spans="1:25">
      <c r="A22" s="5" t="s">
        <v>33</v>
      </c>
      <c r="B22" s="6">
        <v>3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7">
        <v>2</v>
      </c>
      <c r="X22" s="7">
        <v>5</v>
      </c>
      <c r="Y22" s="8" t="s">
        <v>3</v>
      </c>
    </row>
    <row r="23" spans="1:25">
      <c r="A23" s="13" t="s">
        <v>35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>
      <c r="A24" s="13" t="s">
        <v>36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>
      <c r="A25" s="4" t="s">
        <v>37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13" t="s">
        <v>38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>
      <c r="A27" s="5" t="s">
        <v>39</v>
      </c>
      <c r="B27" s="6">
        <v>23.4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7">
        <v>18</v>
      </c>
      <c r="X27" s="7">
        <v>30</v>
      </c>
      <c r="Y27" s="8" t="s">
        <v>3</v>
      </c>
    </row>
    <row r="28" spans="1:25">
      <c r="A28" s="5" t="s">
        <v>41</v>
      </c>
      <c r="B28" s="6">
        <v>0.02</v>
      </c>
      <c r="C28" s="3" t="s">
        <v>42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7">
        <v>0.01</v>
      </c>
      <c r="X28" s="7">
        <v>0.05</v>
      </c>
      <c r="Y28" s="8" t="s">
        <v>3</v>
      </c>
    </row>
    <row r="29" spans="1:25">
      <c r="A29" s="5" t="s">
        <v>43</v>
      </c>
      <c r="B29" s="6">
        <v>150000</v>
      </c>
      <c r="C29" s="3" t="s">
        <v>44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7">
        <v>130000</v>
      </c>
      <c r="X29" s="7">
        <v>200000</v>
      </c>
      <c r="Y29" s="8" t="s">
        <v>3</v>
      </c>
    </row>
    <row r="30" spans="1:25">
      <c r="A30" s="5" t="s">
        <v>45</v>
      </c>
      <c r="B30" s="6">
        <v>100000</v>
      </c>
      <c r="C30" s="3" t="s">
        <v>46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7">
        <v>80000</v>
      </c>
      <c r="X30" s="7">
        <v>150000</v>
      </c>
      <c r="Y30" s="8" t="s">
        <v>3</v>
      </c>
    </row>
    <row r="31" spans="1:25">
      <c r="A31" s="13" t="s">
        <v>47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>
      <c r="A32" s="5" t="s">
        <v>48</v>
      </c>
      <c r="B32" s="6">
        <v>1</v>
      </c>
      <c r="C32" s="3" t="s">
        <v>49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7">
        <v>0.8</v>
      </c>
      <c r="X32" s="7">
        <v>1.5</v>
      </c>
      <c r="Y32" s="8" t="s">
        <v>3</v>
      </c>
    </row>
    <row r="33" spans="1:25">
      <c r="A33" s="5" t="s">
        <v>50</v>
      </c>
      <c r="B33" s="6">
        <v>0.21</v>
      </c>
      <c r="C33" s="3" t="s">
        <v>51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7">
        <v>0.05</v>
      </c>
      <c r="X33" s="7">
        <v>0.25</v>
      </c>
      <c r="Y33" s="8" t="s">
        <v>3</v>
      </c>
    </row>
    <row r="34" spans="1:25">
      <c r="A34" s="5" t="s">
        <v>52</v>
      </c>
      <c r="B34" s="6">
        <v>60</v>
      </c>
      <c r="C34" s="3" t="s">
        <v>53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7">
        <v>40</v>
      </c>
      <c r="X34" s="7">
        <v>100</v>
      </c>
      <c r="Y34" s="8" t="s">
        <v>3</v>
      </c>
    </row>
    <row r="35" spans="1:25">
      <c r="A35" s="13" t="s">
        <v>54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>
      <c r="A36" s="5" t="s">
        <v>55</v>
      </c>
      <c r="B36" s="3"/>
      <c r="C36" s="3" t="s">
        <v>56</v>
      </c>
      <c r="D36" s="6">
        <f>5*$B$481</f>
        <v>5</v>
      </c>
      <c r="E36" s="6">
        <f>8*$B$481</f>
        <v>8</v>
      </c>
      <c r="F36" s="6">
        <f>12*$B$481</f>
        <v>12</v>
      </c>
      <c r="G36" s="6">
        <f>18*$B$481</f>
        <v>18</v>
      </c>
      <c r="H36" s="6">
        <f>25*$B$481</f>
        <v>25</v>
      </c>
      <c r="I36" s="6">
        <f>30*$B$481</f>
        <v>30</v>
      </c>
      <c r="J36" s="6">
        <f>35*$B$481</f>
        <v>35</v>
      </c>
      <c r="K36" s="6">
        <f>42*$B$481</f>
        <v>42</v>
      </c>
      <c r="L36" s="6">
        <f>50*$B$481</f>
        <v>50</v>
      </c>
      <c r="M36" s="6">
        <f>58*$B$481</f>
        <v>58</v>
      </c>
      <c r="N36" s="6">
        <f>65*$B$481</f>
        <v>65</v>
      </c>
      <c r="O36" s="6">
        <f>70*$B$481</f>
        <v>70</v>
      </c>
      <c r="P36" s="6">
        <f>75*$B$481</f>
        <v>75</v>
      </c>
      <c r="Q36" s="6">
        <f>80*$B$481</f>
        <v>80</v>
      </c>
      <c r="R36" s="6">
        <f>85*$B$481</f>
        <v>85</v>
      </c>
      <c r="S36" s="6">
        <f>90*$B$481</f>
        <v>90</v>
      </c>
      <c r="T36" s="3"/>
      <c r="U36" s="3"/>
      <c r="V36" s="3"/>
      <c r="W36" s="3"/>
      <c r="X36" s="3"/>
      <c r="Y36" s="8" t="s">
        <v>57</v>
      </c>
    </row>
    <row r="37" spans="1:25">
      <c r="A37" s="13" t="s">
        <v>58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>
      <c r="A38" s="5" t="s">
        <v>59</v>
      </c>
      <c r="B38" s="6">
        <v>30</v>
      </c>
      <c r="C38" s="3" t="s">
        <v>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7">
        <v>25</v>
      </c>
      <c r="X38" s="7">
        <v>35</v>
      </c>
      <c r="Y38" s="8" t="s">
        <v>3</v>
      </c>
    </row>
    <row r="39" spans="1:25">
      <c r="A39" s="5" t="s">
        <v>61</v>
      </c>
      <c r="B39" s="6">
        <v>10</v>
      </c>
      <c r="C39" s="3" t="s">
        <v>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7">
        <v>8</v>
      </c>
      <c r="X39" s="7">
        <v>13</v>
      </c>
      <c r="Y39" s="8" t="s">
        <v>3</v>
      </c>
    </row>
    <row r="40" spans="1:25">
      <c r="A40" s="5" t="s">
        <v>63</v>
      </c>
      <c r="B40" s="6">
        <v>1.25</v>
      </c>
      <c r="C40" s="3" t="s">
        <v>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7">
        <v>1</v>
      </c>
      <c r="X40" s="7">
        <v>2</v>
      </c>
      <c r="Y40" s="8" t="s">
        <v>3</v>
      </c>
    </row>
    <row r="41" spans="1:25">
      <c r="A41" s="5" t="s">
        <v>65</v>
      </c>
      <c r="B41" s="6">
        <v>5</v>
      </c>
      <c r="C41" s="3" t="s">
        <v>66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7">
        <v>3</v>
      </c>
      <c r="X41" s="7">
        <v>8</v>
      </c>
      <c r="Y41" s="8" t="s">
        <v>3</v>
      </c>
    </row>
    <row r="42" spans="1:25">
      <c r="A42" s="5" t="s">
        <v>67</v>
      </c>
      <c r="B42" s="6">
        <v>0.03</v>
      </c>
      <c r="C42" s="3" t="s">
        <v>68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7">
        <v>0.02</v>
      </c>
      <c r="X42" s="7">
        <v>0.05</v>
      </c>
      <c r="Y42" s="8" t="s">
        <v>3</v>
      </c>
    </row>
    <row r="43" spans="1:25">
      <c r="A43" s="5" t="s">
        <v>69</v>
      </c>
      <c r="B43" s="6">
        <v>22800</v>
      </c>
      <c r="C43" s="3" t="s">
        <v>70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 t="s">
        <v>20</v>
      </c>
    </row>
    <row r="44" spans="1:25">
      <c r="A44" s="5" t="s">
        <v>71</v>
      </c>
      <c r="B44" s="6">
        <v>35</v>
      </c>
      <c r="C44" s="3" t="s">
        <v>72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7">
        <v>30</v>
      </c>
      <c r="X44" s="7">
        <v>100</v>
      </c>
      <c r="Y44" s="8" t="s">
        <v>3</v>
      </c>
    </row>
    <row r="45" spans="1:25">
      <c r="A45" s="5" t="s">
        <v>73</v>
      </c>
      <c r="B45" s="6">
        <v>0.02</v>
      </c>
      <c r="C45" s="3" t="s">
        <v>74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7">
        <v>0</v>
      </c>
      <c r="X45" s="7">
        <v>0.05</v>
      </c>
      <c r="Y45" s="8" t="s">
        <v>3</v>
      </c>
    </row>
    <row r="46" spans="1:25">
      <c r="A46" s="5" t="s">
        <v>75</v>
      </c>
      <c r="B46" s="6">
        <v>8</v>
      </c>
      <c r="C46" s="3" t="s">
        <v>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7">
        <v>6</v>
      </c>
      <c r="X46" s="7">
        <v>15</v>
      </c>
      <c r="Y46" s="8" t="s">
        <v>3</v>
      </c>
    </row>
    <row r="47" spans="1:25">
      <c r="A47" s="5" t="s">
        <v>77</v>
      </c>
      <c r="B47" s="6">
        <v>8</v>
      </c>
      <c r="C47" s="3" t="s">
        <v>78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7">
        <v>6</v>
      </c>
      <c r="X47" s="7">
        <v>10</v>
      </c>
      <c r="Y47" s="8" t="s">
        <v>3</v>
      </c>
    </row>
    <row r="48" spans="1:25">
      <c r="A48" s="5" t="s">
        <v>79</v>
      </c>
      <c r="B48" s="6">
        <v>2026</v>
      </c>
      <c r="C48" s="3" t="s">
        <v>80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7">
        <v>2026</v>
      </c>
      <c r="X48" s="7">
        <v>2027</v>
      </c>
      <c r="Y48" s="8" t="s">
        <v>13</v>
      </c>
    </row>
    <row r="49" spans="1:25">
      <c r="A49" s="5" t="s">
        <v>81</v>
      </c>
      <c r="B49" s="6">
        <v>8</v>
      </c>
      <c r="C49" s="3" t="s">
        <v>82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7">
        <v>6</v>
      </c>
      <c r="X49" s="7">
        <v>12</v>
      </c>
      <c r="Y49" s="8" t="s">
        <v>3</v>
      </c>
    </row>
    <row r="50" spans="1:25">
      <c r="A50" s="5" t="s">
        <v>83</v>
      </c>
      <c r="B50" s="6">
        <v>28</v>
      </c>
      <c r="C50" s="3" t="s">
        <v>84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20</v>
      </c>
    </row>
    <row r="51" spans="1:25">
      <c r="A51" s="13" t="s">
        <v>85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>
      <c r="A52" s="4" t="s">
        <v>86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5" t="s">
        <v>87</v>
      </c>
      <c r="B53" s="14">
        <v>54.8</v>
      </c>
      <c r="C53" s="3" t="s">
        <v>88</v>
      </c>
      <c r="D53" s="1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3"/>
      <c r="U53" s="3"/>
      <c r="V53" s="3"/>
      <c r="W53" s="3"/>
      <c r="X53" s="3"/>
      <c r="Y53" s="8" t="s">
        <v>57</v>
      </c>
    </row>
    <row r="54" spans="1:25">
      <c r="A54" s="5" t="s">
        <v>89</v>
      </c>
      <c r="B54" s="3"/>
      <c r="C54" s="3" t="s">
        <v>90</v>
      </c>
      <c r="D54" s="6">
        <v>0</v>
      </c>
      <c r="E54" s="6">
        <v>0</v>
      </c>
      <c r="F54" s="6">
        <v>100</v>
      </c>
      <c r="G54" s="6">
        <f t="shared" ref="G54:S54" si="0">$F54*(1+$B$458)^(G$2-2)</f>
        <v>92</v>
      </c>
      <c r="H54" s="6">
        <f t="shared" si="0"/>
        <v>84.64</v>
      </c>
      <c r="I54" s="6">
        <f t="shared" si="0"/>
        <v>77.868800000000007</v>
      </c>
      <c r="J54" s="6">
        <f t="shared" si="0"/>
        <v>71.639296000000002</v>
      </c>
      <c r="K54" s="6">
        <f t="shared" si="0"/>
        <v>65.908152320000013</v>
      </c>
      <c r="L54" s="6">
        <f t="shared" si="0"/>
        <v>60.635500134400012</v>
      </c>
      <c r="M54" s="6">
        <f t="shared" si="0"/>
        <v>55.78466012364801</v>
      </c>
      <c r="N54" s="6">
        <f t="shared" si="0"/>
        <v>51.321887313756179</v>
      </c>
      <c r="O54" s="6">
        <f t="shared" si="0"/>
        <v>47.216136328655686</v>
      </c>
      <c r="P54" s="6">
        <f t="shared" si="0"/>
        <v>43.438845422363229</v>
      </c>
      <c r="Q54" s="6">
        <f t="shared" si="0"/>
        <v>39.963737788574171</v>
      </c>
      <c r="R54" s="6">
        <f t="shared" si="0"/>
        <v>36.766638765488239</v>
      </c>
      <c r="S54" s="6">
        <f t="shared" si="0"/>
        <v>33.825307664249181</v>
      </c>
      <c r="T54" s="3"/>
      <c r="U54" s="3"/>
      <c r="V54" s="3"/>
      <c r="W54" s="3"/>
      <c r="X54" s="3"/>
      <c r="Y54" s="8" t="s">
        <v>57</v>
      </c>
    </row>
    <row r="55" spans="1:25">
      <c r="A55" s="5" t="s">
        <v>91</v>
      </c>
      <c r="B55" s="3"/>
      <c r="C55" s="3" t="s">
        <v>92</v>
      </c>
      <c r="D55" s="6">
        <v>8000</v>
      </c>
      <c r="E55" s="6">
        <f t="shared" ref="E55:S55" si="1">$D55*(1+$B$459)^E$2</f>
        <v>8640</v>
      </c>
      <c r="F55" s="6">
        <f t="shared" si="1"/>
        <v>9331.2000000000007</v>
      </c>
      <c r="G55" s="6">
        <f t="shared" si="1"/>
        <v>10077.696000000002</v>
      </c>
      <c r="H55" s="6">
        <f t="shared" si="1"/>
        <v>10883.911680000003</v>
      </c>
      <c r="I55" s="6">
        <f t="shared" si="1"/>
        <v>11754.624614400003</v>
      </c>
      <c r="J55" s="6">
        <f t="shared" si="1"/>
        <v>12694.994583552005</v>
      </c>
      <c r="K55" s="6">
        <f t="shared" si="1"/>
        <v>13710.594150236166</v>
      </c>
      <c r="L55" s="6">
        <f t="shared" si="1"/>
        <v>14807.441682255059</v>
      </c>
      <c r="M55" s="6">
        <f t="shared" si="1"/>
        <v>15992.037016835464</v>
      </c>
      <c r="N55" s="6">
        <f t="shared" si="1"/>
        <v>17271.3999781823</v>
      </c>
      <c r="O55" s="6">
        <f t="shared" si="1"/>
        <v>18653.111976436885</v>
      </c>
      <c r="P55" s="6">
        <f t="shared" si="1"/>
        <v>20145.360934551838</v>
      </c>
      <c r="Q55" s="6">
        <f t="shared" si="1"/>
        <v>21756.989809315986</v>
      </c>
      <c r="R55" s="6">
        <f t="shared" si="1"/>
        <v>23497.548994061268</v>
      </c>
      <c r="S55" s="6">
        <f t="shared" si="1"/>
        <v>25377.352913586172</v>
      </c>
      <c r="T55" s="3"/>
      <c r="U55" s="3"/>
      <c r="V55" s="3"/>
      <c r="W55" s="3"/>
      <c r="X55" s="3"/>
      <c r="Y55" s="8" t="s">
        <v>57</v>
      </c>
    </row>
    <row r="56" spans="1:25">
      <c r="A56" s="5" t="s">
        <v>93</v>
      </c>
      <c r="B56" s="3"/>
      <c r="C56" s="3" t="s">
        <v>94</v>
      </c>
      <c r="D56" s="6">
        <v>4000</v>
      </c>
      <c r="E56" s="6">
        <f t="shared" ref="E56:S56" si="2">$D56*(1+$B$460)^E$2</f>
        <v>4200</v>
      </c>
      <c r="F56" s="6">
        <f t="shared" si="2"/>
        <v>4410</v>
      </c>
      <c r="G56" s="6">
        <f t="shared" si="2"/>
        <v>4630.5000000000009</v>
      </c>
      <c r="H56" s="6">
        <f t="shared" si="2"/>
        <v>4862.0249999999996</v>
      </c>
      <c r="I56" s="6">
        <f t="shared" si="2"/>
        <v>5105.1262500000003</v>
      </c>
      <c r="J56" s="6">
        <f t="shared" si="2"/>
        <v>5360.3825624999999</v>
      </c>
      <c r="K56" s="6">
        <f t="shared" si="2"/>
        <v>5628.4016906250008</v>
      </c>
      <c r="L56" s="6">
        <f t="shared" si="2"/>
        <v>5909.8217751562506</v>
      </c>
      <c r="M56" s="6">
        <f t="shared" si="2"/>
        <v>6205.3128639140632</v>
      </c>
      <c r="N56" s="6">
        <f t="shared" si="2"/>
        <v>6515.5785071097662</v>
      </c>
      <c r="O56" s="6">
        <f t="shared" si="2"/>
        <v>6841.3574324652554</v>
      </c>
      <c r="P56" s="6">
        <f t="shared" si="2"/>
        <v>7183.4253040885169</v>
      </c>
      <c r="Q56" s="6">
        <f t="shared" si="2"/>
        <v>7542.596569292944</v>
      </c>
      <c r="R56" s="6">
        <f t="shared" si="2"/>
        <v>7919.7263977575894</v>
      </c>
      <c r="S56" s="6">
        <f t="shared" si="2"/>
        <v>8315.7127176454724</v>
      </c>
      <c r="T56" s="3"/>
      <c r="U56" s="3"/>
      <c r="V56" s="3"/>
      <c r="W56" s="3"/>
      <c r="X56" s="3"/>
      <c r="Y56" s="8" t="s">
        <v>57</v>
      </c>
    </row>
    <row r="57" spans="1:25">
      <c r="A57" s="5" t="s">
        <v>95</v>
      </c>
      <c r="B57" s="3"/>
      <c r="C57" s="3" t="s">
        <v>96</v>
      </c>
      <c r="D57" s="6">
        <v>0.75</v>
      </c>
      <c r="E57" s="6">
        <f t="shared" ref="E57:S57" si="3">MIN(0.8,$D57+$B$461*E$2)</f>
        <v>0.75333333329999996</v>
      </c>
      <c r="F57" s="6">
        <f t="shared" si="3"/>
        <v>0.75666666660000004</v>
      </c>
      <c r="G57" s="6">
        <f t="shared" si="3"/>
        <v>0.7599999999</v>
      </c>
      <c r="H57" s="6">
        <f t="shared" si="3"/>
        <v>0.76333333319999996</v>
      </c>
      <c r="I57" s="6">
        <f t="shared" si="3"/>
        <v>0.76666666650000004</v>
      </c>
      <c r="J57" s="6">
        <f t="shared" si="3"/>
        <v>0.7699999998</v>
      </c>
      <c r="K57" s="6">
        <f t="shared" si="3"/>
        <v>0.77333333309999996</v>
      </c>
      <c r="L57" s="6">
        <f t="shared" si="3"/>
        <v>0.77666666640000004</v>
      </c>
      <c r="M57" s="6">
        <f t="shared" si="3"/>
        <v>0.7799999997</v>
      </c>
      <c r="N57" s="6">
        <f t="shared" si="3"/>
        <v>0.78333333299999997</v>
      </c>
      <c r="O57" s="6">
        <f t="shared" si="3"/>
        <v>0.78666666630000004</v>
      </c>
      <c r="P57" s="6">
        <f t="shared" si="3"/>
        <v>0.7899999996</v>
      </c>
      <c r="Q57" s="6">
        <f t="shared" si="3"/>
        <v>0.79333333289999997</v>
      </c>
      <c r="R57" s="6">
        <f t="shared" si="3"/>
        <v>0.79666666620000004</v>
      </c>
      <c r="S57" s="6">
        <f t="shared" si="3"/>
        <v>0.7999999995</v>
      </c>
      <c r="T57" s="3"/>
      <c r="U57" s="3"/>
      <c r="V57" s="3"/>
      <c r="W57" s="3"/>
      <c r="X57" s="3"/>
      <c r="Y57" s="8" t="s">
        <v>57</v>
      </c>
    </row>
    <row r="58" spans="1:25">
      <c r="A58" s="5" t="s">
        <v>97</v>
      </c>
      <c r="B58" s="3"/>
      <c r="C58" s="3" t="s">
        <v>98</v>
      </c>
      <c r="D58" s="6">
        <v>0.9</v>
      </c>
      <c r="E58" s="6">
        <f t="shared" ref="E58:S58" si="4">MAX(0.8,$D58+$B$462*E$2)</f>
        <v>0.89333333329999998</v>
      </c>
      <c r="F58" s="6">
        <f t="shared" si="4"/>
        <v>0.88666666660000004</v>
      </c>
      <c r="G58" s="6">
        <f t="shared" si="4"/>
        <v>0.8799999999</v>
      </c>
      <c r="H58" s="6">
        <f t="shared" si="4"/>
        <v>0.87333333320000006</v>
      </c>
      <c r="I58" s="6">
        <f t="shared" si="4"/>
        <v>0.86666666650000002</v>
      </c>
      <c r="J58" s="6">
        <f t="shared" si="4"/>
        <v>0.85999999980000008</v>
      </c>
      <c r="K58" s="6">
        <f t="shared" si="4"/>
        <v>0.85333333310000004</v>
      </c>
      <c r="L58" s="6">
        <f t="shared" si="4"/>
        <v>0.84666666639999999</v>
      </c>
      <c r="M58" s="6">
        <f t="shared" si="4"/>
        <v>0.83999999970000006</v>
      </c>
      <c r="N58" s="6">
        <f t="shared" si="4"/>
        <v>0.83333333300000001</v>
      </c>
      <c r="O58" s="6">
        <f t="shared" si="4"/>
        <v>0.82666666629999996</v>
      </c>
      <c r="P58" s="6">
        <f t="shared" si="4"/>
        <v>0.81999999960000003</v>
      </c>
      <c r="Q58" s="6">
        <f t="shared" si="4"/>
        <v>0.81333333289999998</v>
      </c>
      <c r="R58" s="6">
        <f t="shared" si="4"/>
        <v>0.80666666620000005</v>
      </c>
      <c r="S58" s="6">
        <f t="shared" si="4"/>
        <v>0.8</v>
      </c>
      <c r="T58" s="3"/>
      <c r="U58" s="3"/>
      <c r="V58" s="3"/>
      <c r="W58" s="3"/>
      <c r="X58" s="3"/>
      <c r="Y58" s="8" t="s">
        <v>57</v>
      </c>
    </row>
    <row r="59" spans="1:25">
      <c r="A59" s="5" t="s">
        <v>99</v>
      </c>
      <c r="B59" s="6">
        <v>0.05</v>
      </c>
      <c r="C59" s="3" t="s">
        <v>100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7">
        <v>0.03</v>
      </c>
      <c r="X59" s="7">
        <v>0.08</v>
      </c>
      <c r="Y59" s="8" t="s">
        <v>3</v>
      </c>
    </row>
    <row r="60" spans="1:25">
      <c r="A60" s="5" t="s">
        <v>101</v>
      </c>
      <c r="B60" s="6">
        <v>0.02</v>
      </c>
      <c r="C60" s="3" t="s">
        <v>100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7">
        <v>0.01</v>
      </c>
      <c r="X60" s="7">
        <v>0.04</v>
      </c>
      <c r="Y60" s="8" t="s">
        <v>3</v>
      </c>
    </row>
    <row r="61" spans="1:25">
      <c r="A61" s="13" t="s">
        <v>102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>
      <c r="A62" s="4" t="s">
        <v>103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13" t="s">
        <v>104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>
      <c r="A64" s="5" t="s">
        <v>105</v>
      </c>
      <c r="B64" s="6">
        <v>650</v>
      </c>
      <c r="C64" s="3" t="s">
        <v>106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7">
        <v>500</v>
      </c>
      <c r="X64" s="7">
        <v>800</v>
      </c>
      <c r="Y64" s="8" t="s">
        <v>3</v>
      </c>
    </row>
    <row r="65" spans="1:25">
      <c r="A65" s="5" t="s">
        <v>107</v>
      </c>
      <c r="B65" s="6">
        <v>0.05</v>
      </c>
      <c r="C65" s="3" t="s">
        <v>100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7">
        <v>0.03</v>
      </c>
      <c r="X65" s="7">
        <v>0.17</v>
      </c>
      <c r="Y65" s="8" t="s">
        <v>3</v>
      </c>
    </row>
    <row r="66" spans="1:25">
      <c r="A66" s="5" t="s">
        <v>108</v>
      </c>
      <c r="B66" s="6">
        <v>400</v>
      </c>
      <c r="C66" s="3" t="s">
        <v>100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7">
        <v>300</v>
      </c>
      <c r="X66" s="7">
        <v>500</v>
      </c>
      <c r="Y66" s="8" t="s">
        <v>3</v>
      </c>
    </row>
    <row r="67" spans="1:25">
      <c r="A67" s="13" t="s">
        <v>109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>
      <c r="A68" s="5" t="s">
        <v>110</v>
      </c>
      <c r="B68" s="6">
        <v>128.80000000000001</v>
      </c>
      <c r="C68" s="3" t="s">
        <v>111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7">
        <v>110</v>
      </c>
      <c r="X68" s="7">
        <v>150</v>
      </c>
      <c r="Y68" s="8" t="s">
        <v>3</v>
      </c>
    </row>
    <row r="69" spans="1:25">
      <c r="A69" s="13" t="s">
        <v>112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>
      <c r="A70" s="5" t="s">
        <v>113</v>
      </c>
      <c r="B70" s="6">
        <v>4.4000000000000004</v>
      </c>
      <c r="C70" s="3" t="s">
        <v>114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7">
        <v>3.5</v>
      </c>
      <c r="X70" s="7">
        <v>6</v>
      </c>
      <c r="Y70" s="8" t="s">
        <v>3</v>
      </c>
    </row>
    <row r="71" spans="1:25">
      <c r="A71" s="5" t="s">
        <v>115</v>
      </c>
      <c r="B71" s="3"/>
      <c r="C71" s="3" t="s">
        <v>116</v>
      </c>
      <c r="D71" s="6">
        <v>81</v>
      </c>
      <c r="E71" s="6">
        <f t="shared" ref="E71:S71" si="5">MAX($B$466,$D71*(1+$B$465)^E$2)</f>
        <v>75.977999999999994</v>
      </c>
      <c r="F71" s="6">
        <f t="shared" si="5"/>
        <v>71.267363999999986</v>
      </c>
      <c r="G71" s="6">
        <f t="shared" si="5"/>
        <v>66.84878743199998</v>
      </c>
      <c r="H71" s="6">
        <f t="shared" si="5"/>
        <v>62.704162611215978</v>
      </c>
      <c r="I71" s="6">
        <f t="shared" si="5"/>
        <v>58.816504529320582</v>
      </c>
      <c r="J71" s="6">
        <f t="shared" si="5"/>
        <v>55.169881248502705</v>
      </c>
      <c r="K71" s="6">
        <f t="shared" si="5"/>
        <v>51.749348611095535</v>
      </c>
      <c r="L71" s="6">
        <f t="shared" si="5"/>
        <v>48.540888997207603</v>
      </c>
      <c r="M71" s="6">
        <f t="shared" si="5"/>
        <v>47.5</v>
      </c>
      <c r="N71" s="6">
        <f t="shared" si="5"/>
        <v>47.5</v>
      </c>
      <c r="O71" s="6">
        <f t="shared" si="5"/>
        <v>47.5</v>
      </c>
      <c r="P71" s="6">
        <f t="shared" si="5"/>
        <v>47.5</v>
      </c>
      <c r="Q71" s="6">
        <f t="shared" si="5"/>
        <v>47.5</v>
      </c>
      <c r="R71" s="6">
        <f t="shared" si="5"/>
        <v>47.5</v>
      </c>
      <c r="S71" s="6">
        <f t="shared" si="5"/>
        <v>47.5</v>
      </c>
      <c r="T71" s="3"/>
      <c r="U71" s="3"/>
      <c r="V71" s="3"/>
      <c r="W71" s="3"/>
      <c r="X71" s="3"/>
      <c r="Y71" s="8" t="s">
        <v>117</v>
      </c>
    </row>
    <row r="72" spans="1:25">
      <c r="A72" s="5" t="s">
        <v>118</v>
      </c>
      <c r="B72" s="6">
        <v>500</v>
      </c>
      <c r="C72" s="3" t="s">
        <v>119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7">
        <v>400</v>
      </c>
      <c r="X72" s="7">
        <v>700</v>
      </c>
      <c r="Y72" s="8" t="s">
        <v>3</v>
      </c>
    </row>
    <row r="73" spans="1:25">
      <c r="A73" s="4" t="s">
        <v>120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5" t="s">
        <v>121</v>
      </c>
      <c r="B74" s="6">
        <v>1979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 t="s">
        <v>20</v>
      </c>
    </row>
    <row r="75" spans="1:25">
      <c r="A75" s="13" t="s">
        <v>122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>
      <c r="A76" s="5" t="s">
        <v>123</v>
      </c>
      <c r="B76" s="6">
        <v>1.4</v>
      </c>
      <c r="C76" s="3" t="s">
        <v>124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7">
        <v>1.3</v>
      </c>
      <c r="X76" s="7">
        <v>1.6</v>
      </c>
      <c r="Y76" s="8" t="s">
        <v>3</v>
      </c>
    </row>
    <row r="77" spans="1:25">
      <c r="A77" s="5" t="s">
        <v>125</v>
      </c>
      <c r="B77" s="6">
        <v>1.1200000000000001</v>
      </c>
      <c r="C77" s="3" t="s">
        <v>126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7">
        <v>1.05</v>
      </c>
      <c r="X77" s="7">
        <v>1.25</v>
      </c>
      <c r="Y77" s="8" t="s">
        <v>3</v>
      </c>
    </row>
    <row r="78" spans="1:25">
      <c r="A78" s="5" t="s">
        <v>127</v>
      </c>
      <c r="B78" s="6">
        <v>2028</v>
      </c>
      <c r="C78" s="3" t="s">
        <v>128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 t="s">
        <v>20</v>
      </c>
    </row>
    <row r="79" spans="1:25">
      <c r="A79" s="16" t="s">
        <v>129</v>
      </c>
      <c r="B79" s="17"/>
      <c r="C79" s="17" t="s">
        <v>130</v>
      </c>
      <c r="D79" s="6">
        <f>0.8*$B$482</f>
        <v>0.8</v>
      </c>
      <c r="E79" s="6">
        <f>1.5*$B$482</f>
        <v>1.5</v>
      </c>
      <c r="F79" s="6">
        <f>2.5*$B$482</f>
        <v>2.5</v>
      </c>
      <c r="G79" s="6">
        <f>4*$B$482</f>
        <v>4</v>
      </c>
      <c r="H79" s="6">
        <f>6*$B$482</f>
        <v>6</v>
      </c>
      <c r="I79" s="6">
        <f>8*$B$482</f>
        <v>8</v>
      </c>
      <c r="J79" s="6">
        <f>10*$B$482</f>
        <v>10</v>
      </c>
      <c r="K79" s="6">
        <f>12*$B$482</f>
        <v>12</v>
      </c>
      <c r="L79" s="6">
        <f>14*$B$482</f>
        <v>14</v>
      </c>
      <c r="M79" s="6">
        <f>16*$B$482</f>
        <v>16</v>
      </c>
      <c r="N79" s="6">
        <f>18*$B$482</f>
        <v>18</v>
      </c>
      <c r="O79" s="6">
        <f>20*$B$482</f>
        <v>20</v>
      </c>
      <c r="P79" s="6">
        <f>22*$B$482</f>
        <v>22</v>
      </c>
      <c r="Q79" s="6">
        <f>24*$B$482</f>
        <v>24</v>
      </c>
      <c r="R79" s="6">
        <f>26*$B$482</f>
        <v>26</v>
      </c>
      <c r="S79" s="6">
        <f>28*$B$482</f>
        <v>28</v>
      </c>
      <c r="T79" s="17"/>
      <c r="U79" s="17"/>
      <c r="V79" s="17"/>
      <c r="W79" s="17"/>
      <c r="X79" s="17"/>
      <c r="Y79" s="17" t="s">
        <v>57</v>
      </c>
    </row>
    <row r="80" spans="1:25">
      <c r="A80" s="4" t="s">
        <v>131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13" t="s">
        <v>132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>
      <c r="A82" s="5" t="s">
        <v>133</v>
      </c>
      <c r="B82" s="6">
        <v>10</v>
      </c>
      <c r="C82" s="3" t="s">
        <v>134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7">
        <v>7</v>
      </c>
      <c r="X82" s="7">
        <v>15</v>
      </c>
      <c r="Y82" s="8" t="s">
        <v>3</v>
      </c>
    </row>
    <row r="83" spans="1:25">
      <c r="A83" s="5" t="s">
        <v>135</v>
      </c>
      <c r="B83" s="6">
        <v>0.05</v>
      </c>
      <c r="C83" s="3" t="s">
        <v>136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7">
        <v>0.03</v>
      </c>
      <c r="X83" s="7">
        <v>0.1</v>
      </c>
      <c r="Y83" s="8" t="s">
        <v>3</v>
      </c>
    </row>
    <row r="84" spans="1:25">
      <c r="A84" s="5" t="s">
        <v>137</v>
      </c>
      <c r="B84" s="6">
        <v>0.05</v>
      </c>
      <c r="C84" s="3" t="s">
        <v>138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7">
        <v>0.03</v>
      </c>
      <c r="X84" s="7">
        <v>0.1</v>
      </c>
      <c r="Y84" s="8" t="s">
        <v>3</v>
      </c>
    </row>
    <row r="85" spans="1:25">
      <c r="A85" s="5" t="s">
        <v>139</v>
      </c>
      <c r="B85" s="6">
        <v>2030</v>
      </c>
      <c r="C85" s="3" t="s">
        <v>140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 t="s">
        <v>20</v>
      </c>
    </row>
    <row r="86" spans="1:25">
      <c r="A86" s="13" t="s">
        <v>141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>
      <c r="A87" s="5" t="s">
        <v>142</v>
      </c>
      <c r="B87" s="6">
        <v>60</v>
      </c>
      <c r="C87" s="3" t="s">
        <v>143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7">
        <v>40</v>
      </c>
      <c r="X87" s="7">
        <v>100</v>
      </c>
      <c r="Y87" s="8" t="s">
        <v>3</v>
      </c>
    </row>
    <row r="88" spans="1:25">
      <c r="A88" s="5" t="s">
        <v>144</v>
      </c>
      <c r="B88" s="6">
        <v>31.43</v>
      </c>
      <c r="C88" s="3" t="s">
        <v>145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 t="s">
        <v>20</v>
      </c>
    </row>
    <row r="89" spans="1:25">
      <c r="A89" s="5" t="s">
        <v>146</v>
      </c>
      <c r="B89" s="6">
        <v>22</v>
      </c>
      <c r="C89" s="3" t="s">
        <v>147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7">
        <v>18</v>
      </c>
      <c r="X89" s="7">
        <v>24</v>
      </c>
      <c r="Y89" s="8" t="s">
        <v>3</v>
      </c>
    </row>
    <row r="90" spans="1:25">
      <c r="A90" s="5" t="s">
        <v>148</v>
      </c>
      <c r="B90" s="6">
        <v>1</v>
      </c>
      <c r="C90" s="3" t="s">
        <v>149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7">
        <v>0.25</v>
      </c>
      <c r="X90" s="7">
        <v>2</v>
      </c>
      <c r="Y90" s="8" t="s">
        <v>3</v>
      </c>
    </row>
    <row r="91" spans="1:25">
      <c r="A91" s="5" t="s">
        <v>150</v>
      </c>
      <c r="B91" s="6">
        <v>0.05</v>
      </c>
      <c r="C91" s="3" t="s">
        <v>151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7">
        <v>0.02</v>
      </c>
      <c r="X91" s="7">
        <v>0.15</v>
      </c>
      <c r="Y91" s="8" t="s">
        <v>3</v>
      </c>
    </row>
    <row r="92" spans="1:25">
      <c r="A92" s="5" t="s">
        <v>152</v>
      </c>
      <c r="B92" s="6">
        <v>5</v>
      </c>
      <c r="C92" s="3" t="s">
        <v>153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7">
        <v>3</v>
      </c>
      <c r="X92" s="7">
        <v>8</v>
      </c>
      <c r="Y92" s="8" t="s">
        <v>3</v>
      </c>
    </row>
    <row r="93" spans="1:25">
      <c r="A93" s="13" t="s">
        <v>154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>
      <c r="A94" s="5" t="s">
        <v>155</v>
      </c>
      <c r="B94" s="6">
        <v>5</v>
      </c>
      <c r="C94" s="3" t="s">
        <v>156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7">
        <v>4</v>
      </c>
      <c r="X94" s="7">
        <v>6</v>
      </c>
      <c r="Y94" s="8" t="s">
        <v>3</v>
      </c>
    </row>
    <row r="95" spans="1:25">
      <c r="A95" s="5" t="s">
        <v>157</v>
      </c>
      <c r="B95" s="6">
        <v>100000</v>
      </c>
      <c r="C95" s="3" t="s">
        <v>158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7">
        <v>80000</v>
      </c>
      <c r="X95" s="7">
        <v>120000</v>
      </c>
      <c r="Y95" s="8" t="s">
        <v>3</v>
      </c>
    </row>
    <row r="96" spans="1:25">
      <c r="A96" s="5" t="s">
        <v>159</v>
      </c>
      <c r="B96" s="6">
        <v>0.3</v>
      </c>
      <c r="C96" s="3" t="s">
        <v>160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7">
        <v>0.1</v>
      </c>
      <c r="X96" s="7">
        <v>0.5</v>
      </c>
      <c r="Y96" s="8" t="s">
        <v>3</v>
      </c>
    </row>
    <row r="97" spans="1:25">
      <c r="A97" s="13" t="s">
        <v>161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>
      <c r="A98" s="5" t="s">
        <v>162</v>
      </c>
      <c r="B98" s="6">
        <v>5</v>
      </c>
      <c r="C98" s="3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7">
        <v>3</v>
      </c>
      <c r="X98" s="7">
        <v>8</v>
      </c>
      <c r="Y98" s="8" t="s">
        <v>3</v>
      </c>
    </row>
    <row r="99" spans="1:25">
      <c r="A99" s="5" t="s">
        <v>164</v>
      </c>
      <c r="B99" s="6">
        <v>100000</v>
      </c>
      <c r="C99" s="3" t="s">
        <v>165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7">
        <v>70000</v>
      </c>
      <c r="X99" s="7">
        <v>130000</v>
      </c>
      <c r="Y99" s="8" t="s">
        <v>3</v>
      </c>
    </row>
    <row r="100" spans="1:25">
      <c r="A100" s="5" t="s">
        <v>166</v>
      </c>
      <c r="B100" s="6">
        <v>0.3</v>
      </c>
      <c r="C100" s="3" t="s">
        <v>167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7">
        <v>0.1</v>
      </c>
      <c r="X100" s="7">
        <v>0.5</v>
      </c>
      <c r="Y100" s="8" t="s">
        <v>3</v>
      </c>
    </row>
    <row r="101" spans="1:25">
      <c r="A101" s="13" t="s">
        <v>168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>
      <c r="A102" s="5" t="s">
        <v>169</v>
      </c>
      <c r="B102" s="18">
        <v>40000</v>
      </c>
      <c r="C102" s="3" t="s">
        <v>170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3"/>
      <c r="U102" s="3"/>
      <c r="V102" s="3"/>
      <c r="W102" s="7">
        <v>20000</v>
      </c>
      <c r="X102" s="7">
        <v>80000</v>
      </c>
      <c r="Y102" s="8" t="s">
        <v>3</v>
      </c>
    </row>
    <row r="103" spans="1:25">
      <c r="A103" s="5" t="s">
        <v>171</v>
      </c>
      <c r="B103" s="18">
        <v>15000</v>
      </c>
      <c r="C103" s="3" t="s">
        <v>172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3"/>
      <c r="U103" s="3"/>
      <c r="V103" s="3"/>
      <c r="W103" s="7">
        <v>8000</v>
      </c>
      <c r="X103" s="7">
        <v>25000</v>
      </c>
      <c r="Y103" s="8" t="s">
        <v>3</v>
      </c>
    </row>
    <row r="104" spans="1:25">
      <c r="A104" s="13" t="s">
        <v>173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>
      <c r="A105" s="5" t="s">
        <v>174</v>
      </c>
      <c r="B105" s="3"/>
      <c r="C105" s="3" t="s">
        <v>175</v>
      </c>
      <c r="D105" s="6">
        <v>1</v>
      </c>
      <c r="E105" s="6">
        <f t="shared" ref="E105:S105" si="6">MAX($B$468,$D105*(1+$B$467)^E$2)</f>
        <v>0.84599999999999997</v>
      </c>
      <c r="F105" s="6">
        <f t="shared" si="6"/>
        <v>0.71571599999999991</v>
      </c>
      <c r="G105" s="6">
        <f t="shared" si="6"/>
        <v>0.60549573599999995</v>
      </c>
      <c r="H105" s="6">
        <f t="shared" si="6"/>
        <v>0.51224939265599989</v>
      </c>
      <c r="I105" s="6">
        <f t="shared" si="6"/>
        <v>0.43336298618697588</v>
      </c>
      <c r="J105" s="6">
        <f t="shared" si="6"/>
        <v>0.36662508631418156</v>
      </c>
      <c r="K105" s="6">
        <f t="shared" si="6"/>
        <v>0.3101648230217976</v>
      </c>
      <c r="L105" s="6">
        <f t="shared" si="6"/>
        <v>0.26239944027644074</v>
      </c>
      <c r="M105" s="6">
        <f t="shared" si="6"/>
        <v>0.22198992647386886</v>
      </c>
      <c r="N105" s="6">
        <f t="shared" si="6"/>
        <v>0.18780347779689305</v>
      </c>
      <c r="O105" s="6">
        <f t="shared" si="6"/>
        <v>0.18329999999999999</v>
      </c>
      <c r="P105" s="6">
        <f t="shared" si="6"/>
        <v>0.18329999999999999</v>
      </c>
      <c r="Q105" s="6">
        <f t="shared" si="6"/>
        <v>0.18329999999999999</v>
      </c>
      <c r="R105" s="6">
        <f t="shared" si="6"/>
        <v>0.18329999999999999</v>
      </c>
      <c r="S105" s="6">
        <f t="shared" si="6"/>
        <v>0.18329999999999999</v>
      </c>
      <c r="T105" s="3"/>
      <c r="U105" s="3"/>
      <c r="V105" s="3"/>
      <c r="W105" s="3"/>
      <c r="X105" s="3"/>
      <c r="Y105" s="8"/>
    </row>
    <row r="106" spans="1:25">
      <c r="A106" s="4" t="s">
        <v>176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13" t="s">
        <v>177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>
      <c r="A108" s="5" t="s">
        <v>178</v>
      </c>
      <c r="B108" s="6">
        <v>5.2999999999999999E-2</v>
      </c>
      <c r="C108" s="3" t="s">
        <v>179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7">
        <v>0.03</v>
      </c>
      <c r="X108" s="7">
        <v>0.12</v>
      </c>
      <c r="Y108" s="8" t="s">
        <v>3</v>
      </c>
    </row>
    <row r="109" spans="1:25">
      <c r="A109" s="5" t="s">
        <v>180</v>
      </c>
      <c r="B109" s="6">
        <v>0.03</v>
      </c>
      <c r="C109" s="3" t="s">
        <v>181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7">
        <v>0.02</v>
      </c>
      <c r="X109" s="7">
        <v>0.05</v>
      </c>
      <c r="Y109" s="8" t="s">
        <v>3</v>
      </c>
    </row>
    <row r="110" spans="1:25">
      <c r="A110" s="5" t="s">
        <v>182</v>
      </c>
      <c r="B110" s="6">
        <v>-0.1</v>
      </c>
      <c r="C110" s="3" t="s">
        <v>183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7">
        <v>-0.2</v>
      </c>
      <c r="X110" s="7">
        <v>-0.05</v>
      </c>
      <c r="Y110" s="8" t="s">
        <v>3</v>
      </c>
    </row>
    <row r="111" spans="1:25">
      <c r="A111" s="5" t="s">
        <v>184</v>
      </c>
      <c r="B111" s="9">
        <v>0.05</v>
      </c>
      <c r="C111" s="17" t="s">
        <v>185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7">
        <v>0.04</v>
      </c>
      <c r="X111" s="7">
        <v>0.1</v>
      </c>
      <c r="Y111" s="8" t="s">
        <v>3</v>
      </c>
    </row>
    <row r="112" spans="1:25">
      <c r="A112" s="19" t="s">
        <v>186</v>
      </c>
      <c r="B112" s="20"/>
      <c r="C112" s="20" t="s">
        <v>187</v>
      </c>
      <c r="D112" s="21">
        <f>3004*$B$483</f>
        <v>3004</v>
      </c>
      <c r="E112" s="21">
        <f>3500*$B$483</f>
        <v>3500</v>
      </c>
      <c r="F112" s="21">
        <f>3800*$B$483</f>
        <v>3800</v>
      </c>
      <c r="G112" s="21">
        <f>3500*$B$483</f>
        <v>3500</v>
      </c>
      <c r="H112" s="21">
        <f>3000*$B$483</f>
        <v>3000</v>
      </c>
      <c r="I112" s="21">
        <f>2500*$B$483</f>
        <v>2500</v>
      </c>
      <c r="J112" s="21">
        <f>2200*$B$483</f>
        <v>2200</v>
      </c>
      <c r="K112" s="21">
        <f>1900*$B$483</f>
        <v>1900</v>
      </c>
      <c r="L112" s="21">
        <f>1700*$B$483</f>
        <v>1700</v>
      </c>
      <c r="M112" s="21">
        <f>1500*$B$483</f>
        <v>1500</v>
      </c>
      <c r="N112" s="21">
        <f>1300*$B$483</f>
        <v>1300</v>
      </c>
      <c r="O112" s="21">
        <f>1200*$B$483</f>
        <v>1200</v>
      </c>
      <c r="P112" s="21">
        <f>1100*$B$483</f>
        <v>1100</v>
      </c>
      <c r="Q112" s="21">
        <f>1000*$B$483</f>
        <v>1000</v>
      </c>
      <c r="R112" s="21">
        <f>950*$B$483</f>
        <v>950</v>
      </c>
      <c r="S112" s="21">
        <f>900*$B$483</f>
        <v>900</v>
      </c>
      <c r="T112" s="3"/>
      <c r="U112" s="3"/>
      <c r="V112" s="3"/>
      <c r="W112" s="3"/>
      <c r="X112" s="3"/>
      <c r="Y112" s="8" t="s">
        <v>117</v>
      </c>
    </row>
    <row r="113" spans="1:25">
      <c r="A113" s="13" t="s">
        <v>188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>
      <c r="A114" s="5" t="s">
        <v>189</v>
      </c>
      <c r="B114" s="3"/>
      <c r="C114" s="3" t="s">
        <v>190</v>
      </c>
      <c r="D114" s="6">
        <v>100</v>
      </c>
      <c r="E114" s="6">
        <f t="shared" ref="E114:S114" si="7">$D114*(1+$B$463)^E$2</f>
        <v>110.00000000000001</v>
      </c>
      <c r="F114" s="6">
        <f t="shared" si="7"/>
        <v>121.00000000000001</v>
      </c>
      <c r="G114" s="6">
        <f t="shared" si="7"/>
        <v>133.10000000000005</v>
      </c>
      <c r="H114" s="6">
        <f t="shared" si="7"/>
        <v>146.41000000000005</v>
      </c>
      <c r="I114" s="6">
        <f t="shared" si="7"/>
        <v>161.05100000000004</v>
      </c>
      <c r="J114" s="6">
        <f t="shared" si="7"/>
        <v>177.15610000000009</v>
      </c>
      <c r="K114" s="6">
        <f t="shared" si="7"/>
        <v>194.87171000000012</v>
      </c>
      <c r="L114" s="6">
        <f t="shared" si="7"/>
        <v>214.35888100000011</v>
      </c>
      <c r="M114" s="6">
        <f t="shared" si="7"/>
        <v>235.79476910000014</v>
      </c>
      <c r="N114" s="6">
        <f t="shared" si="7"/>
        <v>259.37424601000021</v>
      </c>
      <c r="O114" s="6">
        <f t="shared" si="7"/>
        <v>285.31167061100024</v>
      </c>
      <c r="P114" s="6">
        <f t="shared" si="7"/>
        <v>313.84283767210025</v>
      </c>
      <c r="Q114" s="6">
        <f t="shared" si="7"/>
        <v>345.22712143931028</v>
      </c>
      <c r="R114" s="6">
        <f t="shared" si="7"/>
        <v>379.74983358324141</v>
      </c>
      <c r="S114" s="6">
        <f t="shared" si="7"/>
        <v>417.72481694156556</v>
      </c>
      <c r="T114" s="3"/>
      <c r="U114" s="3"/>
      <c r="V114" s="3"/>
      <c r="W114" s="3"/>
      <c r="X114" s="3"/>
      <c r="Y114" s="8" t="s">
        <v>117</v>
      </c>
    </row>
    <row r="115" spans="1:25">
      <c r="A115" s="13" t="s">
        <v>191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>
      <c r="A116" s="5" t="s">
        <v>192</v>
      </c>
      <c r="B116" s="6">
        <v>0.03</v>
      </c>
      <c r="C116" s="3" t="s">
        <v>193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7">
        <v>0.02</v>
      </c>
      <c r="X116" s="7">
        <v>0.06</v>
      </c>
      <c r="Y116" s="8" t="s">
        <v>3</v>
      </c>
    </row>
    <row r="117" spans="1:25">
      <c r="A117" s="5" t="s">
        <v>194</v>
      </c>
      <c r="B117" s="6">
        <v>0.02</v>
      </c>
      <c r="C117" s="3" t="s">
        <v>195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7">
        <v>0.01</v>
      </c>
      <c r="X117" s="7">
        <v>0.04</v>
      </c>
      <c r="Y117" s="8" t="s">
        <v>3</v>
      </c>
    </row>
    <row r="118" spans="1:25">
      <c r="A118" s="5" t="s">
        <v>196</v>
      </c>
      <c r="B118" s="6">
        <v>-0.08</v>
      </c>
      <c r="C118" s="3" t="s">
        <v>197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7">
        <v>-0.15</v>
      </c>
      <c r="X118" s="7">
        <v>-0.04</v>
      </c>
      <c r="Y118" s="8" t="s">
        <v>3</v>
      </c>
    </row>
    <row r="119" spans="1:25">
      <c r="A119" s="5" t="s">
        <v>198</v>
      </c>
      <c r="B119" s="6">
        <v>0.03</v>
      </c>
      <c r="C119" s="3" t="s">
        <v>199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7">
        <v>0.03</v>
      </c>
      <c r="X119" s="7">
        <v>7.0000000000000007E-2</v>
      </c>
      <c r="Y119" s="8" t="s">
        <v>3</v>
      </c>
    </row>
    <row r="120" spans="1:25">
      <c r="A120" s="5" t="s">
        <v>200</v>
      </c>
      <c r="B120" s="6">
        <v>1.4999999999999999E-2</v>
      </c>
      <c r="C120" s="3" t="s">
        <v>201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7">
        <v>0.01</v>
      </c>
      <c r="X120" s="7">
        <v>0.05</v>
      </c>
      <c r="Y120" s="8" t="s">
        <v>3</v>
      </c>
    </row>
    <row r="121" spans="1:25">
      <c r="A121" s="5" t="s">
        <v>202</v>
      </c>
      <c r="B121" s="6">
        <v>-0.06</v>
      </c>
      <c r="C121" s="3" t="s">
        <v>203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7">
        <v>-0.05</v>
      </c>
      <c r="X121" s="7">
        <v>0.05</v>
      </c>
      <c r="Y121" s="8" t="s">
        <v>3</v>
      </c>
    </row>
    <row r="122" spans="1:25">
      <c r="A122" s="5" t="s">
        <v>204</v>
      </c>
      <c r="B122" s="6">
        <v>0.02</v>
      </c>
      <c r="C122" s="3" t="s">
        <v>205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7">
        <v>0.01</v>
      </c>
      <c r="X122" s="7">
        <v>0.04</v>
      </c>
      <c r="Y122" s="8" t="s">
        <v>3</v>
      </c>
    </row>
    <row r="123" spans="1:25">
      <c r="A123" s="5" t="s">
        <v>206</v>
      </c>
      <c r="B123" s="6">
        <v>5.0000000000000001E-3</v>
      </c>
      <c r="C123" s="3" t="s">
        <v>207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7">
        <v>5.0000000000000001E-3</v>
      </c>
      <c r="X123" s="7">
        <v>2.5000000000000001E-2</v>
      </c>
      <c r="Y123" s="8" t="s">
        <v>3</v>
      </c>
    </row>
    <row r="124" spans="1:25">
      <c r="A124" s="4" t="s">
        <v>208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13" t="s">
        <v>209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>
      <c r="A126" s="19" t="s">
        <v>210</v>
      </c>
      <c r="B126" s="21">
        <v>0.1</v>
      </c>
      <c r="C126" s="20" t="s">
        <v>211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3"/>
      <c r="U126" s="3"/>
      <c r="V126" s="3"/>
      <c r="W126" s="7">
        <v>0.08</v>
      </c>
      <c r="X126" s="7">
        <v>0.14000000000000001</v>
      </c>
      <c r="Y126" s="8" t="s">
        <v>3</v>
      </c>
    </row>
    <row r="127" spans="1:25">
      <c r="A127" s="13" t="s">
        <v>212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>
      <c r="A128" s="5" t="s">
        <v>213</v>
      </c>
      <c r="B128" s="6">
        <v>2.5000000000000001E-2</v>
      </c>
      <c r="C128" s="3" t="s">
        <v>214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7">
        <v>1.4999999999999999E-2</v>
      </c>
      <c r="X128" s="7">
        <v>3.5000000000000003E-2</v>
      </c>
      <c r="Y128" s="8" t="s">
        <v>3</v>
      </c>
    </row>
    <row r="129" spans="1:25">
      <c r="A129" s="5" t="s">
        <v>215</v>
      </c>
      <c r="B129" s="6">
        <v>1.5</v>
      </c>
      <c r="C129" s="3" t="s">
        <v>216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7">
        <v>0.5</v>
      </c>
      <c r="X129" s="7">
        <v>3</v>
      </c>
      <c r="Y129" s="8" t="s">
        <v>3</v>
      </c>
    </row>
    <row r="130" spans="1:25">
      <c r="A130" s="19" t="s">
        <v>217</v>
      </c>
      <c r="B130" s="21">
        <v>5</v>
      </c>
      <c r="C130" s="20" t="s">
        <v>218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3"/>
      <c r="U130" s="3"/>
      <c r="V130" s="3"/>
      <c r="W130" s="3"/>
      <c r="X130" s="3"/>
      <c r="Y130" s="3" t="s">
        <v>20</v>
      </c>
    </row>
    <row r="131" spans="1:25">
      <c r="A131" s="13" t="s">
        <v>219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>
      <c r="A132" s="5" t="s">
        <v>220</v>
      </c>
      <c r="B132" s="6">
        <v>350</v>
      </c>
      <c r="C132" s="3" t="s">
        <v>221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7">
        <v>200</v>
      </c>
      <c r="X132" s="7">
        <v>500</v>
      </c>
      <c r="Y132" s="8" t="s">
        <v>3</v>
      </c>
    </row>
    <row r="133" spans="1:25">
      <c r="A133" s="5" t="s">
        <v>222</v>
      </c>
      <c r="B133" s="6">
        <v>150</v>
      </c>
      <c r="C133" s="3" t="s">
        <v>223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7">
        <v>100</v>
      </c>
      <c r="X133" s="7">
        <v>250</v>
      </c>
      <c r="Y133" s="8" t="s">
        <v>3</v>
      </c>
    </row>
    <row r="134" spans="1:25">
      <c r="A134" s="5" t="s">
        <v>224</v>
      </c>
      <c r="B134" s="6">
        <v>50</v>
      </c>
      <c r="C134" s="3" t="s">
        <v>225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7">
        <v>20</v>
      </c>
      <c r="X134" s="7">
        <v>100</v>
      </c>
      <c r="Y134" s="8" t="s">
        <v>3</v>
      </c>
    </row>
    <row r="135" spans="1:25">
      <c r="A135" s="5" t="s">
        <v>226</v>
      </c>
      <c r="B135" s="6">
        <v>40</v>
      </c>
      <c r="C135" s="3" t="s">
        <v>227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7">
        <v>20</v>
      </c>
      <c r="X135" s="7">
        <v>80</v>
      </c>
      <c r="Y135" s="8" t="s">
        <v>3</v>
      </c>
    </row>
    <row r="136" spans="1:25">
      <c r="A136" s="13" t="s">
        <v>228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>
      <c r="A137" s="5" t="s">
        <v>229</v>
      </c>
      <c r="B137" s="6">
        <v>5</v>
      </c>
      <c r="C137" s="3" t="s">
        <v>230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7">
        <v>3</v>
      </c>
      <c r="X137" s="7">
        <v>8</v>
      </c>
      <c r="Y137" s="8" t="s">
        <v>3</v>
      </c>
    </row>
    <row r="138" spans="1:25">
      <c r="A138" s="5" t="s">
        <v>231</v>
      </c>
      <c r="B138" s="6">
        <v>10</v>
      </c>
      <c r="C138" s="3" t="s">
        <v>232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7">
        <v>6</v>
      </c>
      <c r="X138" s="7">
        <v>14</v>
      </c>
      <c r="Y138" s="8" t="s">
        <v>3</v>
      </c>
    </row>
    <row r="139" spans="1:25">
      <c r="A139" s="5" t="s">
        <v>233</v>
      </c>
      <c r="B139" s="6">
        <v>6</v>
      </c>
      <c r="C139" s="3" t="s">
        <v>234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7">
        <v>3</v>
      </c>
      <c r="X139" s="7">
        <v>10</v>
      </c>
      <c r="Y139" s="8" t="s">
        <v>3</v>
      </c>
    </row>
    <row r="140" spans="1:25">
      <c r="A140" s="4" t="s">
        <v>235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16" t="s">
        <v>236</v>
      </c>
      <c r="B141" s="22">
        <v>6</v>
      </c>
      <c r="C141" s="17" t="s">
        <v>237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22">
        <v>4</v>
      </c>
      <c r="X141" s="22">
        <v>12</v>
      </c>
      <c r="Y141" s="17" t="s">
        <v>3</v>
      </c>
    </row>
    <row r="142" spans="1:25">
      <c r="A142" s="16" t="s">
        <v>238</v>
      </c>
      <c r="B142" s="14">
        <v>20</v>
      </c>
      <c r="C142" s="17" t="s">
        <v>239</v>
      </c>
      <c r="D142" s="14">
        <v>20</v>
      </c>
      <c r="E142" s="14">
        <v>19.600000000000001</v>
      </c>
      <c r="F142" s="14">
        <v>19.207999999999998</v>
      </c>
      <c r="G142" s="14">
        <v>18.824000000000002</v>
      </c>
      <c r="H142" s="14">
        <v>18.446999999999999</v>
      </c>
      <c r="I142" s="14">
        <v>18.077999999999999</v>
      </c>
      <c r="J142" s="14">
        <v>17.716999999999999</v>
      </c>
      <c r="K142" s="14">
        <v>17.363</v>
      </c>
      <c r="L142" s="14">
        <v>17.015000000000001</v>
      </c>
      <c r="M142" s="14">
        <v>16.675000000000001</v>
      </c>
      <c r="N142" s="14">
        <v>16.341999999999999</v>
      </c>
      <c r="O142" s="14">
        <v>16.015000000000001</v>
      </c>
      <c r="P142" s="14">
        <v>15.695</v>
      </c>
      <c r="Q142" s="14">
        <v>15.381</v>
      </c>
      <c r="R142" s="14">
        <v>15.073</v>
      </c>
      <c r="S142" s="14">
        <v>14.772</v>
      </c>
      <c r="T142" s="3"/>
      <c r="U142" s="3"/>
      <c r="V142" s="3"/>
      <c r="W142" s="14">
        <v>12</v>
      </c>
      <c r="X142" s="14">
        <v>40</v>
      </c>
      <c r="Y142" s="17" t="s">
        <v>3</v>
      </c>
    </row>
    <row r="143" spans="1:25">
      <c r="A143" s="16" t="s">
        <v>240</v>
      </c>
      <c r="B143" s="14">
        <v>25</v>
      </c>
      <c r="C143" s="17" t="s">
        <v>241</v>
      </c>
      <c r="D143" s="14">
        <v>0</v>
      </c>
      <c r="E143" s="14">
        <v>0</v>
      </c>
      <c r="F143" s="14">
        <v>25</v>
      </c>
      <c r="G143" s="14">
        <f t="shared" ref="G143:S143" si="8">$F143*(1+$B$464)^(G$2-2)</f>
        <v>23</v>
      </c>
      <c r="H143" s="14">
        <f t="shared" si="8"/>
        <v>21.16</v>
      </c>
      <c r="I143" s="14">
        <f t="shared" si="8"/>
        <v>19.467200000000002</v>
      </c>
      <c r="J143" s="14">
        <f t="shared" si="8"/>
        <v>17.909824</v>
      </c>
      <c r="K143" s="14">
        <f t="shared" si="8"/>
        <v>16.477038080000003</v>
      </c>
      <c r="L143" s="14">
        <f t="shared" si="8"/>
        <v>15.158875033600003</v>
      </c>
      <c r="M143" s="14">
        <f t="shared" si="8"/>
        <v>13.946165030912002</v>
      </c>
      <c r="N143" s="14">
        <f t="shared" si="8"/>
        <v>12.830471828439045</v>
      </c>
      <c r="O143" s="14">
        <f t="shared" si="8"/>
        <v>11.804034082163922</v>
      </c>
      <c r="P143" s="14">
        <f t="shared" si="8"/>
        <v>10.859711355590807</v>
      </c>
      <c r="Q143" s="14">
        <f t="shared" si="8"/>
        <v>9.9909344471435428</v>
      </c>
      <c r="R143" s="14">
        <f t="shared" si="8"/>
        <v>9.1916596913720596</v>
      </c>
      <c r="S143" s="14">
        <f t="shared" si="8"/>
        <v>8.4563269160622951</v>
      </c>
      <c r="T143" s="3"/>
      <c r="U143" s="3"/>
      <c r="V143" s="3"/>
      <c r="W143" s="14">
        <v>15</v>
      </c>
      <c r="X143" s="14">
        <v>50</v>
      </c>
      <c r="Y143" s="17" t="s">
        <v>3</v>
      </c>
    </row>
    <row r="144" spans="1:25">
      <c r="A144" s="16" t="s">
        <v>242</v>
      </c>
      <c r="B144" s="18">
        <v>171</v>
      </c>
      <c r="C144" s="17" t="s">
        <v>243</v>
      </c>
      <c r="D144" s="18">
        <f>171*$B$484</f>
        <v>171</v>
      </c>
      <c r="E144" s="18">
        <f>150*$B$484</f>
        <v>150</v>
      </c>
      <c r="F144" s="18">
        <f>100*$B$484</f>
        <v>100</v>
      </c>
      <c r="G144" s="18">
        <f>60*$B$484</f>
        <v>60</v>
      </c>
      <c r="H144" s="18">
        <f>30*$B$484</f>
        <v>30</v>
      </c>
      <c r="I144" s="18">
        <f>10*$B$484</f>
        <v>10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3"/>
      <c r="U144" s="3"/>
      <c r="V144" s="3"/>
      <c r="W144" s="18">
        <v>0</v>
      </c>
      <c r="X144" s="18">
        <v>215</v>
      </c>
      <c r="Y144" s="17" t="s">
        <v>244</v>
      </c>
    </row>
    <row r="145" spans="1:25">
      <c r="A145" s="16" t="s">
        <v>245</v>
      </c>
      <c r="B145" s="6">
        <v>8</v>
      </c>
      <c r="C145" s="17" t="s">
        <v>246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6">
        <v>6</v>
      </c>
      <c r="X145" s="6">
        <v>10</v>
      </c>
      <c r="Y145" s="17" t="s">
        <v>3</v>
      </c>
    </row>
    <row r="146" spans="1:25">
      <c r="A146" s="16" t="s">
        <v>247</v>
      </c>
      <c r="B146" s="3"/>
      <c r="C146" s="17" t="s">
        <v>248</v>
      </c>
      <c r="D146" s="6">
        <v>16.25</v>
      </c>
      <c r="E146" s="23">
        <f t="shared" ref="E146:S146" si="9">$D146*(1+$B$469)^E$5</f>
        <v>15.924999999999999</v>
      </c>
      <c r="F146" s="23">
        <f t="shared" si="9"/>
        <v>15.606499999999999</v>
      </c>
      <c r="G146" s="23">
        <f t="shared" si="9"/>
        <v>15.294369999999999</v>
      </c>
      <c r="H146" s="23">
        <f t="shared" si="9"/>
        <v>14.988482599999998</v>
      </c>
      <c r="I146" s="23">
        <f t="shared" si="9"/>
        <v>14.688712947999997</v>
      </c>
      <c r="J146" s="23">
        <f t="shared" si="9"/>
        <v>14.394938689039996</v>
      </c>
      <c r="K146" s="23">
        <f t="shared" si="9"/>
        <v>14.107039915259197</v>
      </c>
      <c r="L146" s="23">
        <f t="shared" si="9"/>
        <v>13.824899116954013</v>
      </c>
      <c r="M146" s="23">
        <f t="shared" si="9"/>
        <v>13.548401134614933</v>
      </c>
      <c r="N146" s="23">
        <f t="shared" si="9"/>
        <v>13.277433111922631</v>
      </c>
      <c r="O146" s="23">
        <f t="shared" si="9"/>
        <v>13.011884449684178</v>
      </c>
      <c r="P146" s="23">
        <f t="shared" si="9"/>
        <v>12.751646760690496</v>
      </c>
      <c r="Q146" s="23">
        <f t="shared" si="9"/>
        <v>12.496613825476684</v>
      </c>
      <c r="R146" s="23">
        <f t="shared" si="9"/>
        <v>12.246681548967151</v>
      </c>
      <c r="S146" s="23">
        <f t="shared" si="9"/>
        <v>12.001747917987808</v>
      </c>
      <c r="T146" s="3"/>
      <c r="U146" s="3"/>
      <c r="V146" s="3"/>
      <c r="W146" s="6">
        <v>12</v>
      </c>
      <c r="X146" s="6">
        <v>20</v>
      </c>
      <c r="Y146" s="17" t="s">
        <v>3</v>
      </c>
    </row>
    <row r="147" spans="1:25">
      <c r="A147" s="16" t="s">
        <v>249</v>
      </c>
      <c r="B147" s="3"/>
      <c r="C147" s="17" t="s">
        <v>250</v>
      </c>
      <c r="D147" s="6">
        <v>0</v>
      </c>
      <c r="E147" s="6">
        <v>0</v>
      </c>
      <c r="F147" s="6">
        <v>5</v>
      </c>
      <c r="G147" s="23">
        <f t="shared" ref="G147:S147" si="10">$F147*(1+$B$470)^(G$5-2)</f>
        <v>4.6000000000000005</v>
      </c>
      <c r="H147" s="23">
        <f t="shared" si="10"/>
        <v>4.2320000000000002</v>
      </c>
      <c r="I147" s="23">
        <f t="shared" si="10"/>
        <v>3.89344</v>
      </c>
      <c r="J147" s="23">
        <f t="shared" si="10"/>
        <v>3.5819648000000006</v>
      </c>
      <c r="K147" s="23">
        <f t="shared" si="10"/>
        <v>3.2954076160000008</v>
      </c>
      <c r="L147" s="23">
        <f t="shared" si="10"/>
        <v>3.0317750067200007</v>
      </c>
      <c r="M147" s="23">
        <f t="shared" si="10"/>
        <v>2.7892330061824007</v>
      </c>
      <c r="N147" s="23">
        <f t="shared" si="10"/>
        <v>2.5660943656878086</v>
      </c>
      <c r="O147" s="23">
        <f t="shared" si="10"/>
        <v>2.3608068164327842</v>
      </c>
      <c r="P147" s="23">
        <f t="shared" si="10"/>
        <v>2.1719422711181617</v>
      </c>
      <c r="Q147" s="23">
        <f t="shared" si="10"/>
        <v>1.9981868894287085</v>
      </c>
      <c r="R147" s="23">
        <f t="shared" si="10"/>
        <v>1.8383319382744121</v>
      </c>
      <c r="S147" s="23">
        <f t="shared" si="10"/>
        <v>1.6912653832124591</v>
      </c>
      <c r="T147" s="3"/>
      <c r="U147" s="3"/>
      <c r="V147" s="3"/>
      <c r="W147" s="6">
        <v>3</v>
      </c>
      <c r="X147" s="6">
        <v>8</v>
      </c>
      <c r="Y147" s="17" t="s">
        <v>3</v>
      </c>
    </row>
    <row r="148" spans="1:25">
      <c r="A148" s="13" t="s">
        <v>251</v>
      </c>
      <c r="B148" s="13"/>
      <c r="C148" s="13" t="s">
        <v>252</v>
      </c>
      <c r="D148" s="13">
        <v>14650</v>
      </c>
      <c r="E148" s="24">
        <f t="shared" ref="E148:S148" si="11">IF(E$5&lt;=$B$473,$D$148*(1+$B$471)^E$5,$D$148*(1+$B$471)^$B$473*(1+$B$472)^(E$5-$B$473))</f>
        <v>16408</v>
      </c>
      <c r="F148" s="24">
        <f t="shared" si="11"/>
        <v>18376.960000000003</v>
      </c>
      <c r="G148" s="24">
        <f t="shared" si="11"/>
        <v>20582.195200000006</v>
      </c>
      <c r="H148" s="24">
        <f t="shared" si="11"/>
        <v>23052.058624000005</v>
      </c>
      <c r="I148" s="24">
        <f t="shared" si="11"/>
        <v>25818.305658880006</v>
      </c>
      <c r="J148" s="24">
        <f t="shared" si="11"/>
        <v>28916.502337945611</v>
      </c>
      <c r="K148" s="24">
        <f t="shared" si="11"/>
        <v>32386.482618499085</v>
      </c>
      <c r="L148" s="24">
        <f t="shared" si="11"/>
        <v>36272.86053271898</v>
      </c>
      <c r="M148" s="24">
        <f t="shared" si="11"/>
        <v>40625.603796645257</v>
      </c>
      <c r="N148" s="24">
        <f t="shared" si="11"/>
        <v>45500.676252242694</v>
      </c>
      <c r="O148" s="24">
        <f t="shared" si="11"/>
        <v>47775.710064854829</v>
      </c>
      <c r="P148" s="24">
        <f t="shared" si="11"/>
        <v>50164.495568097569</v>
      </c>
      <c r="Q148" s="24">
        <f t="shared" si="11"/>
        <v>52672.720346502458</v>
      </c>
      <c r="R148" s="24">
        <f t="shared" si="11"/>
        <v>55306.356363827574</v>
      </c>
      <c r="S148" s="24">
        <f t="shared" si="11"/>
        <v>58071.674182018956</v>
      </c>
      <c r="T148" s="13"/>
      <c r="U148" s="13"/>
      <c r="V148" s="13"/>
      <c r="W148" s="13" t="s">
        <v>253</v>
      </c>
      <c r="X148" s="13" t="s">
        <v>253</v>
      </c>
      <c r="Y148" s="13" t="s">
        <v>20</v>
      </c>
    </row>
    <row r="149" spans="1:25">
      <c r="A149" s="16" t="s">
        <v>254</v>
      </c>
      <c r="B149" s="6">
        <v>5</v>
      </c>
      <c r="C149" s="17" t="s">
        <v>255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6">
        <v>4</v>
      </c>
      <c r="X149" s="6">
        <v>7</v>
      </c>
      <c r="Y149" s="17" t="s">
        <v>3</v>
      </c>
    </row>
    <row r="150" spans="1:25">
      <c r="A150" s="5" t="s">
        <v>256</v>
      </c>
      <c r="B150" s="6">
        <v>2026</v>
      </c>
      <c r="C150" s="17" t="s">
        <v>257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6">
        <v>2026</v>
      </c>
      <c r="X150" s="6">
        <v>2028</v>
      </c>
      <c r="Y150" s="17" t="s">
        <v>3</v>
      </c>
    </row>
    <row r="151" spans="1:25">
      <c r="A151" s="5" t="s">
        <v>258</v>
      </c>
      <c r="B151" s="6">
        <v>2026</v>
      </c>
      <c r="C151" s="17" t="s">
        <v>259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6">
        <v>2026</v>
      </c>
      <c r="X151" s="6">
        <v>2027</v>
      </c>
      <c r="Y151" s="17" t="s">
        <v>13</v>
      </c>
    </row>
    <row r="152" spans="1:25">
      <c r="A152" s="5" t="s">
        <v>260</v>
      </c>
      <c r="B152" s="6">
        <v>575</v>
      </c>
      <c r="C152" s="17" t="s">
        <v>261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6">
        <v>500</v>
      </c>
      <c r="X152" s="6">
        <v>650</v>
      </c>
      <c r="Y152" s="17" t="s">
        <v>3</v>
      </c>
    </row>
    <row r="153" spans="1:25">
      <c r="A153" s="5" t="s">
        <v>262</v>
      </c>
      <c r="B153" s="6">
        <v>575</v>
      </c>
      <c r="C153" s="17" t="s">
        <v>263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6">
        <v>500</v>
      </c>
      <c r="X153" s="6">
        <v>650</v>
      </c>
      <c r="Y153" s="17" t="s">
        <v>3</v>
      </c>
    </row>
    <row r="154" spans="1:25">
      <c r="A154" s="5" t="s">
        <v>264</v>
      </c>
      <c r="B154" s="6">
        <v>2000</v>
      </c>
      <c r="C154" s="17" t="s">
        <v>265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6">
        <v>1000</v>
      </c>
      <c r="X154" s="6">
        <v>2000</v>
      </c>
      <c r="Y154" s="17" t="s">
        <v>3</v>
      </c>
    </row>
    <row r="155" spans="1:25">
      <c r="A155" s="5" t="s">
        <v>266</v>
      </c>
      <c r="B155" s="6">
        <v>2000</v>
      </c>
      <c r="C155" s="17" t="s">
        <v>267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6">
        <v>1000</v>
      </c>
      <c r="X155" s="6">
        <v>2000</v>
      </c>
      <c r="Y155" s="17" t="s">
        <v>3</v>
      </c>
    </row>
    <row r="156" spans="1:25">
      <c r="A156" s="5" t="s">
        <v>268</v>
      </c>
      <c r="B156" s="6">
        <v>96</v>
      </c>
      <c r="C156" s="17" t="s">
        <v>269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6">
        <v>80</v>
      </c>
      <c r="X156" s="6">
        <v>120</v>
      </c>
      <c r="Y156" s="17" t="s">
        <v>3</v>
      </c>
    </row>
    <row r="157" spans="1:25">
      <c r="A157" s="5" t="s">
        <v>270</v>
      </c>
      <c r="B157" s="6">
        <v>1000</v>
      </c>
      <c r="C157" s="17" t="s">
        <v>271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6">
        <v>600</v>
      </c>
      <c r="X157" s="6">
        <v>1500</v>
      </c>
      <c r="Y157" s="17" t="s">
        <v>3</v>
      </c>
    </row>
    <row r="158" spans="1:25">
      <c r="A158" s="5" t="s">
        <v>272</v>
      </c>
      <c r="B158" s="6">
        <v>5.0000000000000001E-3</v>
      </c>
      <c r="C158" s="17" t="s">
        <v>273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6">
        <v>2E-3</v>
      </c>
      <c r="X158" s="6">
        <v>1.4999999999999999E-2</v>
      </c>
      <c r="Y158" s="17" t="s">
        <v>3</v>
      </c>
    </row>
    <row r="159" spans="1:25">
      <c r="A159" s="5" t="s">
        <v>274</v>
      </c>
      <c r="B159" s="6">
        <v>2E-3</v>
      </c>
      <c r="C159" s="17" t="s">
        <v>275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6">
        <v>1E-3</v>
      </c>
      <c r="X159" s="6">
        <v>5.0000000000000001E-3</v>
      </c>
      <c r="Y159" s="17" t="s">
        <v>3</v>
      </c>
    </row>
    <row r="160" spans="1:25">
      <c r="A160" s="5" t="s">
        <v>276</v>
      </c>
      <c r="B160" s="6">
        <v>0.7</v>
      </c>
      <c r="C160" s="17" t="s">
        <v>277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6">
        <v>0.4</v>
      </c>
      <c r="X160" s="6">
        <v>0.95</v>
      </c>
      <c r="Y160" s="17" t="s">
        <v>3</v>
      </c>
    </row>
    <row r="161" spans="1:25">
      <c r="A161" s="5" t="s">
        <v>278</v>
      </c>
      <c r="B161" s="6">
        <v>164699</v>
      </c>
      <c r="C161" s="17" t="s">
        <v>279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6">
        <v>140000</v>
      </c>
      <c r="X161" s="6">
        <v>190000</v>
      </c>
      <c r="Y161" s="17" t="s">
        <v>3</v>
      </c>
    </row>
    <row r="162" spans="1:25">
      <c r="A162" s="5" t="s">
        <v>280</v>
      </c>
      <c r="B162" s="3"/>
      <c r="C162" s="17" t="s">
        <v>281</v>
      </c>
      <c r="D162" s="6">
        <v>15300</v>
      </c>
      <c r="E162" s="23">
        <f t="shared" ref="E162:S162" si="12">$D$162*(1+$B$163)^(E$1-$D$1)</f>
        <v>16524</v>
      </c>
      <c r="F162" s="23">
        <f t="shared" si="12"/>
        <v>17845.920000000002</v>
      </c>
      <c r="G162" s="23">
        <f t="shared" si="12"/>
        <v>19273.593600000004</v>
      </c>
      <c r="H162" s="23">
        <f t="shared" si="12"/>
        <v>20815.481088000004</v>
      </c>
      <c r="I162" s="23">
        <f t="shared" si="12"/>
        <v>22480.719575040006</v>
      </c>
      <c r="J162" s="23">
        <f t="shared" si="12"/>
        <v>24279.177141043208</v>
      </c>
      <c r="K162" s="23">
        <f t="shared" si="12"/>
        <v>26221.511312326667</v>
      </c>
      <c r="L162" s="23">
        <f t="shared" si="12"/>
        <v>28319.232217312798</v>
      </c>
      <c r="M162" s="23">
        <f t="shared" si="12"/>
        <v>30584.770794697826</v>
      </c>
      <c r="N162" s="23">
        <f t="shared" si="12"/>
        <v>33031.552458273654</v>
      </c>
      <c r="O162" s="23">
        <f t="shared" si="12"/>
        <v>35674.076654935547</v>
      </c>
      <c r="P162" s="23">
        <f t="shared" si="12"/>
        <v>38528.002787330392</v>
      </c>
      <c r="Q162" s="23">
        <f t="shared" si="12"/>
        <v>41610.243010316823</v>
      </c>
      <c r="R162" s="23">
        <f t="shared" si="12"/>
        <v>44939.062451142177</v>
      </c>
      <c r="S162" s="23">
        <f t="shared" si="12"/>
        <v>48534.187447233555</v>
      </c>
      <c r="T162" s="3"/>
      <c r="U162" s="3"/>
      <c r="V162" s="3"/>
      <c r="W162" s="6">
        <v>11475</v>
      </c>
      <c r="X162" s="6">
        <v>19125</v>
      </c>
      <c r="Y162" s="17" t="s">
        <v>3</v>
      </c>
    </row>
    <row r="163" spans="1:25">
      <c r="A163" s="5" t="s">
        <v>282</v>
      </c>
      <c r="B163" s="6">
        <v>0.08</v>
      </c>
      <c r="C163" s="17" t="s">
        <v>283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6">
        <v>0.03</v>
      </c>
      <c r="X163" s="6">
        <v>0.15</v>
      </c>
      <c r="Y163" s="17" t="s">
        <v>3</v>
      </c>
    </row>
    <row r="164" spans="1:25">
      <c r="A164" s="5" t="s">
        <v>284</v>
      </c>
      <c r="B164" s="6">
        <v>800</v>
      </c>
      <c r="C164" s="17" t="s">
        <v>285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6">
        <v>600</v>
      </c>
      <c r="X164" s="6">
        <v>1200</v>
      </c>
      <c r="Y164" s="17" t="s">
        <v>3</v>
      </c>
    </row>
    <row r="165" spans="1:25">
      <c r="A165" s="5" t="s">
        <v>286</v>
      </c>
      <c r="B165" s="6">
        <v>3840</v>
      </c>
      <c r="C165" s="17" t="s">
        <v>287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6">
        <v>3648</v>
      </c>
      <c r="X165" s="6">
        <v>4032</v>
      </c>
      <c r="Y165" s="17" t="s">
        <v>3</v>
      </c>
    </row>
    <row r="166" spans="1:25">
      <c r="A166" s="5" t="s">
        <v>288</v>
      </c>
      <c r="B166" s="6">
        <v>0.88</v>
      </c>
      <c r="C166" s="17" t="s">
        <v>289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6">
        <v>0.8</v>
      </c>
      <c r="X166" s="6">
        <v>0.93</v>
      </c>
      <c r="Y166" s="17" t="s">
        <v>3</v>
      </c>
    </row>
    <row r="167" spans="1:25">
      <c r="A167" s="5" t="s">
        <v>290</v>
      </c>
      <c r="B167" s="6">
        <v>0.12</v>
      </c>
      <c r="C167" s="17" t="s">
        <v>291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6">
        <v>7.0000000000000007E-2</v>
      </c>
      <c r="X167" s="6">
        <v>0.2</v>
      </c>
      <c r="Y167" s="17" t="s">
        <v>3</v>
      </c>
    </row>
    <row r="168" spans="1:25">
      <c r="A168" s="5" t="s">
        <v>292</v>
      </c>
      <c r="B168" s="6">
        <v>0</v>
      </c>
      <c r="C168" s="17" t="s">
        <v>293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6">
        <v>0</v>
      </c>
      <c r="X168" s="6">
        <v>200</v>
      </c>
      <c r="Y168" s="17" t="s">
        <v>3</v>
      </c>
    </row>
    <row r="169" spans="1:25">
      <c r="A169" s="5" t="s">
        <v>294</v>
      </c>
      <c r="B169" s="6">
        <v>1</v>
      </c>
      <c r="C169" s="17" t="s">
        <v>295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6">
        <v>0.85</v>
      </c>
      <c r="X169" s="6">
        <v>1</v>
      </c>
      <c r="Y169" s="17" t="s">
        <v>3</v>
      </c>
    </row>
    <row r="170" spans="1:25">
      <c r="A170" s="5" t="s">
        <v>296</v>
      </c>
      <c r="B170" s="6">
        <v>26</v>
      </c>
      <c r="C170" s="17" t="s">
        <v>297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6">
        <v>22</v>
      </c>
      <c r="X170" s="6">
        <v>30</v>
      </c>
      <c r="Y170" s="17" t="s">
        <v>3</v>
      </c>
    </row>
    <row r="171" spans="1:25">
      <c r="A171" s="13" t="s">
        <v>298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>
      <c r="A172" s="25" t="s">
        <v>299</v>
      </c>
      <c r="B172" s="6">
        <v>425</v>
      </c>
      <c r="C172" s="17" t="s">
        <v>300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7">
        <v>250</v>
      </c>
      <c r="X172" s="7">
        <v>800</v>
      </c>
      <c r="Y172" s="26" t="s">
        <v>3</v>
      </c>
    </row>
    <row r="173" spans="1:25">
      <c r="A173" s="25" t="s">
        <v>301</v>
      </c>
      <c r="B173" s="6">
        <v>3640</v>
      </c>
      <c r="C173" s="17" t="s">
        <v>302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7">
        <v>3000</v>
      </c>
      <c r="X173" s="7">
        <v>10000</v>
      </c>
      <c r="Y173" s="26" t="s">
        <v>3</v>
      </c>
    </row>
    <row r="174" spans="1:25">
      <c r="A174" s="25" t="s">
        <v>303</v>
      </c>
      <c r="B174" s="6">
        <v>30</v>
      </c>
      <c r="C174" s="17" t="s">
        <v>304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>
        <v>20</v>
      </c>
      <c r="X174" s="3">
        <v>40</v>
      </c>
      <c r="Y174" s="3" t="s">
        <v>3</v>
      </c>
    </row>
    <row r="175" spans="1:25">
      <c r="A175" s="25" t="s">
        <v>305</v>
      </c>
      <c r="B175" s="6">
        <v>1</v>
      </c>
      <c r="C175" s="17" t="s">
        <v>306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7">
        <v>0.7</v>
      </c>
      <c r="X175" s="7">
        <v>1.3</v>
      </c>
      <c r="Y175" s="26" t="s">
        <v>3</v>
      </c>
    </row>
    <row r="176" spans="1:25">
      <c r="A176" s="25" t="s">
        <v>307</v>
      </c>
      <c r="B176" s="6">
        <v>2500</v>
      </c>
      <c r="C176" s="17" t="s">
        <v>308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7">
        <v>250</v>
      </c>
      <c r="X176" s="7">
        <v>1800</v>
      </c>
      <c r="Y176" s="26" t="s">
        <v>3</v>
      </c>
    </row>
    <row r="177" spans="1:25">
      <c r="A177" s="25" t="s">
        <v>309</v>
      </c>
      <c r="B177" s="6">
        <v>100</v>
      </c>
      <c r="C177" s="17" t="s">
        <v>310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7">
        <v>50</v>
      </c>
      <c r="X177" s="7">
        <v>365</v>
      </c>
      <c r="Y177" s="26" t="s">
        <v>3</v>
      </c>
    </row>
    <row r="178" spans="1:25">
      <c r="A178" s="25" t="s">
        <v>311</v>
      </c>
      <c r="B178" s="6">
        <v>30</v>
      </c>
      <c r="C178" s="17" t="s">
        <v>304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>
        <v>20</v>
      </c>
      <c r="X178" s="3">
        <v>40</v>
      </c>
      <c r="Y178" s="3" t="s">
        <v>3</v>
      </c>
    </row>
    <row r="179" spans="1:25">
      <c r="A179" s="25" t="s">
        <v>312</v>
      </c>
      <c r="B179" s="6">
        <v>200</v>
      </c>
      <c r="C179" s="17" t="s">
        <v>313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7">
        <v>20</v>
      </c>
      <c r="X179" s="7">
        <v>500</v>
      </c>
      <c r="Y179" s="26" t="s">
        <v>3</v>
      </c>
    </row>
    <row r="180" spans="1:25">
      <c r="A180" s="25" t="s">
        <v>314</v>
      </c>
      <c r="B180" s="6">
        <v>30</v>
      </c>
      <c r="C180" s="17" t="s">
        <v>304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>
        <v>20</v>
      </c>
      <c r="X180" s="3">
        <v>40</v>
      </c>
      <c r="Y180" s="3" t="s">
        <v>3</v>
      </c>
    </row>
    <row r="181" spans="1:25">
      <c r="A181" s="25" t="s">
        <v>315</v>
      </c>
      <c r="B181" s="6">
        <v>76</v>
      </c>
      <c r="C181" s="17" t="s">
        <v>316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7">
        <v>40</v>
      </c>
      <c r="X181" s="7">
        <v>120</v>
      </c>
      <c r="Y181" s="26" t="s">
        <v>3</v>
      </c>
    </row>
    <row r="182" spans="1:25">
      <c r="A182" s="25" t="s">
        <v>317</v>
      </c>
      <c r="B182" s="6">
        <v>200</v>
      </c>
      <c r="C182" s="17" t="s">
        <v>318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7">
        <v>100</v>
      </c>
      <c r="X182" s="7">
        <v>500</v>
      </c>
      <c r="Y182" s="26" t="s">
        <v>3</v>
      </c>
    </row>
    <row r="183" spans="1:25">
      <c r="A183" s="25" t="s">
        <v>319</v>
      </c>
      <c r="B183" s="6">
        <v>1000</v>
      </c>
      <c r="C183" s="17" t="s">
        <v>320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7">
        <v>800</v>
      </c>
      <c r="X183" s="7">
        <v>2000</v>
      </c>
      <c r="Y183" s="26" t="s">
        <v>3</v>
      </c>
    </row>
    <row r="184" spans="1:25">
      <c r="A184" s="25" t="s">
        <v>321</v>
      </c>
      <c r="B184" s="6">
        <v>30</v>
      </c>
      <c r="C184" s="17" t="s">
        <v>304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6"/>
      <c r="Q184" s="3"/>
      <c r="R184" s="3"/>
      <c r="S184" s="3"/>
      <c r="T184" s="3"/>
      <c r="U184" s="3"/>
      <c r="V184" s="3"/>
      <c r="W184" s="3">
        <v>20</v>
      </c>
      <c r="X184" s="3">
        <v>40</v>
      </c>
      <c r="Y184" s="3" t="s">
        <v>3</v>
      </c>
    </row>
    <row r="185" spans="1:25">
      <c r="A185" s="25" t="s">
        <v>322</v>
      </c>
      <c r="B185" s="6">
        <v>280</v>
      </c>
      <c r="C185" s="17" t="s">
        <v>323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6"/>
      <c r="Q185" s="3"/>
      <c r="R185" s="3"/>
      <c r="S185" s="3"/>
      <c r="T185" s="3"/>
      <c r="U185" s="3"/>
      <c r="V185" s="3"/>
      <c r="W185" s="7">
        <v>100</v>
      </c>
      <c r="X185" s="7">
        <v>500</v>
      </c>
      <c r="Y185" s="26" t="s">
        <v>3</v>
      </c>
    </row>
    <row r="186" spans="1:25">
      <c r="A186" s="25" t="s">
        <v>324</v>
      </c>
      <c r="B186" s="6">
        <v>8500000</v>
      </c>
      <c r="C186" s="17" t="s">
        <v>325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7">
        <v>4000000</v>
      </c>
      <c r="X186" s="7">
        <v>17000000</v>
      </c>
      <c r="Y186" s="26" t="s">
        <v>3</v>
      </c>
    </row>
    <row r="187" spans="1:25">
      <c r="A187" s="25" t="s">
        <v>326</v>
      </c>
      <c r="B187" s="6">
        <v>20</v>
      </c>
      <c r="C187" s="17" t="s">
        <v>304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>
        <v>12</v>
      </c>
      <c r="X187" s="3">
        <v>28</v>
      </c>
      <c r="Y187" s="3" t="s">
        <v>3</v>
      </c>
    </row>
    <row r="188" spans="1:25">
      <c r="A188" s="25" t="s">
        <v>327</v>
      </c>
      <c r="B188" s="6">
        <v>1</v>
      </c>
      <c r="C188" s="17" t="s">
        <v>328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25" t="s">
        <v>329</v>
      </c>
      <c r="B189" s="6">
        <v>1.5</v>
      </c>
      <c r="C189" s="17" t="s">
        <v>330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>
        <v>1</v>
      </c>
      <c r="X189" s="3">
        <v>3</v>
      </c>
      <c r="Y189" s="3" t="s">
        <v>3</v>
      </c>
    </row>
    <row r="190" spans="1:25">
      <c r="A190" s="25" t="s">
        <v>331</v>
      </c>
      <c r="B190" s="6">
        <v>20</v>
      </c>
      <c r="C190" s="1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>
        <v>12</v>
      </c>
      <c r="X190" s="3">
        <v>28</v>
      </c>
      <c r="Y190" s="3" t="s">
        <v>3</v>
      </c>
    </row>
    <row r="191" spans="1:25">
      <c r="A191" s="25" t="s">
        <v>332</v>
      </c>
      <c r="B191" s="6">
        <v>56</v>
      </c>
      <c r="C191" s="17" t="s">
        <v>333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>
        <v>30</v>
      </c>
      <c r="X191" s="3">
        <v>90</v>
      </c>
      <c r="Y191" s="3" t="s">
        <v>3</v>
      </c>
    </row>
    <row r="192" spans="1:25">
      <c r="A192" s="25" t="s">
        <v>334</v>
      </c>
      <c r="B192" s="27">
        <v>5.0000000000000001E-3</v>
      </c>
      <c r="C192" s="17" t="s">
        <v>335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8">
        <v>3.0000000000000001E-3</v>
      </c>
      <c r="X192" s="28">
        <v>0.01</v>
      </c>
      <c r="Y192" s="26" t="s">
        <v>3</v>
      </c>
    </row>
    <row r="193" spans="1:25">
      <c r="A193" s="25" t="s">
        <v>336</v>
      </c>
      <c r="B193" s="6">
        <v>30</v>
      </c>
      <c r="C193" s="17" t="s">
        <v>304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>
        <v>20</v>
      </c>
      <c r="X193" s="3">
        <v>40</v>
      </c>
      <c r="Y193" s="3" t="s">
        <v>3</v>
      </c>
    </row>
    <row r="194" spans="1:25">
      <c r="A194" s="25" t="s">
        <v>337</v>
      </c>
      <c r="B194" s="6">
        <v>0.02</v>
      </c>
      <c r="C194" s="17" t="s">
        <v>338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7">
        <v>1.4999999999999999E-2</v>
      </c>
      <c r="X194" s="7">
        <v>0.03</v>
      </c>
      <c r="Y194" s="26" t="s">
        <v>3</v>
      </c>
    </row>
    <row r="195" spans="1:25">
      <c r="A195" s="25" t="s">
        <v>339</v>
      </c>
      <c r="B195" s="6">
        <v>0.01</v>
      </c>
      <c r="C195" s="17" t="s">
        <v>340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7">
        <v>5.0000000000000001E-3</v>
      </c>
      <c r="X195" s="7">
        <v>0.02</v>
      </c>
      <c r="Y195" s="26" t="s">
        <v>3</v>
      </c>
    </row>
    <row r="196" spans="1:25">
      <c r="A196" s="25" t="s">
        <v>341</v>
      </c>
      <c r="B196" s="6">
        <v>1.2999999999999999E-2</v>
      </c>
      <c r="C196" s="17" t="s">
        <v>342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7">
        <v>8.0000000000000002E-3</v>
      </c>
      <c r="X196" s="7">
        <v>0.02</v>
      </c>
      <c r="Y196" s="26" t="s">
        <v>3</v>
      </c>
    </row>
    <row r="197" spans="1:25">
      <c r="A197" s="25" t="s">
        <v>343</v>
      </c>
      <c r="B197" s="6">
        <v>1500</v>
      </c>
      <c r="C197" s="17" t="s">
        <v>344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6"/>
      <c r="Q197" s="3"/>
      <c r="R197" s="3"/>
      <c r="S197" s="3"/>
      <c r="T197" s="3"/>
      <c r="U197" s="3"/>
      <c r="V197" s="3"/>
      <c r="W197" s="7">
        <v>500</v>
      </c>
      <c r="X197" s="7">
        <v>3000</v>
      </c>
      <c r="Y197" s="26" t="s">
        <v>3</v>
      </c>
    </row>
    <row r="198" spans="1:25">
      <c r="A198" s="25" t="s">
        <v>345</v>
      </c>
      <c r="B198" s="6">
        <v>2</v>
      </c>
      <c r="C198" s="17" t="s">
        <v>346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6"/>
      <c r="Q198" s="3"/>
      <c r="R198" s="3"/>
      <c r="S198" s="3"/>
      <c r="T198" s="3"/>
      <c r="U198" s="3"/>
      <c r="V198" s="3"/>
      <c r="W198" s="3">
        <v>1</v>
      </c>
      <c r="X198" s="3">
        <v>3</v>
      </c>
      <c r="Y198" s="3" t="s">
        <v>3</v>
      </c>
    </row>
    <row r="199" spans="1:25">
      <c r="A199" s="4" t="s">
        <v>347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25" t="s">
        <v>348</v>
      </c>
      <c r="B200" s="6">
        <v>0.88200000000000001</v>
      </c>
      <c r="C200" s="17" t="s">
        <v>349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6"/>
      <c r="Q200" s="3"/>
      <c r="R200" s="3"/>
      <c r="S200" s="3"/>
      <c r="T200" s="3"/>
      <c r="U200" s="3"/>
      <c r="V200" s="3"/>
      <c r="W200" s="7">
        <v>0.5</v>
      </c>
      <c r="X200" s="7">
        <v>1.4</v>
      </c>
      <c r="Y200" s="26" t="s">
        <v>3</v>
      </c>
    </row>
    <row r="201" spans="1:25">
      <c r="A201" s="25" t="s">
        <v>350</v>
      </c>
      <c r="B201" s="6">
        <v>2.5000000000000001E-2</v>
      </c>
      <c r="C201" s="17" t="s">
        <v>351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6"/>
      <c r="Q201" s="3"/>
      <c r="R201" s="3"/>
      <c r="S201" s="3"/>
      <c r="T201" s="3"/>
      <c r="U201" s="3"/>
      <c r="V201" s="3"/>
      <c r="W201" s="7">
        <v>1.4999999999999999E-2</v>
      </c>
      <c r="X201" s="7">
        <v>0.04</v>
      </c>
      <c r="Y201" s="26" t="s">
        <v>3</v>
      </c>
    </row>
    <row r="202" spans="1:25">
      <c r="A202" s="25" t="s">
        <v>352</v>
      </c>
      <c r="B202" s="6">
        <v>866</v>
      </c>
      <c r="C202" s="17" t="s">
        <v>353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6"/>
      <c r="Q202" s="3"/>
      <c r="R202" s="3"/>
      <c r="S202" s="3"/>
      <c r="T202" s="3"/>
      <c r="U202" s="3"/>
      <c r="V202" s="3"/>
      <c r="W202" s="7">
        <v>800</v>
      </c>
      <c r="X202" s="7">
        <v>920</v>
      </c>
      <c r="Y202" s="26" t="s">
        <v>3</v>
      </c>
    </row>
    <row r="203" spans="1:25">
      <c r="A203" s="25" t="s">
        <v>354</v>
      </c>
      <c r="B203" s="6">
        <v>12</v>
      </c>
      <c r="C203" s="17" t="s">
        <v>355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6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25" t="s">
        <v>356</v>
      </c>
      <c r="B204" s="6">
        <v>2692</v>
      </c>
      <c r="C204" s="17" t="s">
        <v>357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6"/>
      <c r="Q204" s="3"/>
      <c r="R204" s="3"/>
      <c r="S204" s="3"/>
      <c r="T204" s="3"/>
      <c r="U204" s="3"/>
      <c r="V204" s="3"/>
      <c r="W204" s="7">
        <v>2500</v>
      </c>
      <c r="X204" s="7">
        <v>2800</v>
      </c>
      <c r="Y204" s="26" t="s">
        <v>3</v>
      </c>
    </row>
    <row r="205" spans="1:25">
      <c r="A205" s="25" t="s">
        <v>358</v>
      </c>
      <c r="B205" s="6">
        <v>24</v>
      </c>
      <c r="C205" s="17" t="s">
        <v>359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6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25" t="s">
        <v>360</v>
      </c>
      <c r="B206" s="6">
        <v>655</v>
      </c>
      <c r="C206" s="17" t="s">
        <v>361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6"/>
      <c r="Q206" s="3"/>
      <c r="R206" s="3"/>
      <c r="S206" s="3"/>
      <c r="T206" s="3"/>
      <c r="U206" s="3"/>
      <c r="V206" s="3"/>
      <c r="W206" s="7">
        <v>640</v>
      </c>
      <c r="X206" s="7">
        <v>670</v>
      </c>
      <c r="Y206" s="26" t="s">
        <v>3</v>
      </c>
    </row>
    <row r="207" spans="1:25">
      <c r="A207" s="25" t="s">
        <v>362</v>
      </c>
      <c r="B207" s="6">
        <v>4314</v>
      </c>
      <c r="C207" s="17" t="s">
        <v>363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7">
        <v>4200</v>
      </c>
      <c r="X207" s="7">
        <v>4400</v>
      </c>
      <c r="Y207" s="26" t="s">
        <v>3</v>
      </c>
    </row>
    <row r="208" spans="1:25">
      <c r="A208" s="25" t="s">
        <v>364</v>
      </c>
      <c r="B208" s="6">
        <v>260</v>
      </c>
      <c r="C208" s="17" t="s">
        <v>365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25" t="s">
        <v>366</v>
      </c>
      <c r="B209" s="6">
        <v>306</v>
      </c>
      <c r="C209" s="17" t="s">
        <v>367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4" t="s">
        <v>368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25" t="s">
        <v>369</v>
      </c>
      <c r="B211" s="9">
        <v>8.5000000000000006E-2</v>
      </c>
      <c r="C211" s="17" t="s">
        <v>370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11">
        <v>0.05</v>
      </c>
      <c r="X211" s="11">
        <v>0.12</v>
      </c>
      <c r="Y211" s="26" t="s">
        <v>3</v>
      </c>
    </row>
    <row r="212" spans="1:25">
      <c r="A212" s="25" t="s">
        <v>371</v>
      </c>
      <c r="B212" s="3"/>
      <c r="C212" s="17" t="s">
        <v>372</v>
      </c>
      <c r="D212" s="18">
        <v>1510</v>
      </c>
      <c r="E212" s="29">
        <f t="shared" ref="E212:S212" si="13">$D$212*(1+$B$474)^E$5</f>
        <v>1585.5</v>
      </c>
      <c r="F212" s="29">
        <f t="shared" si="13"/>
        <v>1664.7750000000001</v>
      </c>
      <c r="G212" s="29">
        <f t="shared" si="13"/>
        <v>1748.0137500000003</v>
      </c>
      <c r="H212" s="29">
        <f t="shared" si="13"/>
        <v>1835.4144375000001</v>
      </c>
      <c r="I212" s="29">
        <f t="shared" si="13"/>
        <v>1927.1851593750002</v>
      </c>
      <c r="J212" s="29">
        <f t="shared" si="13"/>
        <v>2023.54441734375</v>
      </c>
      <c r="K212" s="29">
        <f t="shared" si="13"/>
        <v>2124.7216382109377</v>
      </c>
      <c r="L212" s="29">
        <f t="shared" si="13"/>
        <v>2230.9577201214843</v>
      </c>
      <c r="M212" s="29">
        <f t="shared" si="13"/>
        <v>2342.5056061275586</v>
      </c>
      <c r="N212" s="29">
        <f t="shared" si="13"/>
        <v>2459.6308864339367</v>
      </c>
      <c r="O212" s="29">
        <f t="shared" si="13"/>
        <v>2582.6124307556338</v>
      </c>
      <c r="P212" s="29">
        <f t="shared" si="13"/>
        <v>2711.7430522934151</v>
      </c>
      <c r="Q212" s="29">
        <f t="shared" si="13"/>
        <v>2847.3302049080862</v>
      </c>
      <c r="R212" s="29">
        <f t="shared" si="13"/>
        <v>2989.69671515349</v>
      </c>
      <c r="S212" s="29">
        <f t="shared" si="13"/>
        <v>3139.1815509111657</v>
      </c>
      <c r="T212" s="3"/>
      <c r="U212" s="3"/>
      <c r="V212" s="3"/>
      <c r="W212" s="7">
        <v>1200</v>
      </c>
      <c r="X212" s="7">
        <v>1800</v>
      </c>
      <c r="Y212" s="26" t="s">
        <v>3</v>
      </c>
    </row>
    <row r="213" spans="1:25">
      <c r="A213" s="25" t="s">
        <v>373</v>
      </c>
      <c r="B213" s="3"/>
      <c r="C213" s="17" t="s">
        <v>374</v>
      </c>
      <c r="D213" s="30">
        <v>0</v>
      </c>
      <c r="E213" s="30">
        <v>0</v>
      </c>
      <c r="F213" s="30">
        <v>0</v>
      </c>
      <c r="G213" s="31">
        <f t="shared" ref="G213:S213" si="14">MIN(1,1/(1+EXP(-$B$476*(G$4-$B$475))))</f>
        <v>7.5858180021243546E-2</v>
      </c>
      <c r="H213" s="31">
        <f t="shared" si="14"/>
        <v>0.18242552380635635</v>
      </c>
      <c r="I213" s="31">
        <f t="shared" si="14"/>
        <v>0.37754066879814541</v>
      </c>
      <c r="J213" s="31">
        <f t="shared" si="14"/>
        <v>0.62245933120185459</v>
      </c>
      <c r="K213" s="31">
        <f t="shared" si="14"/>
        <v>0.81757447619364365</v>
      </c>
      <c r="L213" s="31">
        <f t="shared" si="14"/>
        <v>0.92414181997875655</v>
      </c>
      <c r="M213" s="31">
        <f t="shared" si="14"/>
        <v>0.97068776924864364</v>
      </c>
      <c r="N213" s="31">
        <f t="shared" si="14"/>
        <v>0.98901305736940681</v>
      </c>
      <c r="O213" s="31">
        <f t="shared" si="14"/>
        <v>0.99592986228410396</v>
      </c>
      <c r="P213" s="31">
        <f t="shared" si="14"/>
        <v>0.99849881774326299</v>
      </c>
      <c r="Q213" s="31">
        <f t="shared" si="14"/>
        <v>0.9994472213630764</v>
      </c>
      <c r="R213" s="31">
        <f t="shared" si="14"/>
        <v>0.9997965730219448</v>
      </c>
      <c r="S213" s="31">
        <f t="shared" si="14"/>
        <v>0.99992515377248947</v>
      </c>
      <c r="T213" s="3"/>
      <c r="U213" s="3"/>
      <c r="V213" s="3"/>
      <c r="W213" s="7">
        <v>0</v>
      </c>
      <c r="X213" s="7">
        <v>1</v>
      </c>
      <c r="Y213" s="26" t="s">
        <v>3</v>
      </c>
    </row>
    <row r="214" spans="1:25">
      <c r="A214" s="25" t="s">
        <v>375</v>
      </c>
      <c r="B214" s="30">
        <v>1.107</v>
      </c>
      <c r="C214" s="17" t="s">
        <v>376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2">
        <v>0.9</v>
      </c>
      <c r="X214" s="32">
        <v>1.3</v>
      </c>
      <c r="Y214" s="26" t="s">
        <v>3</v>
      </c>
    </row>
    <row r="215" spans="1:25">
      <c r="A215" s="25" t="s">
        <v>377</v>
      </c>
      <c r="B215" s="30">
        <v>1</v>
      </c>
      <c r="C215" s="17" t="s">
        <v>378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2">
        <v>0.9</v>
      </c>
      <c r="X215" s="32">
        <v>1.3</v>
      </c>
      <c r="Y215" s="26" t="s">
        <v>3</v>
      </c>
    </row>
    <row r="216" spans="1:25">
      <c r="A216" s="25" t="s">
        <v>379</v>
      </c>
      <c r="B216" s="6">
        <v>400</v>
      </c>
      <c r="C216" s="17" t="s">
        <v>380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7">
        <v>300</v>
      </c>
      <c r="X216" s="7">
        <v>500</v>
      </c>
      <c r="Y216" s="26" t="s">
        <v>3</v>
      </c>
    </row>
    <row r="217" spans="1:25">
      <c r="A217" s="4" t="s">
        <v>381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25" t="s">
        <v>382</v>
      </c>
      <c r="B218" s="6">
        <v>100</v>
      </c>
      <c r="C218" s="17" t="s">
        <v>383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6"/>
      <c r="Q218" s="3"/>
      <c r="R218" s="3"/>
      <c r="S218" s="3"/>
      <c r="T218" s="3"/>
      <c r="U218" s="3"/>
      <c r="V218" s="3"/>
      <c r="W218" s="7">
        <v>70</v>
      </c>
      <c r="X218" s="7">
        <v>110</v>
      </c>
      <c r="Y218" s="26" t="s">
        <v>3</v>
      </c>
    </row>
    <row r="219" spans="1:25">
      <c r="A219" s="25" t="s">
        <v>384</v>
      </c>
      <c r="B219" s="6">
        <v>0.6</v>
      </c>
      <c r="C219" s="17" t="s">
        <v>385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6"/>
      <c r="Q219" s="3"/>
      <c r="R219" s="3"/>
      <c r="S219" s="3"/>
      <c r="T219" s="3"/>
      <c r="U219" s="3"/>
      <c r="V219" s="3"/>
      <c r="W219" s="7">
        <v>0.5</v>
      </c>
      <c r="X219" s="7">
        <v>0.7</v>
      </c>
      <c r="Y219" s="26" t="s">
        <v>3</v>
      </c>
    </row>
    <row r="220" spans="1:25">
      <c r="A220" s="25" t="s">
        <v>386</v>
      </c>
      <c r="B220" s="6">
        <v>4</v>
      </c>
      <c r="C220" s="17" t="s">
        <v>387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7">
        <v>2</v>
      </c>
      <c r="X220" s="7">
        <v>10</v>
      </c>
      <c r="Y220" s="26" t="s">
        <v>3</v>
      </c>
    </row>
    <row r="221" spans="1:25">
      <c r="A221" s="25" t="s">
        <v>388</v>
      </c>
      <c r="B221" s="6">
        <v>21</v>
      </c>
      <c r="C221" s="17" t="s">
        <v>389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7">
        <v>10</v>
      </c>
      <c r="X221" s="7">
        <v>50</v>
      </c>
      <c r="Y221" s="26" t="s">
        <v>3</v>
      </c>
    </row>
    <row r="222" spans="1:25">
      <c r="A222" s="25" t="s">
        <v>390</v>
      </c>
      <c r="B222" s="6">
        <v>0.15</v>
      </c>
      <c r="C222" s="17" t="s">
        <v>391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7">
        <v>0.1</v>
      </c>
      <c r="X222" s="7">
        <v>0.25</v>
      </c>
      <c r="Y222" s="26" t="s">
        <v>3</v>
      </c>
    </row>
    <row r="223" spans="1:25">
      <c r="A223" s="25" t="s">
        <v>392</v>
      </c>
      <c r="B223" s="6">
        <v>10</v>
      </c>
      <c r="C223" s="17" t="s">
        <v>393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7">
        <v>6</v>
      </c>
      <c r="X223" s="7">
        <v>16</v>
      </c>
      <c r="Y223" s="26" t="s">
        <v>3</v>
      </c>
    </row>
    <row r="224" spans="1:25">
      <c r="A224" s="25" t="s">
        <v>394</v>
      </c>
      <c r="B224" s="6">
        <v>1.2</v>
      </c>
      <c r="C224" s="17" t="s">
        <v>395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7">
        <v>0.8</v>
      </c>
      <c r="X224" s="7">
        <v>2</v>
      </c>
      <c r="Y224" s="26" t="s">
        <v>3</v>
      </c>
    </row>
    <row r="225" spans="1:25">
      <c r="A225" s="25" t="s">
        <v>396</v>
      </c>
      <c r="B225" s="6">
        <v>0.8</v>
      </c>
      <c r="C225" s="17" t="s">
        <v>397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7">
        <v>0.4</v>
      </c>
      <c r="X225" s="7">
        <v>1.5</v>
      </c>
      <c r="Y225" s="26" t="s">
        <v>3</v>
      </c>
    </row>
    <row r="226" spans="1:25">
      <c r="A226" s="25" t="s">
        <v>398</v>
      </c>
      <c r="B226" s="6">
        <v>0.1</v>
      </c>
      <c r="C226" s="17" t="s">
        <v>399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7">
        <v>0.05</v>
      </c>
      <c r="X226" s="7">
        <v>0.15</v>
      </c>
      <c r="Y226" s="26" t="s">
        <v>3</v>
      </c>
    </row>
    <row r="227" spans="1:25">
      <c r="A227" s="25" t="s">
        <v>400</v>
      </c>
      <c r="B227" s="6">
        <v>20</v>
      </c>
      <c r="C227" s="17" t="s">
        <v>401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7">
        <v>10</v>
      </c>
      <c r="X227" s="7">
        <v>40</v>
      </c>
      <c r="Y227" s="26" t="s">
        <v>3</v>
      </c>
    </row>
    <row r="228" spans="1:25">
      <c r="A228" s="25" t="s">
        <v>402</v>
      </c>
      <c r="B228" s="6">
        <v>200000</v>
      </c>
      <c r="C228" s="17" t="s">
        <v>403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7">
        <v>100000</v>
      </c>
      <c r="X228" s="7">
        <v>400000</v>
      </c>
      <c r="Y228" s="26" t="s">
        <v>3</v>
      </c>
    </row>
    <row r="229" spans="1:25">
      <c r="A229" s="25" t="s">
        <v>404</v>
      </c>
      <c r="B229" s="6">
        <v>200000</v>
      </c>
      <c r="C229" s="17" t="s">
        <v>405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7">
        <v>150000</v>
      </c>
      <c r="X229" s="7">
        <v>250000</v>
      </c>
      <c r="Y229" s="26" t="s">
        <v>3</v>
      </c>
    </row>
    <row r="230" spans="1:25">
      <c r="A230" s="25" t="s">
        <v>406</v>
      </c>
      <c r="B230" s="6">
        <v>250000</v>
      </c>
      <c r="C230" s="17" t="s">
        <v>407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>
        <v>180000</v>
      </c>
      <c r="X230" s="3">
        <v>300000</v>
      </c>
      <c r="Y230" s="3" t="s">
        <v>3</v>
      </c>
    </row>
    <row r="231" spans="1:25">
      <c r="A231" s="25" t="s">
        <v>408</v>
      </c>
      <c r="B231" s="6">
        <v>2</v>
      </c>
      <c r="C231" s="17" t="s">
        <v>409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7">
        <v>4</v>
      </c>
      <c r="X231" s="7">
        <v>12</v>
      </c>
      <c r="Y231" s="26" t="s">
        <v>3</v>
      </c>
    </row>
    <row r="232" spans="1:25">
      <c r="A232" s="25" t="s">
        <v>410</v>
      </c>
      <c r="B232" s="6">
        <v>1</v>
      </c>
      <c r="C232" s="17" t="s">
        <v>411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7">
        <v>1</v>
      </c>
      <c r="X232" s="7">
        <v>6</v>
      </c>
      <c r="Y232" s="26" t="s">
        <v>3</v>
      </c>
    </row>
    <row r="233" spans="1:25">
      <c r="A233" s="25" t="s">
        <v>412</v>
      </c>
      <c r="B233" s="6">
        <v>0.5</v>
      </c>
      <c r="C233" s="17" t="s">
        <v>413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7">
        <v>0.3</v>
      </c>
      <c r="X233" s="7">
        <v>0.8</v>
      </c>
      <c r="Y233" s="26" t="s">
        <v>3</v>
      </c>
    </row>
    <row r="234" spans="1:25">
      <c r="A234" s="25" t="s">
        <v>414</v>
      </c>
      <c r="B234" s="6">
        <v>10</v>
      </c>
      <c r="C234" s="17" t="s">
        <v>415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7">
        <v>7</v>
      </c>
      <c r="X234" s="7">
        <v>15</v>
      </c>
      <c r="Y234" s="26" t="s">
        <v>3</v>
      </c>
    </row>
    <row r="235" spans="1:25">
      <c r="A235" s="25" t="s">
        <v>416</v>
      </c>
      <c r="B235" s="6">
        <v>33</v>
      </c>
      <c r="C235" s="17" t="s">
        <v>417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25" t="s">
        <v>418</v>
      </c>
      <c r="B236" s="6">
        <v>6</v>
      </c>
      <c r="C236" s="17" t="s">
        <v>419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7">
        <v>3</v>
      </c>
      <c r="X236" s="7">
        <v>9</v>
      </c>
      <c r="Y236" s="26" t="s">
        <v>3</v>
      </c>
    </row>
    <row r="237" spans="1:25">
      <c r="A237" s="25" t="s">
        <v>420</v>
      </c>
      <c r="B237" s="6">
        <v>12900</v>
      </c>
      <c r="C237" s="17" t="s">
        <v>421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7">
        <v>10000</v>
      </c>
      <c r="X237" s="7">
        <v>16000</v>
      </c>
      <c r="Y237" s="26" t="s">
        <v>3</v>
      </c>
    </row>
    <row r="238" spans="1:25">
      <c r="A238" s="13" t="s">
        <v>422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>
      <c r="A239" s="25" t="s">
        <v>423</v>
      </c>
      <c r="B239" s="9">
        <v>0</v>
      </c>
      <c r="C239" s="17" t="s">
        <v>424</v>
      </c>
      <c r="D239" s="9">
        <v>0</v>
      </c>
      <c r="E239" s="9">
        <f>$B$477</f>
        <v>0.3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11">
        <v>0</v>
      </c>
      <c r="X239" s="11">
        <v>0.3</v>
      </c>
      <c r="Y239" s="26" t="s">
        <v>3</v>
      </c>
    </row>
    <row r="240" spans="1:25">
      <c r="A240" s="13" t="s">
        <v>425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>
      <c r="A241" s="25" t="s">
        <v>426</v>
      </c>
      <c r="B241" s="6">
        <v>3640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>
        <v>3000</v>
      </c>
      <c r="X241" s="3">
        <v>4500</v>
      </c>
      <c r="Y241" s="3" t="s">
        <v>3</v>
      </c>
    </row>
    <row r="242" spans="1:25">
      <c r="A242" s="25" t="s">
        <v>427</v>
      </c>
      <c r="B242" s="33">
        <v>8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>
        <v>5</v>
      </c>
      <c r="X242" s="3">
        <v>12</v>
      </c>
      <c r="Y242" s="3" t="s">
        <v>3</v>
      </c>
    </row>
    <row r="243" spans="1:25">
      <c r="A243" s="25" t="s">
        <v>428</v>
      </c>
      <c r="B243" s="6">
        <v>1000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>
        <v>600</v>
      </c>
      <c r="X243" s="3">
        <v>1500</v>
      </c>
      <c r="Y243" s="3" t="s">
        <v>3</v>
      </c>
    </row>
    <row r="244" spans="1:25">
      <c r="A244" s="25" t="s">
        <v>429</v>
      </c>
      <c r="B244" s="6">
        <v>2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4" t="s">
        <v>430</v>
      </c>
      <c r="B245" s="21">
        <v>8000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3"/>
      <c r="U245" s="3"/>
      <c r="V245" s="3"/>
      <c r="W245" s="3"/>
      <c r="X245" s="3"/>
      <c r="Y245" s="3"/>
    </row>
    <row r="246" spans="1:25">
      <c r="A246" s="25" t="s">
        <v>431</v>
      </c>
      <c r="B246" s="6">
        <v>2026</v>
      </c>
      <c r="C246" s="17" t="s">
        <v>432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7">
        <v>2026</v>
      </c>
      <c r="X246" s="7">
        <v>2027</v>
      </c>
      <c r="Y246" s="26" t="s">
        <v>13</v>
      </c>
    </row>
    <row r="247" spans="1:25">
      <c r="A247" s="25" t="s">
        <v>433</v>
      </c>
      <c r="B247" s="6">
        <v>2026</v>
      </c>
      <c r="C247" s="17" t="s">
        <v>434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7">
        <v>2026</v>
      </c>
      <c r="X247" s="7">
        <v>2028</v>
      </c>
      <c r="Y247" s="26" t="s">
        <v>13</v>
      </c>
    </row>
    <row r="248" spans="1:25">
      <c r="A248" s="25" t="s">
        <v>435</v>
      </c>
      <c r="B248" s="6">
        <v>2026</v>
      </c>
      <c r="C248" s="17" t="s">
        <v>436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6"/>
      <c r="Q248" s="3"/>
      <c r="R248" s="3"/>
      <c r="S248" s="3"/>
      <c r="T248" s="3"/>
      <c r="U248" s="3"/>
      <c r="V248" s="3"/>
      <c r="W248" s="7">
        <v>2026</v>
      </c>
      <c r="X248" s="7">
        <v>2027</v>
      </c>
      <c r="Y248" s="26" t="s">
        <v>13</v>
      </c>
    </row>
    <row r="249" spans="1:25">
      <c r="A249" s="25" t="s">
        <v>437</v>
      </c>
      <c r="B249" s="6">
        <v>2028</v>
      </c>
      <c r="C249" s="23" t="s">
        <v>438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6"/>
      <c r="Q249" s="3"/>
      <c r="R249" s="3"/>
      <c r="S249" s="3"/>
      <c r="T249" s="3"/>
      <c r="U249" s="3"/>
      <c r="V249" s="3"/>
      <c r="W249" s="7">
        <v>2027</v>
      </c>
      <c r="X249" s="7">
        <v>2029</v>
      </c>
      <c r="Y249" s="26" t="s">
        <v>13</v>
      </c>
    </row>
    <row r="250" spans="1:25">
      <c r="A250" s="25" t="s">
        <v>439</v>
      </c>
      <c r="B250" s="6">
        <v>2028</v>
      </c>
      <c r="C250" s="17" t="s">
        <v>440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6"/>
      <c r="Q250" s="3"/>
      <c r="R250" s="3"/>
      <c r="S250" s="3"/>
      <c r="T250" s="3"/>
      <c r="U250" s="3"/>
      <c r="V250" s="3"/>
      <c r="W250" s="7">
        <v>2027</v>
      </c>
      <c r="X250" s="7">
        <v>2029</v>
      </c>
      <c r="Y250" s="26" t="s">
        <v>13</v>
      </c>
    </row>
    <row r="251" spans="1:25">
      <c r="A251" s="25" t="s">
        <v>441</v>
      </c>
      <c r="B251" s="6">
        <v>2030</v>
      </c>
      <c r="C251" s="23" t="s">
        <v>442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6"/>
      <c r="Q251" s="3"/>
      <c r="R251" s="3"/>
      <c r="S251" s="3"/>
      <c r="T251" s="3"/>
      <c r="U251" s="3"/>
      <c r="V251" s="3"/>
      <c r="W251" s="7">
        <v>2029</v>
      </c>
      <c r="X251" s="7">
        <v>2031</v>
      </c>
      <c r="Y251" s="26" t="s">
        <v>13</v>
      </c>
    </row>
    <row r="252" spans="1:25">
      <c r="A252" s="25" t="s">
        <v>443</v>
      </c>
      <c r="B252" s="6">
        <v>2029</v>
      </c>
      <c r="C252" s="17" t="s">
        <v>444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6"/>
      <c r="Q252" s="3"/>
      <c r="R252" s="3"/>
      <c r="S252" s="3"/>
      <c r="T252" s="3"/>
      <c r="U252" s="3"/>
      <c r="V252" s="3"/>
      <c r="W252" s="7">
        <v>2028</v>
      </c>
      <c r="X252" s="7">
        <v>2030</v>
      </c>
      <c r="Y252" s="26" t="s">
        <v>13</v>
      </c>
    </row>
    <row r="253" spans="1:25">
      <c r="A253" s="25" t="s">
        <v>445</v>
      </c>
      <c r="B253" s="6">
        <v>2030</v>
      </c>
      <c r="C253" s="17" t="s">
        <v>446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6"/>
      <c r="Q253" s="3"/>
      <c r="R253" s="3"/>
      <c r="S253" s="3"/>
      <c r="T253" s="3"/>
      <c r="U253" s="3"/>
      <c r="V253" s="3"/>
      <c r="W253" s="7">
        <v>2029</v>
      </c>
      <c r="X253" s="7">
        <v>2031</v>
      </c>
      <c r="Y253" s="26" t="s">
        <v>13</v>
      </c>
    </row>
    <row r="254" spans="1:25">
      <c r="A254" s="13" t="s">
        <v>447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>
      <c r="A255" s="25" t="s">
        <v>448</v>
      </c>
      <c r="B255" s="33">
        <v>2026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6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25" t="s">
        <v>449</v>
      </c>
      <c r="B256" s="33">
        <v>50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6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25" t="s">
        <v>450</v>
      </c>
      <c r="B257" s="33">
        <v>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6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25" t="s">
        <v>451</v>
      </c>
      <c r="B258" s="35">
        <f>ROUND($B$256/$B$257*12,0)</f>
        <v>120</v>
      </c>
      <c r="C258" s="3" t="s">
        <v>452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6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25" t="s">
        <v>453</v>
      </c>
      <c r="B259" s="18">
        <v>6000000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6"/>
      <c r="Q259" s="3"/>
      <c r="R259" s="3"/>
      <c r="S259" s="3"/>
      <c r="T259" s="3"/>
      <c r="U259" s="3"/>
      <c r="V259" s="3"/>
      <c r="W259" s="3">
        <v>4000000</v>
      </c>
      <c r="X259" s="3">
        <v>9000000</v>
      </c>
      <c r="Y259" s="3" t="s">
        <v>3</v>
      </c>
    </row>
    <row r="260" spans="1:25">
      <c r="A260" s="25" t="s">
        <v>454</v>
      </c>
      <c r="B260" s="36">
        <v>1.5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6"/>
      <c r="Q260" s="3"/>
      <c r="R260" s="3"/>
      <c r="S260" s="3"/>
      <c r="T260" s="3"/>
      <c r="U260" s="3"/>
      <c r="V260" s="3"/>
      <c r="W260" s="3">
        <v>1.2</v>
      </c>
      <c r="X260" s="3">
        <v>2</v>
      </c>
      <c r="Y260" s="3" t="s">
        <v>3</v>
      </c>
    </row>
    <row r="261" spans="1:25">
      <c r="A261" s="25" t="s">
        <v>455</v>
      </c>
      <c r="B261" s="18">
        <v>100000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>
        <v>80000</v>
      </c>
      <c r="X261" s="3">
        <v>150000</v>
      </c>
      <c r="Y261" s="3" t="s">
        <v>3</v>
      </c>
    </row>
    <row r="262" spans="1:25">
      <c r="A262" s="25" t="s">
        <v>456</v>
      </c>
      <c r="B262" s="33">
        <v>6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>
        <v>4</v>
      </c>
      <c r="X262" s="3">
        <v>12</v>
      </c>
      <c r="Y262" s="3" t="s">
        <v>3</v>
      </c>
    </row>
    <row r="263" spans="1:25">
      <c r="A263" s="4" t="s">
        <v>457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25" t="s">
        <v>458</v>
      </c>
      <c r="B264" s="6">
        <v>8760</v>
      </c>
      <c r="C264" s="3" t="s">
        <v>459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 t="s">
        <v>20</v>
      </c>
    </row>
    <row r="265" spans="1:25">
      <c r="A265" s="13" t="s">
        <v>460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>
      <c r="A266" s="5" t="s">
        <v>461</v>
      </c>
      <c r="B266" s="6">
        <v>140</v>
      </c>
      <c r="C266" s="3" t="s">
        <v>462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6">
        <v>120</v>
      </c>
      <c r="X266" s="6">
        <v>160</v>
      </c>
      <c r="Y266" s="3" t="s">
        <v>3</v>
      </c>
    </row>
    <row r="267" spans="1:25">
      <c r="A267" s="5" t="s">
        <v>463</v>
      </c>
      <c r="B267" s="6">
        <v>160000</v>
      </c>
      <c r="C267" s="3" t="s">
        <v>462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6">
        <v>140000</v>
      </c>
      <c r="X267" s="6">
        <v>180000</v>
      </c>
      <c r="Y267" s="3" t="s">
        <v>3</v>
      </c>
    </row>
    <row r="268" spans="1:25">
      <c r="A268" s="5" t="s">
        <v>464</v>
      </c>
      <c r="B268" s="6">
        <v>0.6</v>
      </c>
      <c r="C268" s="3" t="s">
        <v>462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6">
        <v>0.5</v>
      </c>
      <c r="X268" s="6">
        <v>0.7</v>
      </c>
      <c r="Y268" s="3" t="s">
        <v>3</v>
      </c>
    </row>
    <row r="269" spans="1:25">
      <c r="A269" s="13" t="s">
        <v>465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>
      <c r="A270" s="5" t="s">
        <v>466</v>
      </c>
      <c r="B270" s="6">
        <v>8</v>
      </c>
      <c r="C270" s="3" t="s">
        <v>462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6">
        <v>6</v>
      </c>
      <c r="X270" s="6">
        <v>10</v>
      </c>
      <c r="Y270" s="3" t="s">
        <v>3</v>
      </c>
    </row>
    <row r="271" spans="1:25">
      <c r="A271" s="5" t="s">
        <v>467</v>
      </c>
      <c r="B271" s="6">
        <v>3000</v>
      </c>
      <c r="C271" s="3" t="s">
        <v>462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6">
        <v>2400</v>
      </c>
      <c r="X271" s="6">
        <v>3900</v>
      </c>
      <c r="Y271" s="3" t="s">
        <v>3</v>
      </c>
    </row>
    <row r="272" spans="1:25">
      <c r="A272" s="5" t="s">
        <v>468</v>
      </c>
      <c r="B272" s="6">
        <v>75000</v>
      </c>
      <c r="C272" s="3" t="s">
        <v>462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6">
        <v>60000</v>
      </c>
      <c r="X272" s="6">
        <v>97500</v>
      </c>
      <c r="Y272" s="3" t="s">
        <v>3</v>
      </c>
    </row>
    <row r="273" spans="1:25">
      <c r="A273" s="5" t="s">
        <v>469</v>
      </c>
      <c r="B273" s="6">
        <v>150000</v>
      </c>
      <c r="C273" s="3" t="s">
        <v>462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6">
        <v>120000</v>
      </c>
      <c r="X273" s="6">
        <v>195000</v>
      </c>
      <c r="Y273" s="3" t="s">
        <v>3</v>
      </c>
    </row>
    <row r="274" spans="1:25">
      <c r="A274" s="5" t="s">
        <v>470</v>
      </c>
      <c r="B274" s="6">
        <v>65000</v>
      </c>
      <c r="C274" s="3" t="s">
        <v>462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6">
        <v>52000</v>
      </c>
      <c r="X274" s="6">
        <v>84500</v>
      </c>
      <c r="Y274" s="3" t="s">
        <v>3</v>
      </c>
    </row>
    <row r="275" spans="1:25">
      <c r="A275" s="5" t="s">
        <v>471</v>
      </c>
      <c r="B275" s="6">
        <v>40000</v>
      </c>
      <c r="C275" s="3" t="s">
        <v>462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6">
        <v>32000</v>
      </c>
      <c r="X275" s="6">
        <v>52000</v>
      </c>
      <c r="Y275" s="3" t="s">
        <v>3</v>
      </c>
    </row>
    <row r="276" spans="1:25">
      <c r="A276" s="5" t="s">
        <v>472</v>
      </c>
      <c r="B276" s="6">
        <v>25000</v>
      </c>
      <c r="C276" s="3" t="s">
        <v>462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6">
        <v>20000</v>
      </c>
      <c r="X276" s="6">
        <v>32500</v>
      </c>
      <c r="Y276" s="3" t="s">
        <v>3</v>
      </c>
    </row>
    <row r="277" spans="1:25">
      <c r="A277" s="5" t="s">
        <v>473</v>
      </c>
      <c r="B277" s="6">
        <v>150000</v>
      </c>
      <c r="C277" s="3" t="s">
        <v>462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6">
        <v>120000</v>
      </c>
      <c r="X277" s="6">
        <v>195000</v>
      </c>
      <c r="Y277" s="3" t="s">
        <v>3</v>
      </c>
    </row>
    <row r="278" spans="1:25">
      <c r="A278" s="5" t="s">
        <v>474</v>
      </c>
      <c r="B278" s="6">
        <v>0.15</v>
      </c>
      <c r="C278" s="3" t="s">
        <v>462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6">
        <v>0.1</v>
      </c>
      <c r="X278" s="6">
        <v>0.2</v>
      </c>
      <c r="Y278" s="3" t="s">
        <v>3</v>
      </c>
    </row>
    <row r="279" spans="1:25">
      <c r="A279" s="5" t="s">
        <v>475</v>
      </c>
      <c r="B279" s="6">
        <v>2000</v>
      </c>
      <c r="C279" s="3" t="s">
        <v>476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 t="s">
        <v>20</v>
      </c>
    </row>
    <row r="280" spans="1:25">
      <c r="A280" s="5" t="s">
        <v>477</v>
      </c>
      <c r="B280" s="6">
        <v>0.2</v>
      </c>
      <c r="C280" s="3" t="s">
        <v>462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6">
        <v>0.12</v>
      </c>
      <c r="X280" s="6">
        <v>0.3</v>
      </c>
      <c r="Y280" s="3" t="s">
        <v>3</v>
      </c>
    </row>
    <row r="281" spans="1:25">
      <c r="A281" s="5" t="s">
        <v>478</v>
      </c>
      <c r="B281" s="6">
        <v>0.09</v>
      </c>
      <c r="C281" s="3" t="s">
        <v>462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6">
        <v>0.05</v>
      </c>
      <c r="X281" s="6">
        <v>0.12</v>
      </c>
      <c r="Y281" s="3" t="s">
        <v>3</v>
      </c>
    </row>
    <row r="282" spans="1:25">
      <c r="A282" s="5" t="s">
        <v>479</v>
      </c>
      <c r="B282" s="6">
        <v>15.16</v>
      </c>
      <c r="C282" s="3" t="s">
        <v>462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6">
        <v>9.85</v>
      </c>
      <c r="X282" s="6">
        <v>22.74</v>
      </c>
      <c r="Y282" s="3" t="s">
        <v>3</v>
      </c>
    </row>
    <row r="283" spans="1:25">
      <c r="A283" s="5" t="s">
        <v>480</v>
      </c>
      <c r="B283" s="6">
        <v>0.4</v>
      </c>
      <c r="C283" s="3" t="s">
        <v>462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6">
        <v>0.2</v>
      </c>
      <c r="X283" s="6">
        <v>0.6</v>
      </c>
      <c r="Y283" s="3" t="s">
        <v>3</v>
      </c>
    </row>
    <row r="284" spans="1:25">
      <c r="A284" s="13" t="s">
        <v>481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>
      <c r="A285" s="5" t="s">
        <v>482</v>
      </c>
      <c r="B285" s="6">
        <v>0.05</v>
      </c>
      <c r="C285" s="3" t="s">
        <v>462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6">
        <v>0.04</v>
      </c>
      <c r="X285" s="6">
        <v>0.06</v>
      </c>
      <c r="Y285" s="3" t="s">
        <v>3</v>
      </c>
    </row>
    <row r="286" spans="1:25">
      <c r="A286" s="5" t="s">
        <v>483</v>
      </c>
      <c r="B286" s="6">
        <v>0.5</v>
      </c>
      <c r="C286" s="3" t="s">
        <v>462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6">
        <v>0.4</v>
      </c>
      <c r="X286" s="6">
        <v>0.6</v>
      </c>
      <c r="Y286" s="3" t="s">
        <v>3</v>
      </c>
    </row>
    <row r="287" spans="1:25">
      <c r="A287" s="5" t="s">
        <v>484</v>
      </c>
      <c r="B287" s="6">
        <v>50000</v>
      </c>
      <c r="C287" s="3" t="s">
        <v>462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6">
        <v>40000</v>
      </c>
      <c r="X287" s="6">
        <v>65000</v>
      </c>
      <c r="Y287" s="3" t="s">
        <v>3</v>
      </c>
    </row>
    <row r="288" spans="1:25">
      <c r="A288" s="5" t="s">
        <v>485</v>
      </c>
      <c r="B288" s="6">
        <v>50000</v>
      </c>
      <c r="C288" s="3" t="s">
        <v>462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6">
        <v>40000</v>
      </c>
      <c r="X288" s="6">
        <v>65000</v>
      </c>
      <c r="Y288" s="3" t="s">
        <v>3</v>
      </c>
    </row>
    <row r="289" spans="1:25">
      <c r="A289" s="5" t="s">
        <v>486</v>
      </c>
      <c r="B289" s="6">
        <v>0.02</v>
      </c>
      <c r="C289" s="3" t="s">
        <v>462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6">
        <v>1.4999999999999999E-2</v>
      </c>
      <c r="X289" s="6">
        <v>0.03</v>
      </c>
      <c r="Y289" s="3" t="s">
        <v>3</v>
      </c>
    </row>
    <row r="290" spans="1:25">
      <c r="A290" s="5" t="s">
        <v>487</v>
      </c>
      <c r="B290" s="6">
        <v>0.01</v>
      </c>
      <c r="C290" s="3" t="s">
        <v>462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6">
        <v>8.0000000000000002E-3</v>
      </c>
      <c r="X290" s="6">
        <v>1.4999999999999999E-2</v>
      </c>
      <c r="Y290" s="3" t="s">
        <v>3</v>
      </c>
    </row>
    <row r="291" spans="1:25">
      <c r="A291" s="5" t="s">
        <v>488</v>
      </c>
      <c r="B291" s="6">
        <v>0.03</v>
      </c>
      <c r="C291" s="3" t="s">
        <v>462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6">
        <v>0.02</v>
      </c>
      <c r="X291" s="6">
        <v>4.4999999999999998E-2</v>
      </c>
      <c r="Y291" s="3" t="s">
        <v>3</v>
      </c>
    </row>
    <row r="292" spans="1:25">
      <c r="A292" s="13" t="s">
        <v>489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>
      <c r="A293" s="5" t="s">
        <v>490</v>
      </c>
      <c r="B293" s="6">
        <v>20000000</v>
      </c>
      <c r="C293" s="3" t="s">
        <v>462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6">
        <v>15000000</v>
      </c>
      <c r="X293" s="6">
        <v>26000000</v>
      </c>
      <c r="Y293" s="3" t="s">
        <v>3</v>
      </c>
    </row>
    <row r="294" spans="1:25">
      <c r="A294" s="13" t="s">
        <v>491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>
      <c r="A295" s="5" t="s">
        <v>492</v>
      </c>
      <c r="B295" s="6">
        <v>30</v>
      </c>
      <c r="C295" s="3" t="s">
        <v>462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6">
        <v>20</v>
      </c>
      <c r="X295" s="6">
        <v>45</v>
      </c>
      <c r="Y295" s="3" t="s">
        <v>3</v>
      </c>
    </row>
    <row r="296" spans="1:25">
      <c r="A296" s="5" t="s">
        <v>493</v>
      </c>
      <c r="B296" s="6">
        <v>0.01</v>
      </c>
      <c r="C296" s="3" t="s">
        <v>462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6">
        <v>8.0000000000000002E-3</v>
      </c>
      <c r="X296" s="6">
        <v>1.4999999999999999E-2</v>
      </c>
      <c r="Y296" s="3" t="s">
        <v>3</v>
      </c>
    </row>
    <row r="297" spans="1:25">
      <c r="A297" s="5" t="s">
        <v>494</v>
      </c>
      <c r="B297" s="6">
        <v>0.03</v>
      </c>
      <c r="C297" s="3" t="s">
        <v>462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6">
        <v>0.02</v>
      </c>
      <c r="X297" s="6">
        <v>4.4999999999999998E-2</v>
      </c>
      <c r="Y297" s="3" t="s">
        <v>3</v>
      </c>
    </row>
    <row r="298" spans="1:25">
      <c r="A298" s="5" t="s">
        <v>495</v>
      </c>
      <c r="B298" s="6">
        <v>277778</v>
      </c>
      <c r="C298" s="3" t="s">
        <v>462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6">
        <v>138889</v>
      </c>
      <c r="X298" s="6">
        <v>416667</v>
      </c>
      <c r="Y298" s="3" t="s">
        <v>3</v>
      </c>
    </row>
    <row r="299" spans="1:25">
      <c r="A299" s="5" t="s">
        <v>496</v>
      </c>
      <c r="B299" s="6">
        <v>0.09</v>
      </c>
      <c r="C299" s="3" t="s">
        <v>462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6">
        <v>0.05</v>
      </c>
      <c r="X299" s="6">
        <v>0.13</v>
      </c>
      <c r="Y299" s="3" t="s">
        <v>3</v>
      </c>
    </row>
    <row r="300" spans="1:25">
      <c r="A300" s="13" t="s">
        <v>497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>
      <c r="A301" s="5" t="s">
        <v>498</v>
      </c>
      <c r="B301" s="6">
        <v>0.3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6">
        <v>0.2</v>
      </c>
      <c r="X301" s="6">
        <v>0.4</v>
      </c>
      <c r="Y301" s="3" t="s">
        <v>3</v>
      </c>
    </row>
    <row r="302" spans="1:25">
      <c r="A302" s="5" t="s">
        <v>499</v>
      </c>
      <c r="B302" s="6">
        <v>0.08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6">
        <v>0.05</v>
      </c>
      <c r="X302" s="6">
        <v>0.12</v>
      </c>
      <c r="Y302" s="3" t="s">
        <v>3</v>
      </c>
    </row>
    <row r="303" spans="1:25">
      <c r="A303" s="5" t="s">
        <v>500</v>
      </c>
      <c r="B303" s="6">
        <v>-0.15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6">
        <v>-0.2</v>
      </c>
      <c r="X303" s="6">
        <v>-0.1</v>
      </c>
      <c r="Y303" s="3" t="s">
        <v>3</v>
      </c>
    </row>
    <row r="304" spans="1:25">
      <c r="A304" s="5" t="s">
        <v>501</v>
      </c>
      <c r="B304" s="6">
        <v>2000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6">
        <v>1000</v>
      </c>
      <c r="X304" s="6">
        <v>3500</v>
      </c>
      <c r="Y304" s="3" t="s">
        <v>3</v>
      </c>
    </row>
    <row r="305" spans="1:25">
      <c r="A305" s="5" t="s">
        <v>502</v>
      </c>
      <c r="B305" s="6">
        <v>0.15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6">
        <v>0.1</v>
      </c>
      <c r="X305" s="6">
        <v>0.2</v>
      </c>
      <c r="Y305" s="3" t="s">
        <v>3</v>
      </c>
    </row>
    <row r="306" spans="1:25">
      <c r="A306" s="5" t="s">
        <v>503</v>
      </c>
      <c r="B306" s="6">
        <v>0.05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6">
        <v>0.03</v>
      </c>
      <c r="X306" s="6">
        <v>0.08</v>
      </c>
      <c r="Y306" s="3" t="s">
        <v>3</v>
      </c>
    </row>
    <row r="307" spans="1:25">
      <c r="A307" s="5" t="s">
        <v>504</v>
      </c>
      <c r="B307" s="6">
        <v>-0.1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6">
        <v>-0.15</v>
      </c>
      <c r="X307" s="6">
        <v>-0.06</v>
      </c>
      <c r="Y307" s="3" t="s">
        <v>3</v>
      </c>
    </row>
    <row r="308" spans="1:25">
      <c r="A308" s="5" t="s">
        <v>505</v>
      </c>
      <c r="B308" s="6">
        <v>0.1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6">
        <v>0.06</v>
      </c>
      <c r="X308" s="6">
        <v>0.15</v>
      </c>
      <c r="Y308" s="3" t="s">
        <v>3</v>
      </c>
    </row>
    <row r="309" spans="1:25">
      <c r="A309" s="5" t="s">
        <v>506</v>
      </c>
      <c r="B309" s="6">
        <v>0.05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6">
        <v>0.03</v>
      </c>
      <c r="X309" s="6">
        <v>0.08</v>
      </c>
      <c r="Y309" s="3" t="s">
        <v>3</v>
      </c>
    </row>
    <row r="310" spans="1:25">
      <c r="A310" s="5" t="s">
        <v>507</v>
      </c>
      <c r="B310" s="6">
        <v>-0.1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6">
        <v>-0.15</v>
      </c>
      <c r="X310" s="6">
        <v>-0.06</v>
      </c>
      <c r="Y310" s="3" t="s">
        <v>3</v>
      </c>
    </row>
    <row r="311" spans="1:25">
      <c r="A311" s="13" t="s">
        <v>508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>
      <c r="A312" s="5" t="s">
        <v>509</v>
      </c>
      <c r="B312" s="6">
        <v>1</v>
      </c>
      <c r="C312" s="3" t="s">
        <v>462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6">
        <v>0</v>
      </c>
      <c r="X312" s="6">
        <v>1</v>
      </c>
      <c r="Y312" s="3" t="s">
        <v>13</v>
      </c>
    </row>
    <row r="313" spans="1:25">
      <c r="A313" s="13" t="s">
        <v>510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>
      <c r="A314" s="5" t="s">
        <v>511</v>
      </c>
      <c r="B314" s="6">
        <v>1393615</v>
      </c>
      <c r="C314" s="3" t="s">
        <v>512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6">
        <v>870000</v>
      </c>
      <c r="X314" s="6">
        <v>1913000</v>
      </c>
      <c r="Y314" s="3" t="s">
        <v>3</v>
      </c>
    </row>
    <row r="315" spans="1:25">
      <c r="A315" s="5" t="s">
        <v>513</v>
      </c>
      <c r="B315" s="6">
        <v>100000</v>
      </c>
      <c r="C315" s="3" t="s">
        <v>514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6">
        <v>100000</v>
      </c>
      <c r="X315" s="6">
        <v>100000</v>
      </c>
      <c r="Y315" s="3" t="s">
        <v>20</v>
      </c>
    </row>
    <row r="316" spans="1:25">
      <c r="A316" s="5" t="s">
        <v>515</v>
      </c>
      <c r="B316" s="6">
        <v>8</v>
      </c>
      <c r="C316" s="3" t="s">
        <v>516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6">
        <v>5</v>
      </c>
      <c r="X316" s="6">
        <v>10</v>
      </c>
      <c r="Y316" s="3" t="s">
        <v>3</v>
      </c>
    </row>
    <row r="317" spans="1:25">
      <c r="A317" s="5" t="s">
        <v>517</v>
      </c>
      <c r="B317" s="6">
        <v>437.8</v>
      </c>
      <c r="C317" s="3" t="s">
        <v>516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6">
        <v>343</v>
      </c>
      <c r="X317" s="6">
        <v>500.3</v>
      </c>
      <c r="Y317" s="3" t="s">
        <v>3</v>
      </c>
    </row>
    <row r="318" spans="1:25">
      <c r="A318" s="5" t="s">
        <v>518</v>
      </c>
      <c r="B318" s="6">
        <v>3</v>
      </c>
      <c r="C318" s="3" t="s">
        <v>516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6">
        <v>2</v>
      </c>
      <c r="X318" s="6">
        <v>4</v>
      </c>
      <c r="Y318" s="3" t="s">
        <v>3</v>
      </c>
    </row>
    <row r="319" spans="1:25">
      <c r="A319" s="5" t="s">
        <v>519</v>
      </c>
      <c r="B319" s="6">
        <v>0.33</v>
      </c>
      <c r="C319" s="3" t="s">
        <v>520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6">
        <v>0.27</v>
      </c>
      <c r="X319" s="6">
        <v>0.4</v>
      </c>
      <c r="Y319" s="3" t="s">
        <v>3</v>
      </c>
    </row>
    <row r="320" spans="1:25">
      <c r="A320" s="13" t="s">
        <v>521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>
      <c r="A321" s="5" t="s">
        <v>522</v>
      </c>
      <c r="B321" s="3"/>
      <c r="C321" s="3" t="s">
        <v>462</v>
      </c>
      <c r="D321" s="6">
        <v>2</v>
      </c>
      <c r="E321" s="23">
        <f t="shared" ref="E321:S321" si="15">$D$321*(1+$B$340)^E$2</f>
        <v>1.9</v>
      </c>
      <c r="F321" s="23">
        <f t="shared" si="15"/>
        <v>1.8049999999999999</v>
      </c>
      <c r="G321" s="23">
        <f t="shared" si="15"/>
        <v>1.7147499999999998</v>
      </c>
      <c r="H321" s="23">
        <f t="shared" si="15"/>
        <v>1.6290125</v>
      </c>
      <c r="I321" s="23">
        <f t="shared" si="15"/>
        <v>1.547561875</v>
      </c>
      <c r="J321" s="23">
        <f t="shared" si="15"/>
        <v>1.4701837812499998</v>
      </c>
      <c r="K321" s="23">
        <f t="shared" si="15"/>
        <v>1.3966745921874999</v>
      </c>
      <c r="L321" s="23">
        <f t="shared" si="15"/>
        <v>1.3268408625781249</v>
      </c>
      <c r="M321" s="23">
        <f t="shared" si="15"/>
        <v>1.2604988194492186</v>
      </c>
      <c r="N321" s="23">
        <f t="shared" si="15"/>
        <v>1.1974738784767578</v>
      </c>
      <c r="O321" s="23">
        <f t="shared" si="15"/>
        <v>1.1376001845529198</v>
      </c>
      <c r="P321" s="23">
        <f t="shared" si="15"/>
        <v>1.0807201753252738</v>
      </c>
      <c r="Q321" s="23">
        <f t="shared" si="15"/>
        <v>1.0266841665590101</v>
      </c>
      <c r="R321" s="23">
        <f t="shared" si="15"/>
        <v>0.97534995823105952</v>
      </c>
      <c r="S321" s="23">
        <f t="shared" si="15"/>
        <v>0.92658246031950664</v>
      </c>
      <c r="T321" s="3"/>
      <c r="U321" s="3"/>
      <c r="V321" s="3"/>
      <c r="W321" s="3"/>
      <c r="X321" s="3"/>
      <c r="Y321" s="3" t="s">
        <v>523</v>
      </c>
    </row>
    <row r="322" spans="1:25">
      <c r="A322" s="5" t="s">
        <v>524</v>
      </c>
      <c r="B322" s="3"/>
      <c r="C322" s="3" t="s">
        <v>462</v>
      </c>
      <c r="D322" s="6">
        <v>0.4</v>
      </c>
      <c r="E322" s="37">
        <f t="shared" ref="E322:S322" si="16">MIN($B$479,$D$322+$B$478*E$2)</f>
        <v>0.49</v>
      </c>
      <c r="F322" s="37">
        <f t="shared" si="16"/>
        <v>0.58000000000000007</v>
      </c>
      <c r="G322" s="37">
        <f t="shared" si="16"/>
        <v>0.67</v>
      </c>
      <c r="H322" s="37">
        <f t="shared" si="16"/>
        <v>0.76</v>
      </c>
      <c r="I322" s="37">
        <f t="shared" si="16"/>
        <v>0.85</v>
      </c>
      <c r="J322" s="37">
        <f t="shared" si="16"/>
        <v>0.85</v>
      </c>
      <c r="K322" s="37">
        <f t="shared" si="16"/>
        <v>0.85</v>
      </c>
      <c r="L322" s="37">
        <f t="shared" si="16"/>
        <v>0.85</v>
      </c>
      <c r="M322" s="37">
        <f t="shared" si="16"/>
        <v>0.85</v>
      </c>
      <c r="N322" s="37">
        <f t="shared" si="16"/>
        <v>0.85</v>
      </c>
      <c r="O322" s="37">
        <f t="shared" si="16"/>
        <v>0.85</v>
      </c>
      <c r="P322" s="37">
        <f t="shared" si="16"/>
        <v>0.85</v>
      </c>
      <c r="Q322" s="37">
        <f t="shared" si="16"/>
        <v>0.85</v>
      </c>
      <c r="R322" s="37">
        <f t="shared" si="16"/>
        <v>0.85</v>
      </c>
      <c r="S322" s="37">
        <f t="shared" si="16"/>
        <v>0.85</v>
      </c>
      <c r="T322" s="3"/>
      <c r="U322" s="3"/>
      <c r="V322" s="3"/>
      <c r="W322" s="3"/>
      <c r="X322" s="3"/>
      <c r="Y322" s="3" t="s">
        <v>523</v>
      </c>
    </row>
    <row r="323" spans="1:25">
      <c r="A323" s="5" t="s">
        <v>525</v>
      </c>
      <c r="B323" s="3"/>
      <c r="C323" s="3" t="s">
        <v>462</v>
      </c>
      <c r="D323" s="6">
        <v>0.06</v>
      </c>
      <c r="E323" s="23">
        <f>$D$323*(1+$B$341)^E$2</f>
        <v>6.3E-2</v>
      </c>
      <c r="F323" s="6">
        <v>6.615E-2</v>
      </c>
      <c r="G323" s="6">
        <v>6.9458000000000006E-2</v>
      </c>
      <c r="H323" s="6">
        <v>7.2929999999999995E-2</v>
      </c>
      <c r="I323" s="6">
        <v>7.6577000000000006E-2</v>
      </c>
      <c r="J323" s="6">
        <v>8.0406000000000005E-2</v>
      </c>
      <c r="K323" s="6">
        <v>8.4426000000000001E-2</v>
      </c>
      <c r="L323" s="6">
        <v>8.8647000000000004E-2</v>
      </c>
      <c r="M323" s="6">
        <v>9.3079999999999996E-2</v>
      </c>
      <c r="N323" s="6">
        <v>9.7734000000000001E-2</v>
      </c>
      <c r="O323" s="6">
        <v>0.10262</v>
      </c>
      <c r="P323" s="6">
        <v>0.107751</v>
      </c>
      <c r="Q323" s="6">
        <v>0.113139</v>
      </c>
      <c r="R323" s="6">
        <v>0.118796</v>
      </c>
      <c r="S323" s="6">
        <v>0.124736</v>
      </c>
      <c r="T323" s="3"/>
      <c r="U323" s="3"/>
      <c r="V323" s="3"/>
      <c r="W323" s="3"/>
      <c r="X323" s="3"/>
      <c r="Y323" s="3" t="s">
        <v>523</v>
      </c>
    </row>
    <row r="324" spans="1:25">
      <c r="A324" s="5" t="s">
        <v>526</v>
      </c>
      <c r="B324" s="6">
        <v>3</v>
      </c>
      <c r="C324" s="3" t="s">
        <v>527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7">
        <v>0.5</v>
      </c>
      <c r="X324" s="7">
        <v>3</v>
      </c>
      <c r="Y324" s="26" t="s">
        <v>3</v>
      </c>
    </row>
    <row r="325" spans="1:25">
      <c r="A325" s="13" t="s">
        <v>528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>
      <c r="A326" s="5" t="s">
        <v>529</v>
      </c>
      <c r="B326" s="38">
        <v>0.5</v>
      </c>
      <c r="C326" s="3" t="s">
        <v>530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9">
        <v>0.4</v>
      </c>
      <c r="X326" s="39">
        <v>0.6</v>
      </c>
      <c r="Y326" s="26" t="s">
        <v>3</v>
      </c>
    </row>
    <row r="327" spans="1:25">
      <c r="A327" s="13" t="s">
        <v>531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>
      <c r="A328" s="16" t="s">
        <v>532</v>
      </c>
      <c r="B328" s="36"/>
      <c r="C328" s="23" t="s">
        <v>533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0">
        <v>2</v>
      </c>
      <c r="X328" s="40">
        <v>5</v>
      </c>
      <c r="Y328" s="26" t="s">
        <v>3</v>
      </c>
    </row>
    <row r="329" spans="1:25">
      <c r="A329" s="16" t="s">
        <v>534</v>
      </c>
      <c r="B329" s="18"/>
      <c r="C329" s="3" t="s">
        <v>535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1">
        <v>300</v>
      </c>
      <c r="X329" s="41">
        <v>900</v>
      </c>
      <c r="Y329" s="26" t="s">
        <v>3</v>
      </c>
    </row>
    <row r="330" spans="1:25">
      <c r="A330" s="16" t="s">
        <v>536</v>
      </c>
      <c r="B330" s="9"/>
      <c r="C330" s="3" t="s">
        <v>537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11">
        <v>0.4</v>
      </c>
      <c r="X330" s="11">
        <v>0.8</v>
      </c>
      <c r="Y330" s="26" t="s">
        <v>3</v>
      </c>
    </row>
    <row r="331" spans="1:25">
      <c r="A331" s="16" t="s">
        <v>538</v>
      </c>
      <c r="B331" s="38"/>
      <c r="C331" s="3" t="s">
        <v>539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9">
        <v>0.3</v>
      </c>
      <c r="X331" s="39">
        <v>0.6</v>
      </c>
      <c r="Y331" s="26" t="s">
        <v>3</v>
      </c>
    </row>
    <row r="332" spans="1:25">
      <c r="A332" s="16" t="s">
        <v>540</v>
      </c>
      <c r="B332" s="42"/>
      <c r="C332" s="3" t="s">
        <v>541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3">
        <v>120</v>
      </c>
      <c r="X332" s="43">
        <v>240</v>
      </c>
      <c r="Y332" s="26" t="s">
        <v>3</v>
      </c>
    </row>
    <row r="333" spans="1:25">
      <c r="A333" s="16" t="s">
        <v>542</v>
      </c>
      <c r="B333" s="36"/>
      <c r="C333" s="3" t="s">
        <v>543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0">
        <v>5</v>
      </c>
      <c r="X333" s="40">
        <v>15</v>
      </c>
      <c r="Y333" s="26" t="s">
        <v>3</v>
      </c>
    </row>
    <row r="334" spans="1:25">
      <c r="A334" s="5" t="s">
        <v>544</v>
      </c>
      <c r="B334" s="42">
        <v>235</v>
      </c>
      <c r="C334" s="3" t="s">
        <v>545</v>
      </c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3">
        <v>120</v>
      </c>
      <c r="X334" s="43">
        <v>400</v>
      </c>
      <c r="Y334" s="26" t="s">
        <v>3</v>
      </c>
    </row>
    <row r="335" spans="1:25">
      <c r="A335" s="5" t="s">
        <v>546</v>
      </c>
      <c r="B335" s="33">
        <v>2030</v>
      </c>
      <c r="C335" s="3" t="s">
        <v>547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6"/>
      <c r="Q335" s="3"/>
      <c r="R335" s="3"/>
      <c r="S335" s="3"/>
      <c r="T335" s="3"/>
      <c r="U335" s="3"/>
      <c r="V335" s="3"/>
      <c r="W335" s="3">
        <v>2029</v>
      </c>
      <c r="X335" s="3">
        <v>2031</v>
      </c>
      <c r="Y335" s="3" t="s">
        <v>13</v>
      </c>
    </row>
    <row r="336" spans="1:25">
      <c r="A336" s="5" t="s">
        <v>548</v>
      </c>
      <c r="B336" s="9">
        <v>0.5</v>
      </c>
      <c r="C336" s="3" t="s">
        <v>549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6"/>
      <c r="Q336" s="3"/>
      <c r="R336" s="3"/>
      <c r="S336" s="3"/>
      <c r="T336" s="3"/>
      <c r="U336" s="3"/>
      <c r="V336" s="3"/>
      <c r="W336" s="11">
        <v>0.4</v>
      </c>
      <c r="X336" s="11">
        <v>0.7</v>
      </c>
      <c r="Y336" s="26" t="s">
        <v>3</v>
      </c>
    </row>
    <row r="337" spans="1:25">
      <c r="A337" s="5" t="s">
        <v>550</v>
      </c>
      <c r="B337" s="9">
        <v>0.1</v>
      </c>
      <c r="C337" s="3" t="s">
        <v>551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6"/>
      <c r="Q337" s="3"/>
      <c r="R337" s="3"/>
      <c r="S337" s="3"/>
      <c r="T337" s="3"/>
      <c r="U337" s="3"/>
      <c r="V337" s="3"/>
      <c r="W337" s="11">
        <v>0.05</v>
      </c>
      <c r="X337" s="11">
        <v>0.15</v>
      </c>
      <c r="Y337" s="26" t="s">
        <v>3</v>
      </c>
    </row>
    <row r="338" spans="1:25">
      <c r="A338" s="5" t="s">
        <v>552</v>
      </c>
      <c r="B338" s="9">
        <v>0.35</v>
      </c>
      <c r="C338" s="3" t="s">
        <v>553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6"/>
      <c r="Q338" s="3"/>
      <c r="R338" s="3"/>
      <c r="S338" s="3"/>
      <c r="T338" s="3"/>
      <c r="U338" s="3"/>
      <c r="V338" s="3"/>
      <c r="W338" s="11">
        <v>0.25</v>
      </c>
      <c r="X338" s="11">
        <v>0.5</v>
      </c>
      <c r="Y338" s="26" t="s">
        <v>3</v>
      </c>
    </row>
    <row r="339" spans="1:25">
      <c r="A339" s="13" t="s">
        <v>554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>
      <c r="A340" s="5" t="s">
        <v>555</v>
      </c>
      <c r="B340" s="9">
        <v>-0.05</v>
      </c>
      <c r="C340" s="3" t="s">
        <v>556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6"/>
      <c r="Q340" s="3"/>
      <c r="R340" s="3"/>
      <c r="S340" s="3"/>
      <c r="T340" s="3"/>
      <c r="U340" s="3"/>
      <c r="V340" s="3"/>
      <c r="W340" s="11">
        <v>-0.08</v>
      </c>
      <c r="X340" s="11">
        <v>-0.02</v>
      </c>
      <c r="Y340" s="26" t="s">
        <v>3</v>
      </c>
    </row>
    <row r="341" spans="1:25">
      <c r="A341" s="5" t="s">
        <v>557</v>
      </c>
      <c r="B341" s="9">
        <v>0.05</v>
      </c>
      <c r="C341" s="3" t="s">
        <v>558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6"/>
      <c r="Q341" s="3"/>
      <c r="R341" s="3"/>
      <c r="S341" s="3"/>
      <c r="T341" s="3"/>
      <c r="U341" s="3"/>
      <c r="V341" s="3"/>
      <c r="W341" s="11">
        <v>0.03</v>
      </c>
      <c r="X341" s="11">
        <v>0.1</v>
      </c>
      <c r="Y341" s="26" t="s">
        <v>3</v>
      </c>
    </row>
    <row r="342" spans="1:25">
      <c r="A342" s="5" t="s">
        <v>559</v>
      </c>
      <c r="B342" s="9">
        <v>4.7E-2</v>
      </c>
      <c r="C342" s="3" t="s">
        <v>560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6"/>
      <c r="Q342" s="3"/>
      <c r="R342" s="3"/>
      <c r="S342" s="3"/>
      <c r="T342" s="3"/>
      <c r="U342" s="3"/>
      <c r="V342" s="3"/>
      <c r="W342" s="11">
        <v>0.02</v>
      </c>
      <c r="X342" s="11">
        <v>0.08</v>
      </c>
      <c r="Y342" s="26" t="s">
        <v>3</v>
      </c>
    </row>
    <row r="343" spans="1:25">
      <c r="A343" s="5" t="s">
        <v>561</v>
      </c>
      <c r="B343" s="33">
        <v>10</v>
      </c>
      <c r="C343" s="3" t="s">
        <v>562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6"/>
      <c r="Q343" s="3"/>
      <c r="R343" s="3"/>
      <c r="S343" s="3"/>
      <c r="T343" s="3"/>
      <c r="U343" s="3"/>
      <c r="V343" s="3"/>
      <c r="W343" s="33">
        <v>8</v>
      </c>
      <c r="X343" s="33">
        <v>15</v>
      </c>
      <c r="Y343" s="3" t="s">
        <v>3</v>
      </c>
    </row>
    <row r="344" spans="1:25">
      <c r="A344" s="13" t="s">
        <v>563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>
      <c r="A345" s="5" t="s">
        <v>564</v>
      </c>
      <c r="B345" s="9">
        <v>3</v>
      </c>
      <c r="C345" s="3" t="s">
        <v>565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6"/>
      <c r="Q345" s="3"/>
      <c r="R345" s="3"/>
      <c r="S345" s="3"/>
      <c r="T345" s="3"/>
      <c r="U345" s="3"/>
      <c r="V345" s="3"/>
      <c r="W345" s="11">
        <v>1</v>
      </c>
      <c r="X345" s="11">
        <v>6</v>
      </c>
      <c r="Y345" s="26" t="s">
        <v>3</v>
      </c>
    </row>
    <row r="346" spans="1:25">
      <c r="A346" s="5" t="s">
        <v>566</v>
      </c>
      <c r="B346" s="9">
        <v>0.15</v>
      </c>
      <c r="C346" s="3" t="s">
        <v>567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6"/>
      <c r="Q346" s="3"/>
      <c r="R346" s="3"/>
      <c r="S346" s="3"/>
      <c r="T346" s="3"/>
      <c r="U346" s="3"/>
      <c r="V346" s="3"/>
      <c r="W346" s="11">
        <v>0.05</v>
      </c>
      <c r="X346" s="11">
        <v>0.3</v>
      </c>
      <c r="Y346" s="26" t="s">
        <v>3</v>
      </c>
    </row>
    <row r="347" spans="1:25">
      <c r="A347" s="25" t="s">
        <v>568</v>
      </c>
      <c r="B347" s="30">
        <v>2.5</v>
      </c>
      <c r="C347" s="17" t="s">
        <v>569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2">
        <v>2</v>
      </c>
      <c r="X347" s="32">
        <v>4</v>
      </c>
      <c r="Y347" s="26" t="s">
        <v>3</v>
      </c>
    </row>
    <row r="348" spans="1:25">
      <c r="A348" s="25" t="s">
        <v>570</v>
      </c>
      <c r="B348" s="33">
        <v>7</v>
      </c>
      <c r="C348" s="17" t="s">
        <v>571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4">
        <v>5</v>
      </c>
      <c r="X348" s="44">
        <v>10</v>
      </c>
      <c r="Y348" s="26" t="s">
        <v>3</v>
      </c>
    </row>
    <row r="349" spans="1:25">
      <c r="A349" s="13" t="s">
        <v>572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>
      <c r="A350" s="5" t="s">
        <v>573</v>
      </c>
      <c r="B350" s="9">
        <v>0.08</v>
      </c>
      <c r="C350" s="3" t="s">
        <v>574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6"/>
      <c r="Q350" s="3"/>
      <c r="R350" s="3"/>
      <c r="S350" s="3"/>
      <c r="T350" s="3"/>
      <c r="U350" s="3"/>
      <c r="V350" s="3"/>
      <c r="W350" s="11">
        <v>0.04</v>
      </c>
      <c r="X350" s="11">
        <v>0.14000000000000001</v>
      </c>
      <c r="Y350" s="26" t="s">
        <v>3</v>
      </c>
    </row>
    <row r="351" spans="1:25">
      <c r="A351" s="5" t="s">
        <v>575</v>
      </c>
      <c r="B351" s="9">
        <v>-0.01</v>
      </c>
      <c r="C351" s="3" t="s">
        <v>576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6"/>
      <c r="Q351" s="3"/>
      <c r="R351" s="3"/>
      <c r="S351" s="3"/>
      <c r="T351" s="3"/>
      <c r="U351" s="3"/>
      <c r="V351" s="3"/>
      <c r="W351" s="11">
        <v>-0.03</v>
      </c>
      <c r="X351" s="11">
        <v>0.02</v>
      </c>
      <c r="Y351" s="26" t="s">
        <v>3</v>
      </c>
    </row>
    <row r="352" spans="1:25">
      <c r="A352" s="5" t="s">
        <v>577</v>
      </c>
      <c r="B352" s="9">
        <v>0.15</v>
      </c>
      <c r="C352" s="23" t="s">
        <v>578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11">
        <v>0.04</v>
      </c>
      <c r="X352" s="11">
        <v>0.12</v>
      </c>
      <c r="Y352" s="26" t="s">
        <v>3</v>
      </c>
    </row>
    <row r="353" spans="1:25">
      <c r="A353" s="5" t="s">
        <v>579</v>
      </c>
      <c r="B353" s="33">
        <v>2028</v>
      </c>
      <c r="C353" s="3" t="s">
        <v>580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>
        <v>2027</v>
      </c>
      <c r="X353" s="3">
        <v>2029</v>
      </c>
      <c r="Y353" s="3" t="s">
        <v>13</v>
      </c>
    </row>
    <row r="354" spans="1:25">
      <c r="A354" s="13" t="s">
        <v>581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>
      <c r="A355" s="25" t="s">
        <v>582</v>
      </c>
      <c r="B355" s="36">
        <v>0.6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>
        <v>0.4</v>
      </c>
      <c r="X355" s="3">
        <v>0.9</v>
      </c>
      <c r="Y355" s="3" t="s">
        <v>3</v>
      </c>
    </row>
    <row r="356" spans="1:25">
      <c r="A356" s="13" t="s">
        <v>583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>
      <c r="A357" s="5" t="s">
        <v>584</v>
      </c>
      <c r="B357" s="18">
        <v>70000</v>
      </c>
      <c r="C357" s="3" t="s">
        <v>585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18">
        <v>50000</v>
      </c>
      <c r="X357" s="18">
        <v>90000</v>
      </c>
      <c r="Y357" s="3" t="s">
        <v>3</v>
      </c>
    </row>
    <row r="358" spans="1:25">
      <c r="A358" s="5" t="s">
        <v>586</v>
      </c>
      <c r="B358" s="9">
        <v>4.58E-2</v>
      </c>
      <c r="C358" s="3" t="s">
        <v>587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9">
        <v>3.5000000000000003E-2</v>
      </c>
      <c r="X358" s="9">
        <v>7.0000000000000007E-2</v>
      </c>
      <c r="Y358" s="3" t="s">
        <v>3</v>
      </c>
    </row>
    <row r="359" spans="1:25">
      <c r="A359" s="5" t="s">
        <v>588</v>
      </c>
      <c r="B359" s="18">
        <v>20000</v>
      </c>
      <c r="C359" s="3" t="s">
        <v>589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18">
        <v>10000</v>
      </c>
      <c r="X359" s="18">
        <v>40000</v>
      </c>
      <c r="Y359" s="3" t="s">
        <v>3</v>
      </c>
    </row>
    <row r="360" spans="1:25">
      <c r="A360" s="19" t="s">
        <v>590</v>
      </c>
      <c r="B360" s="45">
        <v>0.5</v>
      </c>
      <c r="C360" s="20" t="s">
        <v>591</v>
      </c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3"/>
      <c r="U360" s="3"/>
      <c r="V360" s="3"/>
      <c r="W360" s="9">
        <v>0.25</v>
      </c>
      <c r="X360" s="9">
        <v>0.75</v>
      </c>
      <c r="Y360" s="3" t="s">
        <v>3</v>
      </c>
    </row>
    <row r="361" spans="1:25">
      <c r="A361" s="5" t="s">
        <v>592</v>
      </c>
      <c r="B361" s="33">
        <v>2035</v>
      </c>
      <c r="C361" s="3" t="s">
        <v>593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3">
        <v>2032</v>
      </c>
      <c r="X361" s="33">
        <v>2040</v>
      </c>
      <c r="Y361" s="3" t="s">
        <v>13</v>
      </c>
    </row>
    <row r="362" spans="1:25">
      <c r="A362" s="5" t="s">
        <v>594</v>
      </c>
      <c r="B362" s="33">
        <v>2030</v>
      </c>
      <c r="C362" s="3" t="s">
        <v>595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 t="s">
        <v>20</v>
      </c>
    </row>
    <row r="363" spans="1:25">
      <c r="A363" s="5" t="s">
        <v>596</v>
      </c>
      <c r="B363" s="30">
        <v>1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>
        <v>0.9</v>
      </c>
      <c r="X363" s="3">
        <v>1.6</v>
      </c>
      <c r="Y363" s="3" t="s">
        <v>3</v>
      </c>
    </row>
    <row r="364" spans="1:25">
      <c r="A364" s="5" t="s">
        <v>597</v>
      </c>
      <c r="B364" s="33">
        <v>10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>
        <v>6</v>
      </c>
      <c r="X364" s="3">
        <v>15</v>
      </c>
      <c r="Y364" s="3" t="s">
        <v>3</v>
      </c>
    </row>
    <row r="365" spans="1:25">
      <c r="A365" s="25" t="s">
        <v>598</v>
      </c>
      <c r="B365" s="33">
        <v>15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>
        <v>8</v>
      </c>
      <c r="X365" s="3">
        <v>25</v>
      </c>
      <c r="Y365" s="3" t="s">
        <v>3</v>
      </c>
    </row>
    <row r="366" spans="1:25">
      <c r="A366" s="25" t="s">
        <v>599</v>
      </c>
      <c r="B366" s="33">
        <v>400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>
        <v>250</v>
      </c>
      <c r="X366" s="3">
        <v>600</v>
      </c>
      <c r="Y366" s="3" t="s">
        <v>3</v>
      </c>
    </row>
    <row r="367" spans="1:25">
      <c r="A367" s="13" t="s">
        <v>600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>
      <c r="A368" s="5" t="s">
        <v>601</v>
      </c>
      <c r="B368" s="18">
        <v>7000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>
        <v>3000</v>
      </c>
      <c r="X368" s="3">
        <v>12000</v>
      </c>
      <c r="Y368" s="3" t="s">
        <v>3</v>
      </c>
    </row>
    <row r="369" spans="1:25">
      <c r="A369" s="5" t="s">
        <v>602</v>
      </c>
      <c r="B369" s="38">
        <v>0.3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>
        <v>0.2</v>
      </c>
      <c r="X369" s="3">
        <v>0.45</v>
      </c>
      <c r="Y369" s="3" t="s">
        <v>3</v>
      </c>
    </row>
    <row r="370" spans="1:25">
      <c r="A370" s="5" t="s">
        <v>603</v>
      </c>
      <c r="B370" s="9">
        <v>0.35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>
        <v>0.2</v>
      </c>
      <c r="X370" s="3">
        <v>0.5</v>
      </c>
      <c r="Y370" s="3" t="s">
        <v>3</v>
      </c>
    </row>
    <row r="371" spans="1:25">
      <c r="A371" s="5" t="s">
        <v>604</v>
      </c>
      <c r="B371" s="38">
        <v>3</v>
      </c>
      <c r="C371" s="23" t="s">
        <v>605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9">
        <v>0.5</v>
      </c>
      <c r="X371" s="39">
        <v>3</v>
      </c>
      <c r="Y371" s="26" t="s">
        <v>3</v>
      </c>
    </row>
    <row r="372" spans="1:25">
      <c r="A372" s="13" t="s">
        <v>606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>
      <c r="A373" s="5" t="s">
        <v>607</v>
      </c>
      <c r="B373" s="9">
        <v>3.5000000000000003E-2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>
        <v>0.02</v>
      </c>
      <c r="X373" s="3">
        <v>0.06</v>
      </c>
      <c r="Y373" s="3" t="s">
        <v>3</v>
      </c>
    </row>
    <row r="374" spans="1:25">
      <c r="A374" s="5" t="s">
        <v>608</v>
      </c>
      <c r="B374" s="18">
        <v>13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>
        <v>7</v>
      </c>
      <c r="X374" s="3">
        <v>22</v>
      </c>
      <c r="Y374" s="3" t="s">
        <v>3</v>
      </c>
    </row>
    <row r="375" spans="1:25">
      <c r="A375" s="5" t="s">
        <v>609</v>
      </c>
      <c r="B375" s="9">
        <v>0.04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>
        <v>0.02</v>
      </c>
      <c r="X375" s="3">
        <v>7.0000000000000007E-2</v>
      </c>
      <c r="Y375" s="3" t="s">
        <v>3</v>
      </c>
    </row>
    <row r="376" spans="1:25">
      <c r="A376" s="5" t="s">
        <v>610</v>
      </c>
      <c r="B376" s="18">
        <v>20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>
        <v>12</v>
      </c>
      <c r="X376" s="3">
        <v>28</v>
      </c>
      <c r="Y376" s="3" t="s">
        <v>3</v>
      </c>
    </row>
    <row r="377" spans="1:25">
      <c r="A377" s="5" t="s">
        <v>611</v>
      </c>
      <c r="B377" s="36">
        <v>1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5" t="s">
        <v>612</v>
      </c>
      <c r="B378" s="9">
        <v>0.1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>
        <v>0.05</v>
      </c>
      <c r="X378" s="3">
        <v>0.2</v>
      </c>
      <c r="Y378" s="3" t="s">
        <v>3</v>
      </c>
    </row>
    <row r="379" spans="1:25">
      <c r="A379" s="13" t="s">
        <v>613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>
      <c r="A380" s="5" t="s">
        <v>614</v>
      </c>
      <c r="B380" s="33">
        <v>2040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5" t="s">
        <v>615</v>
      </c>
      <c r="B381" s="38">
        <v>2.83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>
        <v>2.2000000000000002</v>
      </c>
      <c r="X381" s="3">
        <v>3.6</v>
      </c>
      <c r="Y381" s="3" t="s">
        <v>3</v>
      </c>
    </row>
    <row r="382" spans="1:25">
      <c r="A382" s="5" t="s">
        <v>616</v>
      </c>
      <c r="B382" s="9">
        <v>0.11600000000000001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>
        <v>7.0000000000000007E-2</v>
      </c>
      <c r="X382" s="3">
        <v>0.16</v>
      </c>
      <c r="Y382" s="3" t="s">
        <v>3</v>
      </c>
    </row>
    <row r="383" spans="1:25">
      <c r="A383" s="5" t="s">
        <v>617</v>
      </c>
      <c r="B383" s="9">
        <v>9.9000000000000005E-2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>
        <v>0.06</v>
      </c>
      <c r="X383" s="3">
        <v>0.14000000000000001</v>
      </c>
      <c r="Y383" s="3" t="s">
        <v>3</v>
      </c>
    </row>
    <row r="384" spans="1:25">
      <c r="A384" s="25" t="s">
        <v>618</v>
      </c>
      <c r="B384" s="38">
        <v>0.3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>
        <v>0.18</v>
      </c>
      <c r="X384" s="3">
        <v>0.5</v>
      </c>
      <c r="Y384" s="3" t="s">
        <v>3</v>
      </c>
    </row>
    <row r="385" spans="1:25">
      <c r="A385" s="5" t="s">
        <v>619</v>
      </c>
      <c r="B385" s="33">
        <v>2030</v>
      </c>
      <c r="C385" s="17" t="s">
        <v>620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4">
        <v>2028</v>
      </c>
      <c r="X385" s="44">
        <v>2033</v>
      </c>
      <c r="Y385" s="26" t="s">
        <v>13</v>
      </c>
    </row>
    <row r="386" spans="1:25">
      <c r="A386" s="13" t="s">
        <v>621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>
      <c r="A387" s="34" t="s">
        <v>622</v>
      </c>
      <c r="B387" s="46">
        <v>13</v>
      </c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3"/>
      <c r="U387" s="3"/>
      <c r="V387" s="3"/>
      <c r="W387" s="3">
        <v>8</v>
      </c>
      <c r="X387" s="3">
        <v>18</v>
      </c>
      <c r="Y387" s="3" t="s">
        <v>3</v>
      </c>
    </row>
    <row r="388" spans="1:25">
      <c r="A388" s="34" t="s">
        <v>623</v>
      </c>
      <c r="B388" s="46">
        <v>11</v>
      </c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3"/>
      <c r="U388" s="3"/>
      <c r="V388" s="3"/>
      <c r="W388" s="3">
        <v>6</v>
      </c>
      <c r="X388" s="3">
        <v>16</v>
      </c>
      <c r="Y388" s="3" t="s">
        <v>3</v>
      </c>
    </row>
    <row r="389" spans="1:25">
      <c r="A389" s="34" t="s">
        <v>624</v>
      </c>
      <c r="B389" s="46">
        <v>13</v>
      </c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3"/>
      <c r="U389" s="3"/>
      <c r="V389" s="3"/>
      <c r="W389" s="3">
        <v>7</v>
      </c>
      <c r="X389" s="3">
        <v>20</v>
      </c>
      <c r="Y389" s="3" t="s">
        <v>3</v>
      </c>
    </row>
    <row r="390" spans="1: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spans="1:25">
      <c r="A391" s="48" t="s">
        <v>625</v>
      </c>
      <c r="B391" s="49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spans="1:25">
      <c r="A392" s="25" t="s">
        <v>626</v>
      </c>
      <c r="B392" s="9">
        <v>0.35</v>
      </c>
      <c r="C392" s="17" t="s">
        <v>627</v>
      </c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11">
        <v>0.2</v>
      </c>
      <c r="X392" s="11">
        <v>0.6</v>
      </c>
      <c r="Y392" s="26" t="s">
        <v>3</v>
      </c>
    </row>
    <row r="393" spans="1:25">
      <c r="A393" s="25" t="s">
        <v>628</v>
      </c>
      <c r="B393" s="50">
        <v>1.2</v>
      </c>
      <c r="C393" s="17" t="s">
        <v>629</v>
      </c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51">
        <v>1</v>
      </c>
      <c r="X393" s="51">
        <v>1.5</v>
      </c>
      <c r="Y393" s="26" t="s">
        <v>3</v>
      </c>
    </row>
    <row r="394" spans="1:25">
      <c r="A394" s="25" t="s">
        <v>630</v>
      </c>
      <c r="B394" s="9">
        <v>0.05</v>
      </c>
      <c r="C394" s="17" t="s">
        <v>631</v>
      </c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11">
        <v>0.02</v>
      </c>
      <c r="X394" s="11">
        <v>0.1</v>
      </c>
      <c r="Y394" s="26" t="s">
        <v>3</v>
      </c>
    </row>
    <row r="395" spans="1: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spans="1:25">
      <c r="A396" s="48" t="s">
        <v>632</v>
      </c>
      <c r="B396" s="13"/>
      <c r="C396" s="13"/>
      <c r="D396" s="49"/>
      <c r="E396" s="49"/>
      <c r="F396" s="49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spans="1:25">
      <c r="A397" s="25" t="s">
        <v>633</v>
      </c>
      <c r="B397" s="52">
        <v>0.05</v>
      </c>
      <c r="C397" s="23" t="s">
        <v>634</v>
      </c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7">
        <v>0</v>
      </c>
      <c r="X397" s="7">
        <v>0.1</v>
      </c>
      <c r="Y397" s="26" t="s">
        <v>3</v>
      </c>
    </row>
    <row r="398" spans="1:25">
      <c r="A398" s="25" t="s">
        <v>635</v>
      </c>
      <c r="B398" s="47">
        <v>370</v>
      </c>
      <c r="C398" s="47" t="s">
        <v>636</v>
      </c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7">
        <v>350</v>
      </c>
      <c r="X398" s="7">
        <v>375</v>
      </c>
      <c r="Y398" s="26" t="s">
        <v>3</v>
      </c>
    </row>
    <row r="399" spans="1:25">
      <c r="A399" s="25" t="s">
        <v>637</v>
      </c>
      <c r="B399" s="47">
        <v>15</v>
      </c>
      <c r="C399" s="47" t="s">
        <v>638</v>
      </c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7">
        <v>10</v>
      </c>
      <c r="X399" s="7">
        <v>25</v>
      </c>
      <c r="Y399" s="26" t="s">
        <v>3</v>
      </c>
    </row>
    <row r="400" spans="1:25">
      <c r="A400" s="25" t="s">
        <v>639</v>
      </c>
      <c r="B400" s="47">
        <v>0.9</v>
      </c>
      <c r="C400" s="47" t="s">
        <v>640</v>
      </c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7">
        <v>0.85</v>
      </c>
      <c r="X400" s="7">
        <v>0.95</v>
      </c>
      <c r="Y400" s="26" t="s">
        <v>3</v>
      </c>
    </row>
    <row r="401" spans="1:25">
      <c r="A401" s="25" t="s">
        <v>641</v>
      </c>
      <c r="B401" s="47">
        <v>200</v>
      </c>
      <c r="C401" s="47" t="s">
        <v>642</v>
      </c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7">
        <v>100</v>
      </c>
      <c r="X401" s="7">
        <v>240</v>
      </c>
      <c r="Y401" s="26" t="s">
        <v>3</v>
      </c>
    </row>
    <row r="402" spans="1:25">
      <c r="A402" s="25" t="s">
        <v>643</v>
      </c>
      <c r="B402" s="47">
        <v>2</v>
      </c>
      <c r="C402" s="47" t="s">
        <v>644</v>
      </c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spans="1:25">
      <c r="A403" s="25" t="s">
        <v>645</v>
      </c>
      <c r="B403" s="47">
        <v>5.5</v>
      </c>
      <c r="C403" s="47" t="s">
        <v>646</v>
      </c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7">
        <v>5</v>
      </c>
      <c r="X403" s="7">
        <v>6.5</v>
      </c>
      <c r="Y403" s="26" t="s">
        <v>3</v>
      </c>
    </row>
    <row r="404" spans="1:25">
      <c r="A404" s="25" t="s">
        <v>647</v>
      </c>
      <c r="B404" s="47">
        <v>3.5</v>
      </c>
      <c r="C404" s="47" t="s">
        <v>648</v>
      </c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7">
        <v>2.5</v>
      </c>
      <c r="X404" s="7">
        <v>5</v>
      </c>
      <c r="Y404" s="26" t="s">
        <v>3</v>
      </c>
    </row>
    <row r="405" spans="1:25">
      <c r="A405" s="25" t="s">
        <v>649</v>
      </c>
      <c r="B405" s="47">
        <v>2.5</v>
      </c>
      <c r="C405" s="47" t="s">
        <v>650</v>
      </c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7">
        <v>2</v>
      </c>
      <c r="X405" s="7">
        <v>3</v>
      </c>
      <c r="Y405" s="26" t="s">
        <v>3</v>
      </c>
    </row>
    <row r="406" spans="1:25">
      <c r="A406" s="25" t="s">
        <v>651</v>
      </c>
      <c r="B406" s="47">
        <v>1</v>
      </c>
      <c r="C406" s="47" t="s">
        <v>652</v>
      </c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7">
        <v>0.8</v>
      </c>
      <c r="X406" s="7">
        <v>2</v>
      </c>
      <c r="Y406" s="26" t="s">
        <v>3</v>
      </c>
    </row>
    <row r="407" spans="1:25">
      <c r="A407" s="25" t="s">
        <v>653</v>
      </c>
      <c r="B407" s="47">
        <v>0.15</v>
      </c>
      <c r="C407" s="47" t="s">
        <v>654</v>
      </c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7">
        <v>0.1</v>
      </c>
      <c r="X407" s="7">
        <v>0.5</v>
      </c>
      <c r="Y407" s="26" t="s">
        <v>3</v>
      </c>
    </row>
    <row r="408" spans="1:25">
      <c r="A408" s="25" t="s">
        <v>655</v>
      </c>
      <c r="B408" s="47">
        <v>180</v>
      </c>
      <c r="C408" s="47" t="s">
        <v>656</v>
      </c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7">
        <v>130</v>
      </c>
      <c r="X408" s="7">
        <v>250</v>
      </c>
      <c r="Y408" s="26" t="s">
        <v>3</v>
      </c>
    </row>
    <row r="409" spans="1:25">
      <c r="A409" s="25" t="s">
        <v>657</v>
      </c>
      <c r="B409" s="47">
        <v>420</v>
      </c>
      <c r="C409" s="47" t="s">
        <v>658</v>
      </c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7">
        <v>300</v>
      </c>
      <c r="X409" s="7">
        <v>450</v>
      </c>
      <c r="Y409" s="26" t="s">
        <v>3</v>
      </c>
    </row>
    <row r="410" spans="1:25">
      <c r="A410" s="25" t="s">
        <v>659</v>
      </c>
      <c r="B410" s="47">
        <v>560</v>
      </c>
      <c r="C410" s="47" t="s">
        <v>660</v>
      </c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7">
        <v>400</v>
      </c>
      <c r="X410" s="7">
        <v>750</v>
      </c>
      <c r="Y410" s="26" t="s">
        <v>3</v>
      </c>
    </row>
    <row r="411" spans="1: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spans="1:25">
      <c r="A412" s="25" t="s">
        <v>661</v>
      </c>
      <c r="B412" s="18">
        <v>0</v>
      </c>
      <c r="C412" s="17" t="s">
        <v>662</v>
      </c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spans="1:25">
      <c r="A413" s="48" t="s">
        <v>663</v>
      </c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spans="1:25">
      <c r="A414" s="25" t="s">
        <v>664</v>
      </c>
      <c r="B414" s="18">
        <v>300000</v>
      </c>
      <c r="C414" s="17" t="s">
        <v>665</v>
      </c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7">
        <v>100000</v>
      </c>
      <c r="X414" s="7">
        <v>600000</v>
      </c>
      <c r="Y414" s="26" t="s">
        <v>3</v>
      </c>
    </row>
    <row r="415" spans="1:25">
      <c r="A415" s="25" t="s">
        <v>666</v>
      </c>
      <c r="B415" s="9">
        <v>4.58E-2</v>
      </c>
      <c r="C415" s="17" t="s">
        <v>667</v>
      </c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7">
        <v>0.03</v>
      </c>
      <c r="X415" s="7">
        <v>7.0000000000000007E-2</v>
      </c>
      <c r="Y415" s="26" t="s">
        <v>3</v>
      </c>
    </row>
    <row r="416" spans="1:25">
      <c r="A416" s="25" t="s">
        <v>668</v>
      </c>
      <c r="B416" s="33">
        <v>2035</v>
      </c>
      <c r="C416" s="17" t="s">
        <v>669</v>
      </c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spans="1:25">
      <c r="A417" s="25" t="s">
        <v>670</v>
      </c>
      <c r="B417" s="33">
        <v>2045</v>
      </c>
      <c r="C417" s="17" t="s">
        <v>671</v>
      </c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spans="1:25">
      <c r="A418" s="34" t="s">
        <v>672</v>
      </c>
      <c r="B418" s="45">
        <v>0.5</v>
      </c>
      <c r="C418" s="53" t="s">
        <v>673</v>
      </c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47"/>
      <c r="U418" s="47"/>
      <c r="V418" s="47"/>
      <c r="W418" s="7">
        <v>0.3</v>
      </c>
      <c r="X418" s="7">
        <v>0.7</v>
      </c>
      <c r="Y418" s="26" t="s">
        <v>3</v>
      </c>
    </row>
    <row r="419" spans="1: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spans="1:25">
      <c r="A420" s="55" t="s">
        <v>674</v>
      </c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spans="1:25">
      <c r="A421" s="25" t="s">
        <v>675</v>
      </c>
      <c r="B421" s="38">
        <v>100</v>
      </c>
      <c r="C421" s="17" t="s">
        <v>676</v>
      </c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7">
        <v>80</v>
      </c>
      <c r="X421" s="7">
        <v>130</v>
      </c>
      <c r="Y421" s="26" t="s">
        <v>3</v>
      </c>
    </row>
    <row r="422" spans="1:25">
      <c r="A422" s="25" t="s">
        <v>677</v>
      </c>
      <c r="B422" s="9">
        <v>0.221</v>
      </c>
      <c r="C422" s="17" t="s">
        <v>678</v>
      </c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7">
        <v>0.15</v>
      </c>
      <c r="X422" s="7">
        <v>0.28000000000000003</v>
      </c>
      <c r="Y422" s="26" t="s">
        <v>3</v>
      </c>
    </row>
    <row r="423" spans="1:25">
      <c r="A423" s="25" t="s">
        <v>679</v>
      </c>
      <c r="B423" s="42">
        <v>0</v>
      </c>
      <c r="C423" s="17" t="s">
        <v>680</v>
      </c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spans="1:25">
      <c r="A424" s="25" t="s">
        <v>681</v>
      </c>
      <c r="B424" s="9">
        <v>0</v>
      </c>
      <c r="C424" s="17" t="s">
        <v>682</v>
      </c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spans="1:25">
      <c r="A425" s="25" t="s">
        <v>683</v>
      </c>
      <c r="B425" s="36">
        <v>2</v>
      </c>
      <c r="C425" s="17" t="s">
        <v>684</v>
      </c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7">
        <v>1</v>
      </c>
      <c r="X425" s="7">
        <v>3</v>
      </c>
      <c r="Y425" s="26" t="s">
        <v>3</v>
      </c>
    </row>
    <row r="426" spans="1:25">
      <c r="A426" s="25" t="s">
        <v>685</v>
      </c>
      <c r="B426" s="9">
        <v>0.05</v>
      </c>
      <c r="C426" s="17" t="s">
        <v>686</v>
      </c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7">
        <v>0</v>
      </c>
      <c r="X426" s="7">
        <v>0.1</v>
      </c>
      <c r="Y426" s="26" t="s">
        <v>3</v>
      </c>
    </row>
    <row r="427" spans="1:25">
      <c r="A427" s="25" t="s">
        <v>687</v>
      </c>
      <c r="B427" s="38">
        <v>0.85</v>
      </c>
      <c r="C427" s="17" t="s">
        <v>688</v>
      </c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7">
        <v>0.5</v>
      </c>
      <c r="X427" s="7">
        <v>1.5</v>
      </c>
      <c r="Y427" s="26" t="s">
        <v>3</v>
      </c>
    </row>
    <row r="428" spans="1:25">
      <c r="A428" s="25" t="s">
        <v>689</v>
      </c>
      <c r="B428" s="9">
        <v>0.46899999999999997</v>
      </c>
      <c r="C428" s="17" t="s">
        <v>690</v>
      </c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7">
        <v>0.38</v>
      </c>
      <c r="X428" s="7">
        <v>0.55000000000000004</v>
      </c>
      <c r="Y428" s="26" t="s">
        <v>3</v>
      </c>
    </row>
    <row r="429" spans="1:25">
      <c r="A429" s="25" t="s">
        <v>691</v>
      </c>
      <c r="B429" s="42">
        <v>300</v>
      </c>
      <c r="C429" s="17" t="s">
        <v>692</v>
      </c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7">
        <v>150</v>
      </c>
      <c r="X429" s="7">
        <v>480</v>
      </c>
      <c r="Y429" s="26" t="s">
        <v>3</v>
      </c>
    </row>
    <row r="430" spans="1:25">
      <c r="A430" s="25" t="s">
        <v>693</v>
      </c>
      <c r="B430" s="9">
        <v>0</v>
      </c>
      <c r="C430" s="17" t="s">
        <v>694</v>
      </c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7">
        <v>0</v>
      </c>
      <c r="X430" s="7">
        <v>0.03</v>
      </c>
      <c r="Y430" s="26" t="s">
        <v>3</v>
      </c>
    </row>
    <row r="431" spans="1:25">
      <c r="A431" s="25" t="s">
        <v>695</v>
      </c>
      <c r="B431" s="36">
        <v>35</v>
      </c>
      <c r="C431" s="17" t="s">
        <v>696</v>
      </c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7">
        <v>20</v>
      </c>
      <c r="X431" s="7">
        <v>60</v>
      </c>
      <c r="Y431" s="26" t="s">
        <v>3</v>
      </c>
    </row>
    <row r="432" spans="1:25">
      <c r="A432" s="25" t="s">
        <v>697</v>
      </c>
      <c r="B432" s="9">
        <v>0.09</v>
      </c>
      <c r="C432" s="17" t="s">
        <v>698</v>
      </c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7">
        <v>0.02</v>
      </c>
      <c r="X432" s="7">
        <v>0.2</v>
      </c>
      <c r="Y432" s="26" t="s">
        <v>3</v>
      </c>
    </row>
    <row r="433" spans="1:25">
      <c r="A433" s="25" t="s">
        <v>699</v>
      </c>
      <c r="B433" s="38">
        <v>0.16</v>
      </c>
      <c r="C433" s="17" t="s">
        <v>700</v>
      </c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7">
        <v>0.08</v>
      </c>
      <c r="X433" s="7">
        <v>0.3</v>
      </c>
      <c r="Y433" s="26" t="s">
        <v>3</v>
      </c>
    </row>
    <row r="434" spans="1:25">
      <c r="A434" s="25" t="s">
        <v>701</v>
      </c>
      <c r="B434" s="9">
        <v>0.46500000000000002</v>
      </c>
      <c r="C434" s="17" t="s">
        <v>702</v>
      </c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7">
        <v>0.25</v>
      </c>
      <c r="X434" s="7">
        <v>0.55000000000000004</v>
      </c>
      <c r="Y434" s="26" t="s">
        <v>3</v>
      </c>
    </row>
    <row r="435" spans="1:25">
      <c r="A435" s="25" t="s">
        <v>703</v>
      </c>
      <c r="B435" s="42">
        <v>368</v>
      </c>
      <c r="C435" s="17" t="s">
        <v>704</v>
      </c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7">
        <v>200</v>
      </c>
      <c r="X435" s="7">
        <v>600</v>
      </c>
      <c r="Y435" s="26" t="s">
        <v>3</v>
      </c>
    </row>
    <row r="436" spans="1:25">
      <c r="A436" s="25" t="s">
        <v>705</v>
      </c>
      <c r="B436" s="9">
        <v>0</v>
      </c>
      <c r="C436" s="17" t="s">
        <v>706</v>
      </c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7">
        <v>0</v>
      </c>
      <c r="X436" s="7">
        <v>0.03</v>
      </c>
      <c r="Y436" s="26" t="s">
        <v>3</v>
      </c>
    </row>
    <row r="437" spans="1:25">
      <c r="A437" s="25" t="s">
        <v>707</v>
      </c>
      <c r="B437" s="36">
        <v>285</v>
      </c>
      <c r="C437" s="17" t="s">
        <v>708</v>
      </c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7">
        <v>150</v>
      </c>
      <c r="X437" s="7">
        <v>400</v>
      </c>
      <c r="Y437" s="26" t="s">
        <v>3</v>
      </c>
    </row>
    <row r="438" spans="1:25">
      <c r="A438" s="25" t="s">
        <v>709</v>
      </c>
      <c r="B438" s="9">
        <v>0.1</v>
      </c>
      <c r="C438" s="17" t="s">
        <v>698</v>
      </c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7">
        <v>0.02</v>
      </c>
      <c r="X438" s="7">
        <v>0.2</v>
      </c>
      <c r="Y438" s="26" t="s">
        <v>3</v>
      </c>
    </row>
    <row r="439" spans="1:25">
      <c r="A439" s="25" t="s">
        <v>710</v>
      </c>
      <c r="B439" s="38">
        <v>0.06</v>
      </c>
      <c r="C439" s="17" t="s">
        <v>711</v>
      </c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7">
        <v>0.03</v>
      </c>
      <c r="X439" s="7">
        <v>0.12</v>
      </c>
      <c r="Y439" s="26" t="s">
        <v>3</v>
      </c>
    </row>
    <row r="440" spans="1:25">
      <c r="A440" s="25" t="s">
        <v>712</v>
      </c>
      <c r="B440" s="9">
        <v>0.59799999999999998</v>
      </c>
      <c r="C440" s="17" t="s">
        <v>713</v>
      </c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7">
        <v>0.4</v>
      </c>
      <c r="X440" s="7">
        <v>0.7</v>
      </c>
      <c r="Y440" s="26" t="s">
        <v>3</v>
      </c>
    </row>
    <row r="441" spans="1:25">
      <c r="A441" s="25" t="s">
        <v>714</v>
      </c>
      <c r="B441" s="42">
        <v>535</v>
      </c>
      <c r="C441" s="17" t="s">
        <v>715</v>
      </c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7">
        <v>400</v>
      </c>
      <c r="X441" s="7">
        <v>900</v>
      </c>
      <c r="Y441" s="26" t="s">
        <v>3</v>
      </c>
    </row>
    <row r="442" spans="1:25">
      <c r="A442" s="25" t="s">
        <v>716</v>
      </c>
      <c r="B442" s="9">
        <v>0</v>
      </c>
      <c r="C442" s="17" t="s">
        <v>706</v>
      </c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7">
        <v>0</v>
      </c>
      <c r="X442" s="7">
        <v>0.03</v>
      </c>
      <c r="Y442" s="26" t="s">
        <v>3</v>
      </c>
    </row>
    <row r="443" spans="1:25">
      <c r="A443" s="25" t="s">
        <v>717</v>
      </c>
      <c r="B443" s="36">
        <v>166</v>
      </c>
      <c r="C443" s="17" t="s">
        <v>718</v>
      </c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7">
        <v>100</v>
      </c>
      <c r="X443" s="7">
        <v>300</v>
      </c>
      <c r="Y443" s="26" t="s">
        <v>3</v>
      </c>
    </row>
    <row r="444" spans="1:25">
      <c r="A444" s="25" t="s">
        <v>719</v>
      </c>
      <c r="B444" s="9">
        <v>0.1</v>
      </c>
      <c r="C444" s="17" t="s">
        <v>698</v>
      </c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7">
        <v>0.02</v>
      </c>
      <c r="X444" s="7">
        <v>0.2</v>
      </c>
      <c r="Y444" s="26" t="s">
        <v>3</v>
      </c>
    </row>
    <row r="445" spans="1:25">
      <c r="A445" s="25" t="s">
        <v>720</v>
      </c>
      <c r="B445" s="30">
        <v>1.4999999999999999E-2</v>
      </c>
      <c r="C445" s="17" t="s">
        <v>721</v>
      </c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7">
        <v>5.0000000000000001E-3</v>
      </c>
      <c r="X445" s="7">
        <v>0.04</v>
      </c>
      <c r="Y445" s="26" t="s">
        <v>3</v>
      </c>
    </row>
    <row r="446" spans="1:25">
      <c r="A446" s="25" t="s">
        <v>722</v>
      </c>
      <c r="B446" s="9">
        <v>0.73399999999999999</v>
      </c>
      <c r="C446" s="17" t="s">
        <v>723</v>
      </c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7">
        <v>0.5</v>
      </c>
      <c r="X446" s="7">
        <v>0.9</v>
      </c>
      <c r="Y446" s="26" t="s">
        <v>3</v>
      </c>
    </row>
    <row r="447" spans="1:25">
      <c r="A447" s="25" t="s">
        <v>724</v>
      </c>
      <c r="B447" s="42">
        <v>2400</v>
      </c>
      <c r="C447" s="17" t="s">
        <v>725</v>
      </c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7">
        <v>1800</v>
      </c>
      <c r="X447" s="7">
        <v>3000</v>
      </c>
      <c r="Y447" s="26" t="s">
        <v>3</v>
      </c>
    </row>
    <row r="448" spans="1:25">
      <c r="A448" s="25" t="s">
        <v>726</v>
      </c>
      <c r="B448" s="9">
        <v>0</v>
      </c>
      <c r="C448" s="17" t="s">
        <v>706</v>
      </c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7">
        <v>0</v>
      </c>
      <c r="X448" s="7">
        <v>0.03</v>
      </c>
      <c r="Y448" s="26" t="s">
        <v>3</v>
      </c>
    </row>
    <row r="449" spans="1:25">
      <c r="A449" s="25" t="s">
        <v>727</v>
      </c>
      <c r="B449" s="36">
        <v>233</v>
      </c>
      <c r="C449" s="17" t="s">
        <v>728</v>
      </c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7">
        <v>150</v>
      </c>
      <c r="X449" s="7">
        <v>500</v>
      </c>
      <c r="Y449" s="26" t="s">
        <v>3</v>
      </c>
    </row>
    <row r="450" spans="1:25">
      <c r="A450" s="25" t="s">
        <v>729</v>
      </c>
      <c r="B450" s="9">
        <v>0.12</v>
      </c>
      <c r="C450" s="17" t="s">
        <v>730</v>
      </c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7">
        <v>0.04</v>
      </c>
      <c r="X450" s="7">
        <v>0.25</v>
      </c>
      <c r="Y450" s="26" t="s">
        <v>3</v>
      </c>
    </row>
    <row r="451" spans="1:25">
      <c r="A451" s="25" t="s">
        <v>731</v>
      </c>
      <c r="B451" s="56">
        <v>1</v>
      </c>
      <c r="C451" s="17" t="s">
        <v>732</v>
      </c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7">
        <v>0.5</v>
      </c>
      <c r="X451" s="7">
        <v>3</v>
      </c>
      <c r="Y451" s="26" t="s">
        <v>3</v>
      </c>
    </row>
    <row r="452" spans="1:25">
      <c r="A452" s="25" t="s">
        <v>733</v>
      </c>
      <c r="B452" s="9">
        <v>0.21299999999999999</v>
      </c>
      <c r="C452" s="17" t="s">
        <v>734</v>
      </c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7">
        <v>0.12</v>
      </c>
      <c r="X452" s="7">
        <v>0.28000000000000003</v>
      </c>
      <c r="Y452" s="26" t="s">
        <v>3</v>
      </c>
    </row>
    <row r="453" spans="1:25">
      <c r="A453" s="57" t="s">
        <v>735</v>
      </c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spans="1:25">
      <c r="A454" s="25" t="s">
        <v>736</v>
      </c>
      <c r="B454" s="38">
        <v>0.75</v>
      </c>
      <c r="C454" s="17" t="s">
        <v>737</v>
      </c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7">
        <v>0.3</v>
      </c>
      <c r="X454" s="7">
        <v>1</v>
      </c>
      <c r="Y454" s="26" t="s">
        <v>3</v>
      </c>
    </row>
    <row r="457" spans="1:25">
      <c r="A457" s="13" t="s">
        <v>738</v>
      </c>
    </row>
    <row r="458" spans="1:25">
      <c r="A458" t="s">
        <v>739</v>
      </c>
      <c r="B458" s="9">
        <v>-0.08</v>
      </c>
      <c r="C458" t="s">
        <v>740</v>
      </c>
      <c r="W458">
        <v>-0.11</v>
      </c>
      <c r="X458">
        <v>-0.05</v>
      </c>
      <c r="Y458" t="s">
        <v>3</v>
      </c>
    </row>
    <row r="459" spans="1:25">
      <c r="A459" t="s">
        <v>741</v>
      </c>
      <c r="B459" s="9">
        <v>0.08</v>
      </c>
      <c r="C459" t="s">
        <v>742</v>
      </c>
      <c r="W459">
        <v>0.05</v>
      </c>
      <c r="X459">
        <v>0.11</v>
      </c>
      <c r="Y459" t="s">
        <v>3</v>
      </c>
    </row>
    <row r="460" spans="1:25">
      <c r="A460" t="s">
        <v>743</v>
      </c>
      <c r="B460" s="9">
        <v>0.05</v>
      </c>
      <c r="C460" t="s">
        <v>744</v>
      </c>
      <c r="W460">
        <v>0.03</v>
      </c>
      <c r="X460">
        <v>7.0000000000000007E-2</v>
      </c>
      <c r="Y460" t="s">
        <v>3</v>
      </c>
    </row>
    <row r="461" spans="1:25">
      <c r="A461" t="s">
        <v>745</v>
      </c>
      <c r="B461" s="58">
        <v>3.3333333000000001E-3</v>
      </c>
      <c r="C461" t="s">
        <v>746</v>
      </c>
      <c r="W461">
        <v>0</v>
      </c>
      <c r="X461">
        <v>6.0000000000000001E-3</v>
      </c>
      <c r="Y461" t="s">
        <v>3</v>
      </c>
    </row>
    <row r="462" spans="1:25">
      <c r="A462" t="s">
        <v>747</v>
      </c>
      <c r="B462" s="58">
        <v>-6.6666666999999997E-3</v>
      </c>
      <c r="C462" t="s">
        <v>748</v>
      </c>
      <c r="W462">
        <v>-1.0999999999999999E-2</v>
      </c>
      <c r="X462">
        <v>-3.0000000000000001E-3</v>
      </c>
      <c r="Y462" t="s">
        <v>3</v>
      </c>
    </row>
    <row r="463" spans="1:25">
      <c r="A463" t="s">
        <v>749</v>
      </c>
      <c r="B463" s="9">
        <v>0.1</v>
      </c>
      <c r="C463" t="s">
        <v>750</v>
      </c>
      <c r="W463">
        <v>7.0000000000000007E-2</v>
      </c>
      <c r="X463">
        <v>0.13</v>
      </c>
      <c r="Y463" t="s">
        <v>3</v>
      </c>
    </row>
    <row r="464" spans="1:25">
      <c r="A464" t="s">
        <v>751</v>
      </c>
      <c r="B464" s="9">
        <v>-0.08</v>
      </c>
      <c r="C464" t="s">
        <v>752</v>
      </c>
      <c r="W464">
        <v>-0.11</v>
      </c>
      <c r="X464">
        <v>-0.05</v>
      </c>
      <c r="Y464" t="s">
        <v>3</v>
      </c>
    </row>
    <row r="465" spans="1:25">
      <c r="A465" t="s">
        <v>753</v>
      </c>
      <c r="B465" s="9">
        <v>-6.2E-2</v>
      </c>
      <c r="C465" t="s">
        <v>754</v>
      </c>
      <c r="W465">
        <v>-0.09</v>
      </c>
      <c r="X465">
        <v>-3.5000000000000003E-2</v>
      </c>
      <c r="Y465" t="s">
        <v>3</v>
      </c>
    </row>
    <row r="466" spans="1:25">
      <c r="A466" t="s">
        <v>755</v>
      </c>
      <c r="B466" s="59">
        <v>47.5</v>
      </c>
      <c r="C466" t="s">
        <v>756</v>
      </c>
      <c r="W466">
        <v>40</v>
      </c>
      <c r="X466">
        <v>55</v>
      </c>
      <c r="Y466" t="s">
        <v>3</v>
      </c>
    </row>
    <row r="467" spans="1:25">
      <c r="A467" t="s">
        <v>757</v>
      </c>
      <c r="B467" s="9">
        <v>-0.154</v>
      </c>
      <c r="C467" t="s">
        <v>758</v>
      </c>
      <c r="W467">
        <v>-0.2</v>
      </c>
      <c r="X467">
        <v>-0.1</v>
      </c>
      <c r="Y467" t="s">
        <v>3</v>
      </c>
    </row>
    <row r="468" spans="1:25">
      <c r="A468" t="s">
        <v>759</v>
      </c>
      <c r="B468" s="30">
        <v>0.18329999999999999</v>
      </c>
      <c r="C468" t="s">
        <v>760</v>
      </c>
      <c r="W468">
        <v>0.1</v>
      </c>
      <c r="X468">
        <v>0.25</v>
      </c>
      <c r="Y468" t="s">
        <v>3</v>
      </c>
    </row>
    <row r="469" spans="1:25">
      <c r="A469" t="s">
        <v>761</v>
      </c>
      <c r="B469" s="9">
        <v>-0.02</v>
      </c>
      <c r="C469" t="s">
        <v>762</v>
      </c>
      <c r="W469">
        <v>-0.04</v>
      </c>
      <c r="X469">
        <v>0</v>
      </c>
      <c r="Y469" t="s">
        <v>3</v>
      </c>
    </row>
    <row r="470" spans="1:25">
      <c r="A470" t="s">
        <v>763</v>
      </c>
      <c r="B470" s="9">
        <v>-0.08</v>
      </c>
      <c r="C470" t="s">
        <v>764</v>
      </c>
      <c r="W470">
        <v>-0.11</v>
      </c>
      <c r="X470">
        <v>-0.05</v>
      </c>
      <c r="Y470" t="s">
        <v>3</v>
      </c>
    </row>
    <row r="471" spans="1:25">
      <c r="A471" t="s">
        <v>765</v>
      </c>
      <c r="B471" s="9">
        <v>0.12</v>
      </c>
      <c r="C471" t="s">
        <v>766</v>
      </c>
      <c r="W471">
        <v>0.08</v>
      </c>
      <c r="X471">
        <v>0.16</v>
      </c>
      <c r="Y471" t="s">
        <v>3</v>
      </c>
    </row>
    <row r="472" spans="1:25">
      <c r="A472" t="s">
        <v>767</v>
      </c>
      <c r="B472" s="9">
        <v>0.05</v>
      </c>
      <c r="C472" t="s">
        <v>768</v>
      </c>
      <c r="W472">
        <v>0.03</v>
      </c>
      <c r="X472">
        <v>7.0000000000000007E-2</v>
      </c>
      <c r="Y472" t="s">
        <v>3</v>
      </c>
    </row>
    <row r="473" spans="1:25">
      <c r="A473" t="s">
        <v>769</v>
      </c>
      <c r="B473" s="33">
        <v>10</v>
      </c>
      <c r="C473" t="s">
        <v>770</v>
      </c>
      <c r="W473">
        <v>8</v>
      </c>
      <c r="X473">
        <v>12</v>
      </c>
      <c r="Y473" t="s">
        <v>3</v>
      </c>
    </row>
    <row r="474" spans="1:25">
      <c r="A474" t="s">
        <v>771</v>
      </c>
      <c r="B474" s="9">
        <v>0.05</v>
      </c>
      <c r="C474" t="s">
        <v>772</v>
      </c>
      <c r="W474">
        <v>0.03</v>
      </c>
      <c r="X474">
        <v>7.0000000000000007E-2</v>
      </c>
      <c r="Y474" t="s">
        <v>3</v>
      </c>
    </row>
    <row r="475" spans="1:25">
      <c r="A475" t="s">
        <v>773</v>
      </c>
      <c r="B475" s="36">
        <v>2030.5</v>
      </c>
      <c r="C475" t="s">
        <v>774</v>
      </c>
      <c r="W475">
        <v>2029</v>
      </c>
      <c r="X475">
        <v>2032</v>
      </c>
      <c r="Y475" t="s">
        <v>3</v>
      </c>
    </row>
    <row r="476" spans="1:25">
      <c r="A476" t="s">
        <v>775</v>
      </c>
      <c r="B476" s="36">
        <v>1</v>
      </c>
      <c r="C476" t="s">
        <v>776</v>
      </c>
      <c r="W476">
        <v>0.6</v>
      </c>
      <c r="X476">
        <v>1.5</v>
      </c>
      <c r="Y476" t="s">
        <v>3</v>
      </c>
    </row>
    <row r="477" spans="1:25">
      <c r="A477" t="s">
        <v>777</v>
      </c>
      <c r="B477" s="9">
        <v>0.3</v>
      </c>
      <c r="C477" t="s">
        <v>778</v>
      </c>
      <c r="W477">
        <v>0</v>
      </c>
      <c r="X477">
        <v>0.5</v>
      </c>
      <c r="Y477" t="s">
        <v>3</v>
      </c>
    </row>
    <row r="478" spans="1:25">
      <c r="A478" t="s">
        <v>779</v>
      </c>
      <c r="B478" s="30">
        <v>0.09</v>
      </c>
      <c r="C478" t="s">
        <v>780</v>
      </c>
      <c r="W478">
        <v>0.05</v>
      </c>
      <c r="X478">
        <v>0.13</v>
      </c>
      <c r="Y478" t="s">
        <v>3</v>
      </c>
    </row>
    <row r="479" spans="1:25">
      <c r="A479" t="s">
        <v>781</v>
      </c>
      <c r="B479" s="9">
        <v>0.85</v>
      </c>
      <c r="C479" t="s">
        <v>782</v>
      </c>
      <c r="W479">
        <v>0.75</v>
      </c>
      <c r="X479">
        <v>0.9</v>
      </c>
      <c r="Y479" t="s">
        <v>3</v>
      </c>
    </row>
    <row r="480" spans="1:25">
      <c r="A480" t="s">
        <v>555</v>
      </c>
      <c r="B480" s="60">
        <f>$B$340</f>
        <v>-0.05</v>
      </c>
      <c r="C480" t="s">
        <v>783</v>
      </c>
      <c r="W480">
        <v>-0.08</v>
      </c>
      <c r="X480">
        <v>-0.03</v>
      </c>
      <c r="Y480" t="s">
        <v>3</v>
      </c>
    </row>
    <row r="481" spans="1:25">
      <c r="A481" t="s">
        <v>784</v>
      </c>
      <c r="B481" s="38">
        <v>1</v>
      </c>
      <c r="C481" t="s">
        <v>785</v>
      </c>
      <c r="W481">
        <v>0.85</v>
      </c>
      <c r="X481">
        <v>1.1499999999999999</v>
      </c>
      <c r="Y481" t="s">
        <v>3</v>
      </c>
    </row>
    <row r="482" spans="1:25">
      <c r="A482" t="s">
        <v>786</v>
      </c>
      <c r="B482" s="38">
        <v>1</v>
      </c>
      <c r="C482" t="s">
        <v>787</v>
      </c>
      <c r="W482">
        <v>0.8</v>
      </c>
      <c r="X482">
        <v>1.2</v>
      </c>
      <c r="Y482" t="s">
        <v>3</v>
      </c>
    </row>
    <row r="483" spans="1:25">
      <c r="A483" t="s">
        <v>788</v>
      </c>
      <c r="B483" s="38">
        <v>1</v>
      </c>
      <c r="C483" t="s">
        <v>789</v>
      </c>
      <c r="W483">
        <v>0.8</v>
      </c>
      <c r="X483">
        <v>1.2</v>
      </c>
      <c r="Y483" t="s">
        <v>3</v>
      </c>
    </row>
    <row r="484" spans="1:25">
      <c r="A484" t="s">
        <v>790</v>
      </c>
      <c r="B484" s="38">
        <v>1</v>
      </c>
      <c r="C484" t="s">
        <v>791</v>
      </c>
      <c r="W484">
        <v>0.8</v>
      </c>
      <c r="X484">
        <v>1.2</v>
      </c>
      <c r="Y484" t="s">
        <v>3</v>
      </c>
    </row>
    <row r="486" spans="1:25">
      <c r="A486" s="61" t="s">
        <v>792</v>
      </c>
    </row>
    <row r="487" spans="1:25">
      <c r="A487" t="s">
        <v>793</v>
      </c>
      <c r="B487" s="62">
        <v>4086</v>
      </c>
    </row>
    <row r="488" spans="1:25">
      <c r="A488" t="s">
        <v>794</v>
      </c>
      <c r="B488" s="62">
        <v>1352</v>
      </c>
    </row>
    <row r="489" spans="1:25">
      <c r="A489" t="s">
        <v>795</v>
      </c>
      <c r="B489" s="62">
        <v>3004</v>
      </c>
    </row>
    <row r="490" spans="1:25">
      <c r="A490" t="s">
        <v>796</v>
      </c>
      <c r="B490" s="62">
        <v>349</v>
      </c>
    </row>
    <row r="491" spans="1:25">
      <c r="A491" t="s">
        <v>797</v>
      </c>
      <c r="B491" s="18">
        <v>0</v>
      </c>
    </row>
    <row r="492" spans="1:25">
      <c r="A492" t="s">
        <v>798</v>
      </c>
      <c r="B492" s="62">
        <v>38</v>
      </c>
    </row>
    <row r="493" spans="1:25">
      <c r="A493" t="s">
        <v>799</v>
      </c>
      <c r="B493" s="18">
        <v>-657</v>
      </c>
    </row>
    <row r="494" spans="1:25">
      <c r="A494" t="s">
        <v>800</v>
      </c>
      <c r="B494" s="62">
        <v>757</v>
      </c>
    </row>
    <row r="495" spans="1:25">
      <c r="A495" t="s">
        <v>801</v>
      </c>
      <c r="B495" s="62">
        <v>515</v>
      </c>
    </row>
    <row r="496" spans="1:25">
      <c r="A496" t="s">
        <v>802</v>
      </c>
      <c r="B496" s="62">
        <v>3832</v>
      </c>
    </row>
    <row r="497" spans="1:2">
      <c r="A497" t="s">
        <v>803</v>
      </c>
      <c r="B497" s="62">
        <v>11387</v>
      </c>
    </row>
    <row r="498" spans="1:2">
      <c r="A498" t="s">
        <v>804</v>
      </c>
      <c r="B498" s="62">
        <v>5921</v>
      </c>
    </row>
    <row r="499" spans="1:2">
      <c r="A499" t="s">
        <v>805</v>
      </c>
      <c r="B499" s="62">
        <v>575</v>
      </c>
    </row>
    <row r="500" spans="1:2">
      <c r="A500" t="s">
        <v>806</v>
      </c>
      <c r="B500" s="62">
        <v>468</v>
      </c>
    </row>
    <row r="501" spans="1:2">
      <c r="A501" t="s">
        <v>807</v>
      </c>
      <c r="B501" s="18">
        <v>0</v>
      </c>
    </row>
    <row r="502" spans="1:2">
      <c r="A502" t="s">
        <v>808</v>
      </c>
      <c r="B502" s="18">
        <v>0</v>
      </c>
    </row>
    <row r="503" spans="1:2">
      <c r="A503" t="s">
        <v>809</v>
      </c>
      <c r="B503" s="18">
        <v>4423</v>
      </c>
    </row>
    <row r="504" spans="1:2">
      <c r="A504" t="s">
        <v>810</v>
      </c>
      <c r="B504" s="62">
        <v>2376</v>
      </c>
    </row>
    <row r="505" spans="1:2">
      <c r="A505" t="s">
        <v>811</v>
      </c>
      <c r="B505" s="62">
        <v>369</v>
      </c>
    </row>
    <row r="506" spans="1:2">
      <c r="A506" t="s">
        <v>812</v>
      </c>
      <c r="B506" s="62">
        <v>4178</v>
      </c>
    </row>
    <row r="507" spans="1:2">
      <c r="A507" t="s">
        <v>813</v>
      </c>
      <c r="B507" s="62">
        <v>3201</v>
      </c>
    </row>
    <row r="508" spans="1:2">
      <c r="A508" t="s">
        <v>814</v>
      </c>
      <c r="B508" s="62">
        <v>2178</v>
      </c>
    </row>
    <row r="509" spans="1:2">
      <c r="A509" t="s">
        <v>815</v>
      </c>
      <c r="B509" s="62">
        <v>5064</v>
      </c>
    </row>
    <row r="510" spans="1:2">
      <c r="A510" t="s">
        <v>816</v>
      </c>
      <c r="B510" s="62">
        <v>1827</v>
      </c>
    </row>
    <row r="511" spans="1:2">
      <c r="A511" t="s">
        <v>817</v>
      </c>
      <c r="B511" s="62">
        <v>487</v>
      </c>
    </row>
    <row r="512" spans="1:2">
      <c r="A512" t="s">
        <v>818</v>
      </c>
      <c r="B512" s="18">
        <v>0</v>
      </c>
    </row>
    <row r="513" spans="1:2">
      <c r="A513" t="s">
        <v>819</v>
      </c>
      <c r="B513" s="18">
        <v>-6355</v>
      </c>
    </row>
    <row r="514" spans="1:2">
      <c r="A514" t="s">
        <v>820</v>
      </c>
      <c r="B514" s="62">
        <v>3568</v>
      </c>
    </row>
    <row r="515" spans="1:2">
      <c r="A515" t="s">
        <v>821</v>
      </c>
      <c r="B515" s="62">
        <v>1063</v>
      </c>
    </row>
    <row r="516" spans="1:2">
      <c r="A516" t="s">
        <v>822</v>
      </c>
      <c r="B516" s="62">
        <v>12727</v>
      </c>
    </row>
  </sheetData>
  <autoFilter ref="A1:A389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1"/>
  <sheetViews>
    <sheetView showGridLines="0" topLeftCell="A98" zoomScaleNormal="100" workbookViewId="0">
      <selection activeCell="I155" sqref="I155"/>
    </sheetView>
  </sheetViews>
  <sheetFormatPr baseColWidth="10" defaultColWidth="10.6640625" defaultRowHeight="16"/>
  <cols>
    <col min="1" max="1" width="28.1640625" customWidth="1"/>
    <col min="3" max="3" width="29.6640625" customWidth="1"/>
  </cols>
  <sheetData>
    <row r="1" spans="1:19" ht="18.75" customHeight="1">
      <c r="A1" s="63" t="s">
        <v>823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16" t="s">
        <v>824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</row>
    <row r="5" spans="1:1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63" t="s">
        <v>825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68" t="s">
        <v>826</v>
      </c>
      <c r="B16" s="69" t="s">
        <v>827</v>
      </c>
      <c r="C16" s="69" t="s">
        <v>828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5" t="s">
        <v>829</v>
      </c>
      <c r="B17" s="22">
        <v>280.2</v>
      </c>
      <c r="C17" s="18">
        <v>307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5" t="s">
        <v>830</v>
      </c>
      <c r="B18" s="22">
        <v>560.29999999999995</v>
      </c>
      <c r="C18" s="18">
        <v>613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5" t="s">
        <v>831</v>
      </c>
      <c r="B19" s="22">
        <v>840.5</v>
      </c>
      <c r="C19" s="18">
        <v>920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5" t="s">
        <v>832</v>
      </c>
      <c r="B20" s="22">
        <v>1120.5999999999999</v>
      </c>
      <c r="C20" s="18">
        <v>1227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5" t="s">
        <v>833</v>
      </c>
      <c r="B21" s="22">
        <v>1400.8</v>
      </c>
      <c r="C21" s="18">
        <v>1534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5" t="s">
        <v>834</v>
      </c>
      <c r="B22" s="22">
        <v>1680.9</v>
      </c>
      <c r="C22" s="18">
        <v>1840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5" t="s">
        <v>835</v>
      </c>
      <c r="B23" s="22">
        <v>1961.1</v>
      </c>
      <c r="C23" s="18">
        <v>2147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5" t="s">
        <v>836</v>
      </c>
      <c r="B24" s="22">
        <v>2241.1999999999998</v>
      </c>
      <c r="C24" s="18">
        <v>2454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5" t="s">
        <v>837</v>
      </c>
      <c r="B25" s="22">
        <v>2521.4</v>
      </c>
      <c r="C25" s="18">
        <v>2760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5" t="s">
        <v>838</v>
      </c>
      <c r="B26" s="22">
        <v>2801.5</v>
      </c>
      <c r="C26" s="18">
        <v>3067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5" t="s">
        <v>839</v>
      </c>
      <c r="B27" s="22">
        <v>3501.9</v>
      </c>
      <c r="C27" s="18">
        <v>3827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5" t="s">
        <v>840</v>
      </c>
      <c r="B28" s="22">
        <v>4202.3</v>
      </c>
      <c r="C28" s="18">
        <v>4587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5" t="s">
        <v>841</v>
      </c>
      <c r="B29" s="22">
        <v>4902.7</v>
      </c>
      <c r="C29" s="18">
        <v>5347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5" t="s">
        <v>842</v>
      </c>
      <c r="B30" s="22">
        <v>5603.1</v>
      </c>
      <c r="C30" s="18">
        <v>6107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5" t="s">
        <v>843</v>
      </c>
      <c r="B31" s="22">
        <v>6303.5</v>
      </c>
      <c r="C31" s="18">
        <v>6867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5" t="s">
        <v>844</v>
      </c>
      <c r="B32" s="22">
        <v>7003.9</v>
      </c>
      <c r="C32" s="18">
        <v>7627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5" t="s">
        <v>845</v>
      </c>
      <c r="B33" s="22">
        <v>7704.2</v>
      </c>
      <c r="C33" s="18">
        <v>8387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5" t="s">
        <v>846</v>
      </c>
      <c r="B34" s="22">
        <v>8404.6</v>
      </c>
      <c r="C34" s="18">
        <v>9147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5" t="s">
        <v>847</v>
      </c>
      <c r="B35" s="22">
        <v>9105</v>
      </c>
      <c r="C35" s="18">
        <v>9453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5" t="s">
        <v>848</v>
      </c>
      <c r="B36" s="22">
        <v>9805.4</v>
      </c>
      <c r="C36" s="18">
        <v>9760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5" t="s">
        <v>849</v>
      </c>
      <c r="B37" s="22">
        <v>10505.8</v>
      </c>
      <c r="C37" s="18">
        <v>10067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5" t="s">
        <v>850</v>
      </c>
      <c r="B38" s="22">
        <v>11206.2</v>
      </c>
      <c r="C38" s="18">
        <v>10373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5" t="s">
        <v>851</v>
      </c>
      <c r="B39" s="22">
        <v>11906.6</v>
      </c>
      <c r="C39" s="18">
        <v>10680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5" t="s">
        <v>852</v>
      </c>
      <c r="B40" s="22">
        <v>12606.9</v>
      </c>
      <c r="C40" s="18">
        <v>10987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5" t="s">
        <v>853</v>
      </c>
      <c r="B41" s="22">
        <v>13307.3</v>
      </c>
      <c r="C41" s="18">
        <v>11293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5" t="s">
        <v>854</v>
      </c>
      <c r="B42" s="22">
        <v>14007.7</v>
      </c>
      <c r="C42" s="18">
        <v>11600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5" t="s">
        <v>855</v>
      </c>
      <c r="B43" s="22">
        <v>15408.5</v>
      </c>
      <c r="C43" s="18">
        <v>11760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5" t="s">
        <v>856</v>
      </c>
      <c r="B44" s="22">
        <v>16809.3</v>
      </c>
      <c r="C44" s="18">
        <v>11920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5" t="s">
        <v>857</v>
      </c>
      <c r="B45" s="22">
        <v>18210</v>
      </c>
      <c r="C45" s="18">
        <v>12080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5" t="s">
        <v>858</v>
      </c>
      <c r="B46" s="22">
        <v>19610.8</v>
      </c>
      <c r="C46" s="18">
        <v>12240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5" t="s">
        <v>859</v>
      </c>
      <c r="B47" s="22">
        <v>21011.599999999999</v>
      </c>
      <c r="C47" s="18">
        <v>12400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5" t="s">
        <v>860</v>
      </c>
      <c r="B48" s="22">
        <v>22412.3</v>
      </c>
      <c r="C48" s="18">
        <v>12560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5" t="s">
        <v>861</v>
      </c>
      <c r="B49" s="22">
        <v>23813.1</v>
      </c>
      <c r="C49" s="18">
        <v>12720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5" t="s">
        <v>862</v>
      </c>
      <c r="B50" s="22">
        <v>25213.9</v>
      </c>
      <c r="C50" s="18">
        <v>12880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5" t="s">
        <v>863</v>
      </c>
      <c r="B51" s="22">
        <v>26614.6</v>
      </c>
      <c r="C51" s="18">
        <v>13040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5" t="s">
        <v>864</v>
      </c>
      <c r="B52" s="22">
        <v>28015.4</v>
      </c>
      <c r="C52" s="18">
        <v>13200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5" t="s">
        <v>865</v>
      </c>
      <c r="B53" s="22">
        <v>29416.2</v>
      </c>
      <c r="C53" s="18">
        <v>13360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5" t="s">
        <v>866</v>
      </c>
      <c r="B54" s="22">
        <v>30817</v>
      </c>
      <c r="C54" s="18">
        <v>13467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5" t="s">
        <v>867</v>
      </c>
      <c r="B55" s="22">
        <v>32217.7</v>
      </c>
      <c r="C55" s="18">
        <v>13573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5" t="s">
        <v>868</v>
      </c>
      <c r="B56" s="22">
        <v>33618.5</v>
      </c>
      <c r="C56" s="18">
        <v>13680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5" t="s">
        <v>869</v>
      </c>
      <c r="B57" s="22">
        <v>35019.300000000003</v>
      </c>
      <c r="C57" s="18">
        <v>13787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5" t="s">
        <v>870</v>
      </c>
      <c r="B58" s="22">
        <v>36420</v>
      </c>
      <c r="C58" s="18">
        <v>13893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5" t="s">
        <v>871</v>
      </c>
      <c r="B59" s="22">
        <v>37820.800000000003</v>
      </c>
      <c r="C59" s="18">
        <v>14000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5" t="s">
        <v>872</v>
      </c>
      <c r="B60" s="22">
        <v>39221.599999999999</v>
      </c>
      <c r="C60" s="18">
        <v>14107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5" t="s">
        <v>873</v>
      </c>
      <c r="B61" s="22">
        <v>40622.400000000001</v>
      </c>
      <c r="C61" s="18">
        <v>14213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5" t="s">
        <v>874</v>
      </c>
      <c r="B62" s="22">
        <v>42023.1</v>
      </c>
      <c r="C62" s="18">
        <v>14320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5" t="s">
        <v>875</v>
      </c>
      <c r="B63" s="22">
        <v>44824.7</v>
      </c>
      <c r="C63" s="18">
        <v>14427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5" t="s">
        <v>876</v>
      </c>
      <c r="B64" s="22">
        <v>47626.2</v>
      </c>
      <c r="C64" s="18">
        <v>14533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5" t="s">
        <v>877</v>
      </c>
      <c r="B65" s="22">
        <v>50427.8</v>
      </c>
      <c r="C65" s="18">
        <v>14640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5" t="s">
        <v>878</v>
      </c>
      <c r="B66" s="22">
        <v>53229.3</v>
      </c>
      <c r="C66" s="18">
        <v>14747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5" t="s">
        <v>879</v>
      </c>
      <c r="B67" s="22">
        <v>56030.8</v>
      </c>
      <c r="C67" s="18">
        <v>14853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5" t="s">
        <v>880</v>
      </c>
      <c r="B68" s="22">
        <v>58832.4</v>
      </c>
      <c r="C68" s="18">
        <v>14960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5" t="s">
        <v>881</v>
      </c>
      <c r="B69" s="22">
        <v>61633.9</v>
      </c>
      <c r="C69" s="18">
        <v>15067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5" t="s">
        <v>882</v>
      </c>
      <c r="B70" s="22">
        <v>64435.5</v>
      </c>
      <c r="C70" s="18">
        <v>15173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5" t="s">
        <v>883</v>
      </c>
      <c r="B71" s="22">
        <v>67237</v>
      </c>
      <c r="C71" s="18">
        <v>15280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5" t="s">
        <v>884</v>
      </c>
      <c r="B72" s="22">
        <v>70038.5</v>
      </c>
      <c r="C72" s="18">
        <v>15387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5" t="s">
        <v>885</v>
      </c>
      <c r="B73" s="22">
        <v>72840.100000000006</v>
      </c>
      <c r="C73" s="18">
        <v>15493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5" t="s">
        <v>886</v>
      </c>
      <c r="B74" s="22">
        <v>75641.600000000006</v>
      </c>
      <c r="C74" s="18">
        <v>15600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5" t="s">
        <v>887</v>
      </c>
      <c r="B75" s="22">
        <v>78443.199999999997</v>
      </c>
      <c r="C75" s="18">
        <v>15707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5" t="s">
        <v>888</v>
      </c>
      <c r="B76" s="22">
        <v>81244.7</v>
      </c>
      <c r="C76" s="18">
        <v>15813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5" t="s">
        <v>889</v>
      </c>
      <c r="B77" s="22">
        <v>84046.3</v>
      </c>
      <c r="C77" s="18">
        <v>15920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63" t="s">
        <v>890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68" t="s">
        <v>891</v>
      </c>
      <c r="B81" s="69" t="s">
        <v>827</v>
      </c>
      <c r="C81" s="69" t="s">
        <v>892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5" t="s">
        <v>893</v>
      </c>
      <c r="B82" s="18">
        <v>100000</v>
      </c>
      <c r="C82" s="18">
        <v>2936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5" t="s">
        <v>894</v>
      </c>
      <c r="B83" s="18">
        <v>200000</v>
      </c>
      <c r="C83" s="18">
        <v>3748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5" t="s">
        <v>895</v>
      </c>
      <c r="B84" s="18">
        <v>300000</v>
      </c>
      <c r="C84" s="18">
        <v>4559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5" t="s">
        <v>896</v>
      </c>
      <c r="B85" s="18">
        <v>400000</v>
      </c>
      <c r="C85" s="18">
        <v>5370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5" t="s">
        <v>897</v>
      </c>
      <c r="B86" s="18">
        <v>500000</v>
      </c>
      <c r="C86" s="18">
        <v>6157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5" t="s">
        <v>898</v>
      </c>
      <c r="B87" s="18">
        <v>1000000</v>
      </c>
      <c r="C87" s="18">
        <v>10055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5" t="s">
        <v>899</v>
      </c>
      <c r="B88" s="18">
        <v>2000000</v>
      </c>
      <c r="C88" s="18">
        <v>17173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5" t="s">
        <v>900</v>
      </c>
      <c r="B89" s="18">
        <v>3000000</v>
      </c>
      <c r="C89" s="18">
        <v>23037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5" t="s">
        <v>901</v>
      </c>
      <c r="B90" s="18">
        <v>4000000</v>
      </c>
      <c r="C90" s="18">
        <v>28430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5" t="s">
        <v>902</v>
      </c>
      <c r="B91" s="18">
        <v>5000000</v>
      </c>
      <c r="C91" s="18">
        <v>33451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5" t="s">
        <v>903</v>
      </c>
      <c r="B92" s="18">
        <v>6000000</v>
      </c>
      <c r="C92" s="18">
        <v>38244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5" t="s">
        <v>904</v>
      </c>
      <c r="B93" s="18">
        <v>7000000</v>
      </c>
      <c r="C93" s="18">
        <v>42520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5" t="s">
        <v>905</v>
      </c>
      <c r="B94" s="18">
        <v>8000000</v>
      </c>
      <c r="C94" s="18">
        <v>46242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5" t="s">
        <v>906</v>
      </c>
      <c r="B95" s="18">
        <v>9000000</v>
      </c>
      <c r="C95" s="18">
        <v>49844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5" t="s">
        <v>907</v>
      </c>
      <c r="B96" s="18">
        <v>10000000</v>
      </c>
      <c r="C96" s="18">
        <v>53440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5" t="s">
        <v>908</v>
      </c>
      <c r="B97" s="18">
        <v>11000000</v>
      </c>
      <c r="C97" s="18">
        <v>56885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5" t="s">
        <v>909</v>
      </c>
      <c r="B98" s="18">
        <v>12000000</v>
      </c>
      <c r="C98" s="18">
        <v>60203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5" t="s">
        <v>910</v>
      </c>
      <c r="B99" s="18">
        <v>13000000</v>
      </c>
      <c r="C99" s="18">
        <v>63410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5" t="s">
        <v>911</v>
      </c>
      <c r="B100" s="18">
        <v>14000000</v>
      </c>
      <c r="C100" s="18">
        <v>66053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5" t="s">
        <v>912</v>
      </c>
      <c r="B101" s="18">
        <v>15000000</v>
      </c>
      <c r="C101" s="18">
        <v>68595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5" t="s">
        <v>913</v>
      </c>
      <c r="B102" s="18">
        <v>16000000</v>
      </c>
      <c r="C102" s="18">
        <v>71081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5" t="s">
        <v>914</v>
      </c>
      <c r="B103" s="18">
        <v>17000000</v>
      </c>
      <c r="C103" s="18">
        <v>73421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5" t="s">
        <v>915</v>
      </c>
      <c r="B104" s="18">
        <v>18000000</v>
      </c>
      <c r="C104" s="18">
        <v>75685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5" t="s">
        <v>916</v>
      </c>
      <c r="B105" s="18">
        <v>19000000</v>
      </c>
      <c r="C105" s="18">
        <v>77883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5" t="s">
        <v>917</v>
      </c>
      <c r="B106" s="18">
        <v>20000000</v>
      </c>
      <c r="C106" s="18">
        <v>80041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5" t="s">
        <v>918</v>
      </c>
      <c r="B107" s="18">
        <v>25000000</v>
      </c>
      <c r="C107" s="18">
        <v>90064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5" t="s">
        <v>919</v>
      </c>
      <c r="B108" s="18">
        <v>30000000</v>
      </c>
      <c r="C108" s="18">
        <v>98998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5" t="s">
        <v>920</v>
      </c>
      <c r="B109" s="18">
        <v>35000000</v>
      </c>
      <c r="C109" s="18">
        <v>107341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5" t="s">
        <v>921</v>
      </c>
      <c r="B110" s="18">
        <v>40000000</v>
      </c>
      <c r="C110" s="18">
        <v>115429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5" t="s">
        <v>922</v>
      </c>
      <c r="B111" s="18">
        <v>45000000</v>
      </c>
      <c r="C111" s="18">
        <v>123061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5" t="s">
        <v>923</v>
      </c>
      <c r="B112" s="18">
        <v>50000000</v>
      </c>
      <c r="C112" s="18">
        <v>129757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5" t="s">
        <v>924</v>
      </c>
      <c r="B113" s="18">
        <v>55000000</v>
      </c>
      <c r="C113" s="18">
        <v>134938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5" t="s">
        <v>925</v>
      </c>
      <c r="B114" s="18">
        <v>60000000</v>
      </c>
      <c r="C114" s="18">
        <v>139138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5" t="s">
        <v>926</v>
      </c>
      <c r="B115" s="18">
        <v>65000000</v>
      </c>
      <c r="C115" s="18">
        <v>142624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5" t="s">
        <v>927</v>
      </c>
      <c r="B116" s="18">
        <v>70000000</v>
      </c>
      <c r="C116" s="18">
        <v>145964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5" t="s">
        <v>928</v>
      </c>
      <c r="B117" s="18">
        <v>75000000</v>
      </c>
      <c r="C117" s="18">
        <v>149301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5" t="s">
        <v>929</v>
      </c>
      <c r="B118" s="18">
        <v>80000000</v>
      </c>
      <c r="C118" s="18">
        <v>152637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>
      <c r="A119" s="5" t="s">
        <v>930</v>
      </c>
      <c r="B119" s="18">
        <v>85000000</v>
      </c>
      <c r="C119" s="18">
        <v>155870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5" t="s">
        <v>931</v>
      </c>
      <c r="B120" s="18">
        <v>88000000</v>
      </c>
      <c r="C120" s="18">
        <v>157698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5" t="s">
        <v>932</v>
      </c>
      <c r="B121" s="18">
        <v>90000000</v>
      </c>
      <c r="C121" s="18">
        <v>158912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5" t="s">
        <v>933</v>
      </c>
      <c r="B122" s="18">
        <v>100000000</v>
      </c>
      <c r="C122" s="18">
        <v>163656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5" t="s">
        <v>934</v>
      </c>
      <c r="B123" s="18">
        <v>110000000</v>
      </c>
      <c r="C123" s="18">
        <v>166065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5" t="s">
        <v>935</v>
      </c>
      <c r="B124" s="18">
        <v>120000000</v>
      </c>
      <c r="C124" s="18">
        <v>168368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5" t="s">
        <v>936</v>
      </c>
      <c r="B125" s="18">
        <v>130000000</v>
      </c>
      <c r="C125" s="18">
        <v>170578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5" t="s">
        <v>937</v>
      </c>
      <c r="B126" s="18">
        <v>140000000</v>
      </c>
      <c r="C126" s="18">
        <v>172765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5" t="s">
        <v>938</v>
      </c>
      <c r="B127" s="18">
        <v>150000000</v>
      </c>
      <c r="C127" s="18">
        <v>174895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5" t="s">
        <v>939</v>
      </c>
      <c r="B128" s="18">
        <v>160000000</v>
      </c>
      <c r="C128" s="18">
        <v>176859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5" t="s">
        <v>940</v>
      </c>
      <c r="B129" s="18">
        <v>170000000</v>
      </c>
      <c r="C129" s="18">
        <v>178452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5" t="s">
        <v>941</v>
      </c>
      <c r="B130" s="18">
        <v>180000000</v>
      </c>
      <c r="C130" s="18">
        <v>179780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5" t="s">
        <v>942</v>
      </c>
      <c r="B131" s="18">
        <v>190000000</v>
      </c>
      <c r="C131" s="18">
        <v>181109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5" t="s">
        <v>943</v>
      </c>
      <c r="B132" s="18">
        <v>200000000</v>
      </c>
      <c r="C132" s="18">
        <v>182421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5" t="s">
        <v>944</v>
      </c>
      <c r="B133" s="18">
        <v>210000000</v>
      </c>
      <c r="C133" s="18">
        <v>183627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5" t="s">
        <v>945</v>
      </c>
      <c r="B134" s="18">
        <v>220000000</v>
      </c>
      <c r="C134" s="18">
        <v>184773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5" t="s">
        <v>946</v>
      </c>
      <c r="B135" s="18">
        <v>230000000</v>
      </c>
      <c r="C135" s="18">
        <v>185867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5" t="s">
        <v>947</v>
      </c>
      <c r="B136" s="18">
        <v>240000000</v>
      </c>
      <c r="C136" s="18">
        <v>186843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5" t="s">
        <v>948</v>
      </c>
      <c r="B137" s="18">
        <v>250000000</v>
      </c>
      <c r="C137" s="18">
        <v>187819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13" t="s">
        <v>949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>
      <c r="A141" s="5" t="s">
        <v>950</v>
      </c>
      <c r="B141" s="3"/>
      <c r="C141" s="3"/>
      <c r="D141" s="31">
        <f>1</f>
        <v>1</v>
      </c>
      <c r="E141" s="31">
        <f t="shared" ref="E141:S141" si="0">D141*(1+E149)</f>
        <v>1.0349999999999999</v>
      </c>
      <c r="F141" s="31">
        <f t="shared" si="0"/>
        <v>1.0700749999999999</v>
      </c>
      <c r="G141" s="31">
        <f t="shared" si="0"/>
        <v>1.1051496805555554</v>
      </c>
      <c r="H141" s="31">
        <f t="shared" si="0"/>
        <v>1.1401460871064815</v>
      </c>
      <c r="I141" s="31">
        <f t="shared" si="0"/>
        <v>1.1749838842125127</v>
      </c>
      <c r="J141" s="31">
        <f t="shared" si="0"/>
        <v>1.2095806319143254</v>
      </c>
      <c r="K141" s="31">
        <f t="shared" si="0"/>
        <v>1.243852083151898</v>
      </c>
      <c r="L141" s="31">
        <f t="shared" si="0"/>
        <v>1.2777125009710331</v>
      </c>
      <c r="M141" s="31">
        <f t="shared" si="0"/>
        <v>1.3110749940519435</v>
      </c>
      <c r="N141" s="31">
        <f t="shared" si="0"/>
        <v>1.3438518689032419</v>
      </c>
      <c r="O141" s="31">
        <f t="shared" si="0"/>
        <v>1.3774481656258228</v>
      </c>
      <c r="P141" s="31">
        <f t="shared" si="0"/>
        <v>1.4118843697664683</v>
      </c>
      <c r="Q141" s="31">
        <f t="shared" si="0"/>
        <v>1.4471814790106299</v>
      </c>
      <c r="R141" s="31">
        <f t="shared" si="0"/>
        <v>1.4833610159858954</v>
      </c>
      <c r="S141" s="31">
        <f t="shared" si="0"/>
        <v>1.5204450413855426</v>
      </c>
    </row>
    <row r="142" spans="1:19">
      <c r="A142" s="5" t="s">
        <v>951</v>
      </c>
      <c r="B142" s="3"/>
      <c r="C142" s="3"/>
      <c r="D142" s="18">
        <f t="array" ref="D142">IFERROR(INDEX(Starlink!$D:$AC,MATCH("BB Gbps available for external Starlink revenue",Starlink!$A$1:$A$204,0),COLUMN()-COLUMN($D142)+1),0)</f>
        <v>489144</v>
      </c>
      <c r="E142" s="18">
        <f t="array" aca="1" ref="E142" ca="1">IFERROR(INDEX(Starlink!$D:$AC,MATCH("BB Gbps available for external Starlink revenue",Starlink!$A$1:$A$204,0),COLUMN()-COLUMN($D142)+1),0)</f>
        <v>756736</v>
      </c>
      <c r="F142" s="18">
        <f t="array" aca="1" ref="F142" ca="1">IFERROR(INDEX(Starlink!$D:$AC,MATCH("BB Gbps available for external Starlink revenue",Starlink!$A$1:$A$204,0),COLUMN()-COLUMN($D142)+1),0)</f>
        <v>4652053.443326761</v>
      </c>
      <c r="G142" s="18">
        <f t="array" aca="1" ref="G142" ca="1">IFERROR(INDEX(Starlink!$D:$AC,MATCH("BB Gbps available for external Starlink revenue",Starlink!$A$1:$A$204,0),COLUMN()-COLUMN($D142)+1),0)</f>
        <v>13909825.135599311</v>
      </c>
      <c r="H142" s="18">
        <f t="array" aca="1" ref="H142" ca="1">IFERROR(INDEX(Starlink!$D:$AC,MATCH("BB Gbps available for external Starlink revenue",Starlink!$A$1:$A$204,0),COLUMN()-COLUMN($D142)+1),0)</f>
        <v>37706338.90701995</v>
      </c>
      <c r="I142" s="18">
        <f t="array" aca="1" ref="I142" ca="1">IFERROR(INDEX(Starlink!$D:$AC,MATCH("BB Gbps available for external Starlink revenue",Starlink!$A$1:$A$204,0),COLUMN()-COLUMN($D142)+1),0)</f>
        <v>52599405.926425837</v>
      </c>
      <c r="J142" s="18">
        <f t="array" aca="1" ref="J142" ca="1">IFERROR(INDEX(Starlink!$D:$AC,MATCH("BB Gbps available for external Starlink revenue",Starlink!$A$1:$A$204,0),COLUMN()-COLUMN($D142)+1),0)</f>
        <v>81246795.994900599</v>
      </c>
      <c r="K142" s="18">
        <f t="array" aca="1" ref="K142" ca="1">IFERROR(INDEX(Starlink!$D:$AC,MATCH("BB Gbps available for external Starlink revenue",Starlink!$A$1:$A$204,0),COLUMN()-COLUMN($D142)+1),0)</f>
        <v>93730001.383399457</v>
      </c>
      <c r="L142" s="18">
        <f t="array" aca="1" ref="L142" ca="1">IFERROR(INDEX(Starlink!$D:$AC,MATCH("BB Gbps available for external Starlink revenue",Starlink!$A$1:$A$204,0),COLUMN()-COLUMN($D142)+1),0)</f>
        <v>89181520.434633434</v>
      </c>
      <c r="M142" s="18">
        <f t="array" aca="1" ref="M142" ca="1">IFERROR(INDEX(Starlink!$D:$AC,MATCH("BB Gbps available for external Starlink revenue",Starlink!$A$1:$A$204,0),COLUMN()-COLUMN($D142)+1),0)</f>
        <v>87992065.764752746</v>
      </c>
      <c r="N142" s="18">
        <f t="array" aca="1" ref="N142" ca="1">IFERROR(INDEX(Starlink!$D:$AC,MATCH("BB Gbps available for external Starlink revenue",Starlink!$A$1:$A$204,0),COLUMN()-COLUMN($D142)+1),0)</f>
        <v>115396915.14757498</v>
      </c>
      <c r="O142" s="18">
        <f t="array" aca="1" ref="O142" ca="1">IFERROR(INDEX(Starlink!$D:$AC,MATCH("BB Gbps available for external Starlink revenue",Starlink!$A$1:$A$204,0),COLUMN()-COLUMN($D142)+1),0)</f>
        <v>160172056.9048982</v>
      </c>
      <c r="P142" s="18">
        <f t="array" aca="1" ref="P142" ca="1">IFERROR(INDEX(Starlink!$D:$AC,MATCH("BB Gbps available for external Starlink revenue",Starlink!$A$1:$A$204,0),COLUMN()-COLUMN($D142)+1),0)</f>
        <v>195592949.16113734</v>
      </c>
      <c r="Q142" s="18">
        <f t="array" aca="1" ref="Q142" ca="1">IFERROR(INDEX(Starlink!$D:$AC,MATCH("BB Gbps available for external Starlink revenue",Starlink!$A$1:$A$204,0),COLUMN()-COLUMN($D142)+1),0)</f>
        <v>221054469.94365165</v>
      </c>
      <c r="R142" s="18">
        <f t="array" aca="1" ref="R142" ca="1">IFERROR(INDEX(Starlink!$D:$AC,MATCH("BB Gbps available for external Starlink revenue",Starlink!$A$1:$A$204,0),COLUMN()-COLUMN($D142)+1),0)</f>
        <v>214228323.97496885</v>
      </c>
      <c r="S142" s="18">
        <f t="array" aca="1" ref="S142" ca="1">IFERROR(INDEX(Starlink!$D:$AC,MATCH("BB Gbps available for external Starlink revenue",Starlink!$A$1:$A$204,0),COLUMN()-COLUMN($D142)+1),0)</f>
        <v>188862321.63178316</v>
      </c>
    </row>
    <row r="143" spans="1:19">
      <c r="A143" s="5" t="s">
        <v>952</v>
      </c>
      <c r="B143" s="3"/>
      <c r="C143" s="3"/>
      <c r="D143" s="18">
        <f t="array" ref="D143">IFERROR(INDEX(Starlink!$D:$AC,MATCH("DTC Gbps available for external Starlink revenue",Starlink!$A$1:$A$204,0),COLUMN()-COLUMN($D143)+1),0)</f>
        <v>577.71</v>
      </c>
      <c r="E143" s="18">
        <f t="array" ref="E143">IFERROR(INDEX(Starlink!$D:$AC,MATCH("DTC Gbps available for external Starlink revenue",Starlink!$A$1:$A$204,0),COLUMN()-COLUMN($D143)+1),0)</f>
        <v>577.71</v>
      </c>
      <c r="F143" s="18">
        <f t="array" aca="1" ref="F143" ca="1">IFERROR(INDEX(Starlink!$D:$AC,MATCH("DTC Gbps available for external Starlink revenue",Starlink!$A$1:$A$204,0),COLUMN()-COLUMN($D143)+1),0)</f>
        <v>579.36979801797065</v>
      </c>
      <c r="G143" s="18">
        <f t="array" aca="1" ref="G143" ca="1">IFERROR(INDEX(Starlink!$D:$AC,MATCH("DTC Gbps available for external Starlink revenue",Starlink!$A$1:$A$204,0),COLUMN()-COLUMN($D143)+1),0)</f>
        <v>649.95120583444827</v>
      </c>
      <c r="H143" s="18">
        <f t="array" aca="1" ref="H143" ca="1">IFERROR(INDEX(Starlink!$D:$AC,MATCH("DTC Gbps available for external Starlink revenue",Starlink!$A$1:$A$204,0),COLUMN()-COLUMN($D143)+1),0)</f>
        <v>3085.5434225565646</v>
      </c>
      <c r="I143" s="18">
        <f t="array" aca="1" ref="I143" ca="1">IFERROR(INDEX(Starlink!$D:$AC,MATCH("DTC Gbps available for external Starlink revenue",Starlink!$A$1:$A$204,0),COLUMN()-COLUMN($D143)+1),0)</f>
        <v>33938.701192794382</v>
      </c>
      <c r="J143" s="18">
        <f t="array" aca="1" ref="J143" ca="1">IFERROR(INDEX(Starlink!$D:$AC,MATCH("DTC Gbps available for external Starlink revenue",Starlink!$A$1:$A$204,0),COLUMN()-COLUMN($D143)+1),0)</f>
        <v>55683.284634496951</v>
      </c>
      <c r="K143" s="18">
        <f t="array" aca="1" ref="K143" ca="1">IFERROR(INDEX(Starlink!$D:$AC,MATCH("DTC Gbps available for external Starlink revenue",Starlink!$A$1:$A$204,0),COLUMN()-COLUMN($D143)+1),0)</f>
        <v>97088.151454271618</v>
      </c>
      <c r="L143" s="18">
        <f t="array" aca="1" ref="L143" ca="1">IFERROR(INDEX(Starlink!$D:$AC,MATCH("DTC Gbps available for external Starlink revenue",Starlink!$A$1:$A$204,0),COLUMN()-COLUMN($D143)+1),0)</f>
        <v>115835.48792959955</v>
      </c>
      <c r="M143" s="18">
        <f t="array" aca="1" ref="M143" ca="1">IFERROR(INDEX(Starlink!$D:$AC,MATCH("DTC Gbps available for external Starlink revenue",Starlink!$A$1:$A$204,0),COLUMN()-COLUMN($D143)+1),0)</f>
        <v>148387.73326573498</v>
      </c>
      <c r="N143" s="18">
        <f t="array" aca="1" ref="N143" ca="1">IFERROR(INDEX(Starlink!$D:$AC,MATCH("DTC Gbps available for external Starlink revenue",Starlink!$A$1:$A$204,0),COLUMN()-COLUMN($D143)+1),0)</f>
        <v>157263.55816683092</v>
      </c>
      <c r="O143" s="18">
        <f t="array" aca="1" ref="O143" ca="1">IFERROR(INDEX(Starlink!$D:$AC,MATCH("DTC Gbps available for external Starlink revenue",Starlink!$A$1:$A$204,0),COLUMN()-COLUMN($D143)+1),0)</f>
        <v>189216.04585461339</v>
      </c>
      <c r="P143" s="18">
        <f t="array" aca="1" ref="P143" ca="1">IFERROR(INDEX(Starlink!$D:$AC,MATCH("DTC Gbps available for external Starlink revenue",Starlink!$A$1:$A$204,0),COLUMN()-COLUMN($D143)+1),0)</f>
        <v>181331.68618702743</v>
      </c>
      <c r="Q143" s="18">
        <f t="array" aca="1" ref="Q143" ca="1">IFERROR(INDEX(Starlink!$D:$AC,MATCH("DTC Gbps available for external Starlink revenue",Starlink!$A$1:$A$204,0),COLUMN()-COLUMN($D143)+1),0)</f>
        <v>183749.37828980948</v>
      </c>
      <c r="R143" s="18">
        <f t="array" aca="1" ref="R143" ca="1">IFERROR(INDEX(Starlink!$D:$AC,MATCH("DTC Gbps available for external Starlink revenue",Starlink!$A$1:$A$204,0),COLUMN()-COLUMN($D143)+1),0)</f>
        <v>159962.11952747116</v>
      </c>
      <c r="S143" s="18">
        <f t="array" aca="1" ref="S143" ca="1">IFERROR(INDEX(Starlink!$D:$AC,MATCH("DTC Gbps available for external Starlink revenue",Starlink!$A$1:$A$204,0),COLUMN()-COLUMN($D143)+1),0)</f>
        <v>134521.12388514361</v>
      </c>
    </row>
    <row r="144" spans="1:19">
      <c r="A144" s="5" t="s">
        <v>953</v>
      </c>
      <c r="B144" s="3"/>
      <c r="C144" s="3"/>
      <c r="D144" s="70">
        <f t="array" ref="D144">((IF(D142&gt;=INDEX($B$82:$B$137,COUNTA($B$82:$B$137)),INDEX($C$82:$C$137,COUNTA($B$82:$B$137))*D141,IF(D142&lt;=INDEX($B$82:$B$137,1),INDEX($C$82:$C$137,1)*D141,(INDEX($C$82:$C$137,MATCH(D142,$B$82:$B$137,1))+(D142-INDEX($B$82:$B$137,MATCH(D142,$B$82:$B$137,1)))*(INDEX($C$82:$C$137,MATCH(D142,$B$82:$B$137,1)+1)-INDEX($C$82:$C$137,MATCH(D142,$B$82:$B$137,1)))/(INDEX($B$82:$B$137,MATCH(D142,$B$82:$B$137,1)+1)-INDEX($B$82:$B$137,MATCH(D142,$B$82:$B$137,1))))*D141)))*INDEX(Assumptions!$B:$B,MATCH("BB demand curve level multiplier",Assumptions!$A$1:$A$257,0)))*D151</f>
        <v>6721.2205509599999</v>
      </c>
      <c r="E144" s="70">
        <f t="array" aca="1" ref="E144" ca="1">((IF(E142&gt;=INDEX($B$82:$B$137,COUNTA($B$82:$B$137)),INDEX($C$82:$C$137,COUNTA($B$82:$B$137))*E141,IF(E142&lt;=INDEX($B$82:$B$137,1),INDEX($C$82:$C$137,1)*E141,(INDEX($C$82:$C$137,MATCH(E142,$B$82:$B$137,1))+(E142-INDEX($B$82:$B$137,MATCH(E142,$B$82:$B$137,1)))*(INDEX($C$82:$C$137,MATCH(E142,$B$82:$B$137,1)+1)-INDEX($C$82:$C$137,MATCH(E142,$B$82:$B$137,1)))/(INDEX($B$82:$B$137,MATCH(E142,$B$82:$B$137,1)+1)-INDEX($B$82:$B$137,MATCH(E142,$B$82:$B$137,1))))*E141)))*INDEX(Assumptions!$B:$B,MATCH("BB demand curve level multiplier",Assumptions!$A$1:$A$257,0)))*E151</f>
        <v>9347.5764579427196</v>
      </c>
      <c r="F144" s="70">
        <f t="array" aca="1" ref="F144" ca="1">((IF(F142&gt;=INDEX($B$82:$B$137,COUNTA($B$82:$B$137)),INDEX($C$82:$C$137,COUNTA($B$82:$B$137))*F141,IF(F142&lt;=INDEX($B$82:$B$137,1),INDEX($C$82:$C$137,1)*F141,(INDEX($C$82:$C$137,MATCH(F142,$B$82:$B$137,1))+(F142-INDEX($B$82:$B$137,MATCH(F142,$B$82:$B$137,1)))*(INDEX($C$82:$C$137,MATCH(F142,$B$82:$B$137,1)+1)-INDEX($C$82:$C$137,MATCH(F142,$B$82:$B$137,1)))/(INDEX($B$82:$B$137,MATCH(F142,$B$82:$B$137,1)+1)-INDEX($B$82:$B$137,MATCH(F142,$B$82:$B$137,1))))*F141)))*INDEX(Assumptions!$B:$B,MATCH("BB demand curve level multiplier",Assumptions!$A$1:$A$257,0)))*F151</f>
        <v>37555.656203182523</v>
      </c>
      <c r="G144" s="70">
        <f t="array" aca="1" ref="G144" ca="1">((IF(G142&gt;=INDEX($B$82:$B$137,COUNTA($B$82:$B$137)),INDEX($C$82:$C$137,COUNTA($B$82:$B$137))*G141,IF(G142&lt;=INDEX($B$82:$B$137,1),INDEX($C$82:$C$137,1)*G141,(INDEX($C$82:$C$137,MATCH(G142,$B$82:$B$137,1))+(G142-INDEX($B$82:$B$137,MATCH(G142,$B$82:$B$137,1)))*(INDEX($C$82:$C$137,MATCH(G142,$B$82:$B$137,1)+1)-INDEX($C$82:$C$137,MATCH(G142,$B$82:$B$137,1)))/(INDEX($B$82:$B$137,MATCH(G142,$B$82:$B$137,1)+1)-INDEX($B$82:$B$137,MATCH(G142,$B$82:$B$137,1))))*G141)))*INDEX(Assumptions!$B:$B,MATCH("BB demand curve level multiplier",Assumptions!$A$1:$A$257,0)))*G151</f>
        <v>80517.710459057387</v>
      </c>
      <c r="H144" s="70">
        <f t="array" aca="1" ref="H144" ca="1">((IF(H142&gt;=INDEX($B$82:$B$137,COUNTA($B$82:$B$137)),INDEX($C$82:$C$137,COUNTA($B$82:$B$137))*H141,IF(H142&lt;=INDEX($B$82:$B$137,1),INDEX($C$82:$C$137,1)*H141,(INDEX($C$82:$C$137,MATCH(H142,$B$82:$B$137,1))+(H142-INDEX($B$82:$B$137,MATCH(H142,$B$82:$B$137,1)))*(INDEX($C$82:$C$137,MATCH(H142,$B$82:$B$137,1)+1)-INDEX($C$82:$C$137,MATCH(H142,$B$82:$B$137,1)))/(INDEX($B$82:$B$137,MATCH(H142,$B$82:$B$137,1)+1)-INDEX($B$82:$B$137,MATCH(H142,$B$82:$B$137,1))))*H141)))*INDEX(Assumptions!$B:$B,MATCH("BB demand curve level multiplier",Assumptions!$A$1:$A$257,0)))*H151</f>
        <v>141004.9251646639</v>
      </c>
      <c r="I144" s="70">
        <f t="array" aca="1" ref="I144" ca="1">((IF(I142&gt;=INDEX($B$82:$B$137,COUNTA($B$82:$B$137)),INDEX($C$82:$C$137,COUNTA($B$82:$B$137))*I141,IF(I142&lt;=INDEX($B$82:$B$137,1),INDEX($C$82:$C$137,1)*I141,(INDEX($C$82:$C$137,MATCH(I142,$B$82:$B$137,1))+(I142-INDEX($B$82:$B$137,MATCH(I142,$B$82:$B$137,1)))*(INDEX($C$82:$C$137,MATCH(I142,$B$82:$B$137,1)+1)-INDEX($C$82:$C$137,MATCH(I142,$B$82:$B$137,1)))/(INDEX($B$82:$B$137,MATCH(I142,$B$82:$B$137,1)+1)-INDEX($B$82:$B$137,MATCH(I142,$B$82:$B$137,1))))*I141)))*INDEX(Assumptions!$B:$B,MATCH("BB demand curve level multiplier",Assumptions!$A$1:$A$257,0)))*I151</f>
        <v>172279.31942254707</v>
      </c>
      <c r="J144" s="70">
        <f t="array" aca="1" ref="J144" ca="1">((IF(J142&gt;=INDEX($B$82:$B$137,COUNTA($B$82:$B$137)),INDEX($C$82:$C$137,COUNTA($B$82:$B$137))*J141,IF(J142&lt;=INDEX($B$82:$B$137,1),INDEX($C$82:$C$137,1)*J141,(INDEX($C$82:$C$137,MATCH(J142,$B$82:$B$137,1))+(J142-INDEX($B$82:$B$137,MATCH(J142,$B$82:$B$137,1)))*(INDEX($C$82:$C$137,MATCH(J142,$B$82:$B$137,1)+1)-INDEX($C$82:$C$137,MATCH(J142,$B$82:$B$137,1)))/(INDEX($B$82:$B$137,MATCH(J142,$B$82:$B$137,1)+1)-INDEX($B$82:$B$137,MATCH(J142,$B$82:$B$137,1))))*J141)))*INDEX(Assumptions!$B:$B,MATCH("BB demand curve level multiplier",Assumptions!$A$1:$A$257,0)))*J151</f>
        <v>205461.29949117481</v>
      </c>
      <c r="K144" s="70">
        <f t="array" aca="1" ref="K144" ca="1">((IF(K142&gt;=INDEX($B$82:$B$137,COUNTA($B$82:$B$137)),INDEX($C$82:$C$137,COUNTA($B$82:$B$137))*K141,IF(K142&lt;=INDEX($B$82:$B$137,1),INDEX($C$82:$C$137,1)*K141,(INDEX($C$82:$C$137,MATCH(K142,$B$82:$B$137,1))+(K142-INDEX($B$82:$B$137,MATCH(K142,$B$82:$B$137,1)))*(INDEX($C$82:$C$137,MATCH(K142,$B$82:$B$137,1)+1)-INDEX($C$82:$C$137,MATCH(K142,$B$82:$B$137,1)))/(INDEX($B$82:$B$137,MATCH(K142,$B$82:$B$137,1)+1)-INDEX($B$82:$B$137,MATCH(K142,$B$82:$B$137,1))))*K141)))*INDEX(Assumptions!$B:$B,MATCH("BB demand curve level multiplier",Assumptions!$A$1:$A$257,0)))*K151</f>
        <v>221249.48590536017</v>
      </c>
      <c r="L144" s="70">
        <f t="array" aca="1" ref="L144" ca="1">((IF(L142&gt;=INDEX($B$82:$B$137,COUNTA($B$82:$B$137)),INDEX($C$82:$C$137,COUNTA($B$82:$B$137))*L141,IF(L142&lt;=INDEX($B$82:$B$137,1),INDEX($C$82:$C$137,1)*L141,(INDEX($C$82:$C$137,MATCH(L142,$B$82:$B$137,1))+(L142-INDEX($B$82:$B$137,MATCH(L142,$B$82:$B$137,1)))*(INDEX($C$82:$C$137,MATCH(L142,$B$82:$B$137,1)+1)-INDEX($C$82:$C$137,MATCH(L142,$B$82:$B$137,1)))/(INDEX($B$82:$B$137,MATCH(L142,$B$82:$B$137,1)+1)-INDEX($B$82:$B$137,MATCH(L142,$B$82:$B$137,1))))*L141)))*INDEX(Assumptions!$B:$B,MATCH("BB demand curve level multiplier",Assumptions!$A$1:$A$257,0)))*L151</f>
        <v>224066.82891058811</v>
      </c>
      <c r="M144" s="70">
        <f t="array" aca="1" ref="M144" ca="1">((IF(M142&gt;=INDEX($B$82:$B$137,COUNTA($B$82:$B$137)),INDEX($C$82:$C$137,COUNTA($B$82:$B$137))*M141,IF(M142&lt;=INDEX($B$82:$B$137,1),INDEX($C$82:$C$137,1)*M141,(INDEX($C$82:$C$137,MATCH(M142,$B$82:$B$137,1))+(M142-INDEX($B$82:$B$137,MATCH(M142,$B$82:$B$137,1)))*(INDEX($C$82:$C$137,MATCH(M142,$B$82:$B$137,1)+1)-INDEX($C$82:$C$137,MATCH(M142,$B$82:$B$137,1)))/(INDEX($B$82:$B$137,MATCH(M142,$B$82:$B$137,1)+1)-INDEX($B$82:$B$137,MATCH(M142,$B$82:$B$137,1))))*M141)))*INDEX(Assumptions!$B:$B,MATCH("BB demand curve level multiplier",Assumptions!$A$1:$A$257,0)))*M151</f>
        <v>228869.55544763539</v>
      </c>
      <c r="N144" s="70">
        <f t="array" aca="1" ref="N144" ca="1">((IF(N142&gt;=INDEX($B$82:$B$137,COUNTA($B$82:$B$137)),INDEX($C$82:$C$137,COUNTA($B$82:$B$137))*N141,IF(N142&lt;=INDEX($B$82:$B$137,1),INDEX($C$82:$C$137,1)*N141,(INDEX($C$82:$C$137,MATCH(N142,$B$82:$B$137,1))+(N142-INDEX($B$82:$B$137,MATCH(N142,$B$82:$B$137,1)))*(INDEX($C$82:$C$137,MATCH(N142,$B$82:$B$137,1)+1)-INDEX($C$82:$C$137,MATCH(N142,$B$82:$B$137,1)))/(INDEX($B$82:$B$137,MATCH(N142,$B$82:$B$137,1)+1)-INDEX($B$82:$B$137,MATCH(N142,$B$82:$B$137,1))))*N141)))*INDEX(Assumptions!$B:$B,MATCH("BB demand curve level multiplier",Assumptions!$A$1:$A$257,0)))*N151</f>
        <v>248894.6109653106</v>
      </c>
      <c r="O144" s="70">
        <f t="array" aca="1" ref="O144" ca="1">((IF(O142&gt;=INDEX($B$82:$B$137,COUNTA($B$82:$B$137)),INDEX($C$82:$C$137,COUNTA($B$82:$B$137))*O141,IF(O142&lt;=INDEX($B$82:$B$137,1),INDEX($C$82:$C$137,1)*O141,(INDEX($C$82:$C$137,MATCH(O142,$B$82:$B$137,1))+(O142-INDEX($B$82:$B$137,MATCH(O142,$B$82:$B$137,1)))*(INDEX($C$82:$C$137,MATCH(O142,$B$82:$B$137,1)+1)-INDEX($C$82:$C$137,MATCH(O142,$B$82:$B$137,1)))/(INDEX($B$82:$B$137,MATCH(O142,$B$82:$B$137,1)+1)-INDEX($B$82:$B$137,MATCH(O142,$B$82:$B$137,1))))*O141)))*INDEX(Assumptions!$B:$B,MATCH("BB demand curve level multiplier",Assumptions!$A$1:$A$257,0)))*O151</f>
        <v>269722.60806762066</v>
      </c>
      <c r="P144" s="70">
        <f t="array" aca="1" ref="P144" ca="1">((IF(P142&gt;=INDEX($B$82:$B$137,COUNTA($B$82:$B$137)),INDEX($C$82:$C$137,COUNTA($B$82:$B$137))*P141,IF(P142&lt;=INDEX($B$82:$B$137,1),INDEX($C$82:$C$137,1)*P141,(INDEX($C$82:$C$137,MATCH(P142,$B$82:$B$137,1))+(P142-INDEX($B$82:$B$137,MATCH(P142,$B$82:$B$137,1)))*(INDEX($C$82:$C$137,MATCH(P142,$B$82:$B$137,1)+1)-INDEX($C$82:$C$137,MATCH(P142,$B$82:$B$137,1)))/(INDEX($B$82:$B$137,MATCH(P142,$B$82:$B$137,1)+1)-INDEX($B$82:$B$137,MATCH(P142,$B$82:$B$137,1))))*P141)))*INDEX(Assumptions!$B:$B,MATCH("BB demand curve level multiplier",Assumptions!$A$1:$A$257,0)))*P151</f>
        <v>284212.28690727014</v>
      </c>
      <c r="Q144" s="70">
        <f t="array" aca="1" ref="Q144" ca="1">((IF(Q142&gt;=INDEX($B$82:$B$137,COUNTA($B$82:$B$137)),INDEX($C$82:$C$137,COUNTA($B$82:$B$137))*Q141,IF(Q142&lt;=INDEX($B$82:$B$137,1),INDEX($C$82:$C$137,1)*Q141,(INDEX($C$82:$C$137,MATCH(Q142,$B$82:$B$137,1))+(Q142-INDEX($B$82:$B$137,MATCH(Q142,$B$82:$B$137,1)))*(INDEX($C$82:$C$137,MATCH(Q142,$B$82:$B$137,1)+1)-INDEX($C$82:$C$137,MATCH(Q142,$B$82:$B$137,1)))/(INDEX($B$82:$B$137,MATCH(Q142,$B$82:$B$137,1)+1)-INDEX($B$82:$B$137,MATCH(Q142,$B$82:$B$137,1))))*Q141)))*INDEX(Assumptions!$B:$B,MATCH("BB demand curve level multiplier",Assumptions!$A$1:$A$257,0)))*Q151</f>
        <v>296196.67879318225</v>
      </c>
      <c r="R144" s="70">
        <f t="array" aca="1" ref="R144" ca="1">((IF(R142&gt;=INDEX($B$82:$B$137,COUNTA($B$82:$B$137)),INDEX($C$82:$C$137,COUNTA($B$82:$B$137))*R141,IF(R142&lt;=INDEX($B$82:$B$137,1),INDEX($C$82:$C$137,1)*R141,(INDEX($C$82:$C$137,MATCH(R142,$B$82:$B$137,1))+(R142-INDEX($B$82:$B$137,MATCH(R142,$B$82:$B$137,1)))*(INDEX($C$82:$C$137,MATCH(R142,$B$82:$B$137,1)+1)-INDEX($C$82:$C$137,MATCH(R142,$B$82:$B$137,1)))/(INDEX($B$82:$B$137,MATCH(R142,$B$82:$B$137,1)+1)-INDEX($B$82:$B$137,MATCH(R142,$B$82:$B$137,1))))*R141)))*INDEX(Assumptions!$B:$B,MATCH("BB demand curve level multiplier",Assumptions!$A$1:$A$257,0)))*R151</f>
        <v>302326.03887434199</v>
      </c>
      <c r="S144" s="70">
        <f t="array" aca="1" ref="S144" ca="1">((IF(S142&gt;=INDEX($B$82:$B$137,COUNTA($B$82:$B$137)),INDEX($C$82:$C$137,COUNTA($B$82:$B$137))*S141,IF(S142&lt;=INDEX($B$82:$B$137,1),INDEX($C$82:$C$137,1)*S141,(INDEX($C$82:$C$137,MATCH(S142,$B$82:$B$137,1))+(S142-INDEX($B$82:$B$137,MATCH(S142,$B$82:$B$137,1)))*(INDEX($C$82:$C$137,MATCH(S142,$B$82:$B$137,1)+1)-INDEX($C$82:$C$137,MATCH(S142,$B$82:$B$137,1)))/(INDEX($B$82:$B$137,MATCH(S142,$B$82:$B$137,1)+1)-INDEX($B$82:$B$137,MATCH(S142,$B$82:$B$137,1))))*S141)))*INDEX(Assumptions!$B:$B,MATCH("BB demand curve level multiplier",Assumptions!$A$1:$A$257,0)))*S151</f>
        <v>304575.98769235431</v>
      </c>
    </row>
    <row r="145" spans="1:19">
      <c r="A145" s="5" t="s">
        <v>954</v>
      </c>
      <c r="B145" s="3"/>
      <c r="C145" s="3"/>
      <c r="D145" s="70">
        <f t="array" ref="D145">((IF(D143&lt;=0,0,IF(D143&gt;=INDEX($B$17:$B$77,COUNTA($B$17:$B$77)),INDEX($C$17:$C$77,COUNTA($B$17:$B$77))*D141,IF(D143&lt;INDEX($B$17:$B$77,1),D143/INDEX($B$17:$B$77,1)*INDEX($C$17:$C$77,1)*D141,(INDEX($C$17:$C$77,MATCH(D143,$B$17:$B$77,1))+(D143-INDEX($B$17:$B$77,MATCH(D143,$B$17:$B$77,1)))*(INDEX($C$17:$C$77,MATCH(D143,$B$17:$B$77,1)+1)-INDEX($C$17:$C$77,MATCH(D143,$B$17:$B$77,1)))/(INDEX($B$17:$B$77,MATCH(D143,$B$17:$B$77,1)+1)-INDEX($B$17:$B$77,MATCH(D143,$B$17:$B$77,1))))*D141))))*INDEX(Assumptions!$B:$B,MATCH("DTC demand curve level multiplier",Assumptions!$A$1:$A$257,0)))*D150</f>
        <v>632.07519628836553</v>
      </c>
      <c r="E145" s="70">
        <f t="array" ref="E145">((IF(E143&lt;=0,0,IF(E143&gt;=INDEX($B$17:$B$77,COUNTA($B$17:$B$77)),INDEX($C$17:$C$77,COUNTA($B$17:$B$77))*E141,IF(E143&lt;INDEX($B$17:$B$77,1),E143/INDEX($B$17:$B$77,1)*INDEX($C$17:$C$77,1)*E141,(INDEX($C$17:$C$77,MATCH(E143,$B$17:$B$77,1))+(E143-INDEX($B$17:$B$77,MATCH(E143,$B$17:$B$77,1)))*(INDEX($C$17:$C$77,MATCH(E143,$B$17:$B$77,1)+1)-INDEX($C$17:$C$77,MATCH(E143,$B$17:$B$77,1)))/(INDEX($B$17:$B$77,MATCH(E143,$B$17:$B$77,1)+1)-INDEX($B$17:$B$77,MATCH(E143,$B$17:$B$77,1))))*E141))))*INDEX(Assumptions!$B:$B,MATCH("DTC demand curve level multiplier",Assumptions!$A$1:$A$257,0)))*E150</f>
        <v>794.38307704955639</v>
      </c>
      <c r="F145" s="70">
        <f t="array" aca="1" ref="F145" ca="1">((IF(F143&lt;=0,0,IF(F143&gt;=INDEX($B$17:$B$77,COUNTA($B$17:$B$77)),INDEX($C$17:$C$77,COUNTA($B$17:$B$77))*F141,IF(F143&lt;INDEX($B$17:$B$77,1),F143/INDEX($B$17:$B$77,1)*INDEX($C$17:$C$77,1)*F141,(INDEX($C$17:$C$77,MATCH(F143,$B$17:$B$77,1))+(F143-INDEX($B$17:$B$77,MATCH(F143,$B$17:$B$77,1)))*(INDEX($C$17:$C$77,MATCH(F143,$B$17:$B$77,1)+1)-INDEX($C$17:$C$77,MATCH(F143,$B$17:$B$77,1)))/(INDEX($B$17:$B$77,MATCH(F143,$B$17:$B$77,1)+1)-INDEX($B$17:$B$77,MATCH(F143,$B$17:$B$77,1))))*F141))))*INDEX(Assumptions!$B:$B,MATCH("DTC demand curve level multiplier",Assumptions!$A$1:$A$257,0)))*F150</f>
        <v>969.01978804946725</v>
      </c>
      <c r="G145" s="70">
        <f t="array" aca="1" ref="G145" ca="1">((IF(G143&lt;=0,0,IF(G143&gt;=INDEX($B$17:$B$77,COUNTA($B$17:$B$77)),INDEX($C$17:$C$77,COUNTA($B$17:$B$77))*G141,IF(G143&lt;INDEX($B$17:$B$77,1),G143/INDEX($B$17:$B$77,1)*INDEX($C$17:$C$77,1)*G141,(INDEX($C$17:$C$77,MATCH(G143,$B$17:$B$77,1))+(G143-INDEX($B$17:$B$77,MATCH(G143,$B$17:$B$77,1)))*(INDEX($C$17:$C$77,MATCH(G143,$B$17:$B$77,1)+1)-INDEX($C$17:$C$77,MATCH(G143,$B$17:$B$77,1)))/(INDEX($B$17:$B$77,MATCH(G143,$B$17:$B$77,1)+1)-INDEX($B$17:$B$77,MATCH(G143,$B$17:$B$77,1))))*G141))))*INDEX(Assumptions!$B:$B,MATCH("DTC demand curve level multiplier",Assumptions!$A$1:$A$257,0)))*G150</f>
        <v>1291.304059984803</v>
      </c>
      <c r="H145" s="70">
        <f t="array" aca="1" ref="H145" ca="1">((IF(H143&lt;=0,0,IF(H143&gt;=INDEX($B$17:$B$77,COUNTA($B$17:$B$77)),INDEX($C$17:$C$77,COUNTA($B$17:$B$77))*H141,IF(H143&lt;INDEX($B$17:$B$77,1),H143/INDEX($B$17:$B$77,1)*INDEX($C$17:$C$77,1)*H141,(INDEX($C$17:$C$77,MATCH(H143,$B$17:$B$77,1))+(H143-INDEX($B$17:$B$77,MATCH(H143,$B$17:$B$77,1)))*(INDEX($C$17:$C$77,MATCH(H143,$B$17:$B$77,1)+1)-INDEX($C$17:$C$77,MATCH(H143,$B$17:$B$77,1)))/(INDEX($B$17:$B$77,MATCH(H143,$B$17:$B$77,1)+1)-INDEX($B$17:$B$77,MATCH(H143,$B$17:$B$77,1))))*H141))))*INDEX(Assumptions!$B:$B,MATCH("DTC demand curve level multiplier",Assumptions!$A$1:$A$257,0)))*H150</f>
        <v>7146.7256672754002</v>
      </c>
      <c r="I145" s="70">
        <f t="array" aca="1" ref="I145" ca="1">((IF(I143&lt;=0,0,IF(I143&gt;=INDEX($B$17:$B$77,COUNTA($B$17:$B$77)),INDEX($C$17:$C$77,COUNTA($B$17:$B$77))*I141,IF(I143&lt;INDEX($B$17:$B$77,1),I143/INDEX($B$17:$B$77,1)*INDEX($C$17:$C$77,1)*I141,(INDEX($C$17:$C$77,MATCH(I143,$B$17:$B$77,1))+(I143-INDEX($B$17:$B$77,MATCH(I143,$B$17:$B$77,1)))*(INDEX($C$17:$C$77,MATCH(I143,$B$17:$B$77,1)+1)-INDEX($C$17:$C$77,MATCH(I143,$B$17:$B$77,1)))/(INDEX($B$17:$B$77,MATCH(I143,$B$17:$B$77,1)+1)-INDEX($B$17:$B$77,MATCH(I143,$B$17:$B$77,1))))*I141))))*INDEX(Assumptions!$B:$B,MATCH("DTC demand curve level multiplier",Assumptions!$A$1:$A$257,0)))*I150</f>
        <v>33355.215712934631</v>
      </c>
      <c r="J145" s="70">
        <f t="array" aca="1" ref="J145" ca="1">((IF(J143&lt;=0,0,IF(J143&gt;=INDEX($B$17:$B$77,COUNTA($B$17:$B$77)),INDEX($C$17:$C$77,COUNTA($B$17:$B$77))*J141,IF(J143&lt;INDEX($B$17:$B$77,1),J143/INDEX($B$17:$B$77,1)*INDEX($C$17:$C$77,1)*J141,(INDEX($C$17:$C$77,MATCH(J143,$B$17:$B$77,1))+(J143-INDEX($B$17:$B$77,MATCH(J143,$B$17:$B$77,1)))*(INDEX($C$17:$C$77,MATCH(J143,$B$17:$B$77,1)+1)-INDEX($C$17:$C$77,MATCH(J143,$B$17:$B$77,1)))/(INDEX($B$17:$B$77,MATCH(J143,$B$17:$B$77,1)+1)-INDEX($B$17:$B$77,MATCH(J143,$B$17:$B$77,1))))*J141))))*INDEX(Assumptions!$B:$B,MATCH("DTC demand curve level multiplier",Assumptions!$A$1:$A$257,0)))*J150</f>
        <v>41028.563376820799</v>
      </c>
      <c r="K145" s="70">
        <f t="array" aca="1" ref="K145" ca="1">((IF(K143&lt;=0,0,IF(K143&gt;=INDEX($B$17:$B$77,COUNTA($B$17:$B$77)),INDEX($C$17:$C$77,COUNTA($B$17:$B$77))*K141,IF(K143&lt;INDEX($B$17:$B$77,1),K143/INDEX($B$17:$B$77,1)*INDEX($C$17:$C$77,1)*K141,(INDEX($C$17:$C$77,MATCH(K143,$B$17:$B$77,1))+(K143-INDEX($B$17:$B$77,MATCH(K143,$B$17:$B$77,1)))*(INDEX($C$17:$C$77,MATCH(K143,$B$17:$B$77,1)+1)-INDEX($C$17:$C$77,MATCH(K143,$B$17:$B$77,1)))/(INDEX($B$17:$B$77,MATCH(K143,$B$17:$B$77,1)+1)-INDEX($B$17:$B$77,MATCH(K143,$B$17:$B$77,1))))*K141))))*INDEX(Assumptions!$B:$B,MATCH("DTC demand curve level multiplier",Assumptions!$A$1:$A$257,0)))*K150</f>
        <v>49505.312909445536</v>
      </c>
      <c r="L145" s="70">
        <f t="array" aca="1" ref="L145" ca="1">((IF(L143&lt;=0,0,IF(L143&gt;=INDEX($B$17:$B$77,COUNTA($B$17:$B$77)),INDEX($C$17:$C$77,COUNTA($B$17:$B$77))*L141,IF(L143&lt;INDEX($B$17:$B$77,1),L143/INDEX($B$17:$B$77,1)*INDEX($C$17:$C$77,1)*L141,(INDEX($C$17:$C$77,MATCH(L143,$B$17:$B$77,1))+(L143-INDEX($B$17:$B$77,MATCH(L143,$B$17:$B$77,1)))*(INDEX($C$17:$C$77,MATCH(L143,$B$17:$B$77,1)+1)-INDEX($C$17:$C$77,MATCH(L143,$B$17:$B$77,1)))/(INDEX($B$17:$B$77,MATCH(L143,$B$17:$B$77,1)+1)-INDEX($B$17:$B$77,MATCH(L143,$B$17:$B$77,1))))*L141))))*INDEX(Assumptions!$B:$B,MATCH("DTC demand curve level multiplier",Assumptions!$A$1:$A$257,0)))*L150</f>
        <v>50852.957538647112</v>
      </c>
      <c r="M145" s="70">
        <f t="array" aca="1" ref="M145" ca="1">((IF(M143&lt;=0,0,IF(M143&gt;=INDEX($B$17:$B$77,COUNTA($B$17:$B$77)),INDEX($C$17:$C$77,COUNTA($B$17:$B$77))*M141,IF(M143&lt;INDEX($B$17:$B$77,1),M143/INDEX($B$17:$B$77,1)*INDEX($C$17:$C$77,1)*M141,(INDEX($C$17:$C$77,MATCH(M143,$B$17:$B$77,1))+(M143-INDEX($B$17:$B$77,MATCH(M143,$B$17:$B$77,1)))*(INDEX($C$17:$C$77,MATCH(M143,$B$17:$B$77,1)+1)-INDEX($C$17:$C$77,MATCH(M143,$B$17:$B$77,1)))/(INDEX($B$17:$B$77,MATCH(M143,$B$17:$B$77,1)+1)-INDEX($B$17:$B$77,MATCH(M143,$B$17:$B$77,1))))*M141))))*INDEX(Assumptions!$B:$B,MATCH("DTC demand curve level multiplier",Assumptions!$A$1:$A$257,0)))*M150</f>
        <v>52180.784763267351</v>
      </c>
      <c r="N145" s="70">
        <f t="array" aca="1" ref="N145" ca="1">((IF(N143&lt;=0,0,IF(N143&gt;=INDEX($B$17:$B$77,COUNTA($B$17:$B$77)),INDEX($C$17:$C$77,COUNTA($B$17:$B$77))*N141,IF(N143&lt;INDEX($B$17:$B$77,1),N143/INDEX($B$17:$B$77,1)*INDEX($C$17:$C$77,1)*N141,(INDEX($C$17:$C$77,MATCH(N143,$B$17:$B$77,1))+(N143-INDEX($B$17:$B$77,MATCH(N143,$B$17:$B$77,1)))*(INDEX($C$17:$C$77,MATCH(N143,$B$17:$B$77,1)+1)-INDEX($C$17:$C$77,MATCH(N143,$B$17:$B$77,1)))/(INDEX($B$17:$B$77,MATCH(N143,$B$17:$B$77,1)+1)-INDEX($B$17:$B$77,MATCH(N143,$B$17:$B$77,1))))*N141))))*INDEX(Assumptions!$B:$B,MATCH("DTC demand curve level multiplier",Assumptions!$A$1:$A$257,0)))*N150</f>
        <v>53485.30438234903</v>
      </c>
      <c r="O145" s="70">
        <f t="array" aca="1" ref="O145" ca="1">((IF(O143&lt;=0,0,IF(O143&gt;=INDEX($B$17:$B$77,COUNTA($B$17:$B$77)),INDEX($C$17:$C$77,COUNTA($B$17:$B$77))*O141,IF(O143&lt;INDEX($B$17:$B$77,1),O143/INDEX($B$17:$B$77,1)*INDEX($C$17:$C$77,1)*O141,(INDEX($C$17:$C$77,MATCH(O143,$B$17:$B$77,1))+(O143-INDEX($B$17:$B$77,MATCH(O143,$B$17:$B$77,1)))*(INDEX($C$17:$C$77,MATCH(O143,$B$17:$B$77,1)+1)-INDEX($C$17:$C$77,MATCH(O143,$B$17:$B$77,1)))/(INDEX($B$17:$B$77,MATCH(O143,$B$17:$B$77,1)+1)-INDEX($B$17:$B$77,MATCH(O143,$B$17:$B$77,1))))*O141))))*INDEX(Assumptions!$B:$B,MATCH("DTC demand curve level multiplier",Assumptions!$A$1:$A$257,0)))*O150</f>
        <v>54822.436991907751</v>
      </c>
      <c r="P145" s="70">
        <f t="array" aca="1" ref="P145" ca="1">((IF(P143&lt;=0,0,IF(P143&gt;=INDEX($B$17:$B$77,COUNTA($B$17:$B$77)),INDEX($C$17:$C$77,COUNTA($B$17:$B$77))*P141,IF(P143&lt;INDEX($B$17:$B$77,1),P143/INDEX($B$17:$B$77,1)*INDEX($C$17:$C$77,1)*P141,(INDEX($C$17:$C$77,MATCH(P143,$B$17:$B$77,1))+(P143-INDEX($B$17:$B$77,MATCH(P143,$B$17:$B$77,1)))*(INDEX($C$17:$C$77,MATCH(P143,$B$17:$B$77,1)+1)-INDEX($C$17:$C$77,MATCH(P143,$B$17:$B$77,1)))/(INDEX($B$17:$B$77,MATCH(P143,$B$17:$B$77,1)+1)-INDEX($B$17:$B$77,MATCH(P143,$B$17:$B$77,1))))*P141))))*INDEX(Assumptions!$B:$B,MATCH("DTC demand curve level multiplier",Assumptions!$A$1:$A$257,0)))*P150</f>
        <v>56192.997916705433</v>
      </c>
      <c r="Q145" s="70">
        <f t="array" aca="1" ref="Q145" ca="1">((IF(Q143&lt;=0,0,IF(Q143&gt;=INDEX($B$17:$B$77,COUNTA($B$17:$B$77)),INDEX($C$17:$C$77,COUNTA($B$17:$B$77))*Q141,IF(Q143&lt;INDEX($B$17:$B$77,1),Q143/INDEX($B$17:$B$77,1)*INDEX($C$17:$C$77,1)*Q141,(INDEX($C$17:$C$77,MATCH(Q143,$B$17:$B$77,1))+(Q143-INDEX($B$17:$B$77,MATCH(Q143,$B$17:$B$77,1)))*(INDEX($C$17:$C$77,MATCH(Q143,$B$17:$B$77,1)+1)-INDEX($C$17:$C$77,MATCH(Q143,$B$17:$B$77,1)))/(INDEX($B$17:$B$77,MATCH(Q143,$B$17:$B$77,1)+1)-INDEX($B$17:$B$77,MATCH(Q143,$B$17:$B$77,1))))*Q141))))*INDEX(Assumptions!$B:$B,MATCH("DTC demand curve level multiplier",Assumptions!$A$1:$A$257,0)))*Q150</f>
        <v>57597.822864623071</v>
      </c>
      <c r="R145" s="70">
        <f t="array" aca="1" ref="R145" ca="1">((IF(R143&lt;=0,0,IF(R143&gt;=INDEX($B$17:$B$77,COUNTA($B$17:$B$77)),INDEX($C$17:$C$77,COUNTA($B$17:$B$77))*R141,IF(R143&lt;INDEX($B$17:$B$77,1),R143/INDEX($B$17:$B$77,1)*INDEX($C$17:$C$77,1)*R141,(INDEX($C$17:$C$77,MATCH(R143,$B$17:$B$77,1))+(R143-INDEX($B$17:$B$77,MATCH(R143,$B$17:$B$77,1)))*(INDEX($C$17:$C$77,MATCH(R143,$B$17:$B$77,1)+1)-INDEX($C$17:$C$77,MATCH(R143,$B$17:$B$77,1)))/(INDEX($B$17:$B$77,MATCH(R143,$B$17:$B$77,1)+1)-INDEX($B$17:$B$77,MATCH(R143,$B$17:$B$77,1))))*R141))))*INDEX(Assumptions!$B:$B,MATCH("DTC demand curve level multiplier",Assumptions!$A$1:$A$257,0)))*R150</f>
        <v>59037.768436238635</v>
      </c>
      <c r="S145" s="70">
        <f t="array" aca="1" ref="S145" ca="1">((IF(S143&lt;=0,0,IF(S143&gt;=INDEX($B$17:$B$77,COUNTA($B$17:$B$77)),INDEX($C$17:$C$77,COUNTA($B$17:$B$77))*S141,IF(S143&lt;INDEX($B$17:$B$77,1),S143/INDEX($B$17:$B$77,1)*INDEX($C$17:$C$77,1)*S141,(INDEX($C$17:$C$77,MATCH(S143,$B$17:$B$77,1))+(S143-INDEX($B$17:$B$77,MATCH(S143,$B$17:$B$77,1)))*(INDEX($C$17:$C$77,MATCH(S143,$B$17:$B$77,1)+1)-INDEX($C$17:$C$77,MATCH(S143,$B$17:$B$77,1)))/(INDEX($B$17:$B$77,MATCH(S143,$B$17:$B$77,1)+1)-INDEX($B$17:$B$77,MATCH(S143,$B$17:$B$77,1))))*S141))))*INDEX(Assumptions!$B:$B,MATCH("DTC demand curve level multiplier",Assumptions!$A$1:$A$257,0)))*S150</f>
        <v>60513.712647144595</v>
      </c>
    </row>
    <row r="146" spans="1:19">
      <c r="A146" s="16" t="s">
        <v>955</v>
      </c>
      <c r="B146" s="3"/>
      <c r="C146" s="3"/>
      <c r="D146" s="71">
        <f t="shared" ref="D146:S146" si="1">IFERROR(D144*1000000/D142,0)</f>
        <v>13740.780937637996</v>
      </c>
      <c r="E146" s="71">
        <f t="shared" ca="1" si="1"/>
        <v>12352.493416386587</v>
      </c>
      <c r="F146" s="71">
        <f t="shared" ca="1" si="1"/>
        <v>8072.9201976505774</v>
      </c>
      <c r="G146" s="71">
        <f t="shared" ca="1" si="1"/>
        <v>5788.549437116144</v>
      </c>
      <c r="H146" s="71">
        <f t="shared" ca="1" si="1"/>
        <v>3739.5549197276328</v>
      </c>
      <c r="I146" s="71">
        <f t="shared" ca="1" si="1"/>
        <v>3275.3092242814528</v>
      </c>
      <c r="J146" s="71">
        <f t="shared" ca="1" si="1"/>
        <v>2528.8541778813092</v>
      </c>
      <c r="K146" s="71">
        <f t="shared" ca="1" si="1"/>
        <v>2360.4980544099908</v>
      </c>
      <c r="L146" s="71">
        <f t="shared" ca="1" si="1"/>
        <v>2512.480475984039</v>
      </c>
      <c r="M146" s="71">
        <f t="shared" ca="1" si="1"/>
        <v>2601.0249158091065</v>
      </c>
      <c r="N146" s="71">
        <f t="shared" ca="1" si="1"/>
        <v>2156.8567118714786</v>
      </c>
      <c r="O146" s="71">
        <f t="shared" ca="1" si="1"/>
        <v>1683.9554494063086</v>
      </c>
      <c r="P146" s="71">
        <f t="shared" ca="1" si="1"/>
        <v>1453.0804312026842</v>
      </c>
      <c r="Q146" s="71">
        <f t="shared" ca="1" si="1"/>
        <v>1339.9262130672357</v>
      </c>
      <c r="R146" s="71">
        <f t="shared" ca="1" si="1"/>
        <v>1411.2328064969913</v>
      </c>
      <c r="S146" s="71">
        <f t="shared" ca="1" si="1"/>
        <v>1612.687936168513</v>
      </c>
    </row>
    <row r="147" spans="1:19">
      <c r="A147" s="16" t="s">
        <v>956</v>
      </c>
      <c r="B147" s="3"/>
      <c r="C147" s="3"/>
      <c r="D147" s="29">
        <f t="shared" ref="D147:S147" si="2">IFERROR(D145*1000000/D143,0)</f>
        <v>1094104.6481597435</v>
      </c>
      <c r="E147" s="29">
        <f t="shared" si="2"/>
        <v>1375055.0917407633</v>
      </c>
      <c r="F147" s="29">
        <f t="shared" ca="1" si="2"/>
        <v>1672541.0806094704</v>
      </c>
      <c r="G147" s="29">
        <f t="shared" ca="1" si="2"/>
        <v>1986770.7735489858</v>
      </c>
      <c r="H147" s="29">
        <f t="shared" ca="1" si="2"/>
        <v>2316196.7564708241</v>
      </c>
      <c r="I147" s="29">
        <f t="shared" ca="1" si="2"/>
        <v>982807.66619367176</v>
      </c>
      <c r="J147" s="29">
        <f t="shared" ca="1" si="2"/>
        <v>736820.10043284611</v>
      </c>
      <c r="K147" s="29">
        <f t="shared" ca="1" si="2"/>
        <v>509900.66416871134</v>
      </c>
      <c r="L147" s="29">
        <f t="shared" ca="1" si="2"/>
        <v>439010.17250908137</v>
      </c>
      <c r="M147" s="29">
        <f t="shared" ca="1" si="2"/>
        <v>351651.60633474478</v>
      </c>
      <c r="N147" s="29">
        <f t="shared" ca="1" si="2"/>
        <v>340099.7981084077</v>
      </c>
      <c r="O147" s="29">
        <f t="shared" ca="1" si="2"/>
        <v>289734.60862844205</v>
      </c>
      <c r="P147" s="29">
        <f t="shared" ca="1" si="2"/>
        <v>309890.67105871049</v>
      </c>
      <c r="Q147" s="29">
        <f t="shared" ca="1" si="2"/>
        <v>313458.5999729468</v>
      </c>
      <c r="R147" s="29">
        <f t="shared" ca="1" si="2"/>
        <v>369073.43195149244</v>
      </c>
      <c r="S147" s="29">
        <f t="shared" ca="1" si="2"/>
        <v>449845.42872844427</v>
      </c>
    </row>
    <row r="148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25" t="s">
        <v>957</v>
      </c>
      <c r="B149" s="3"/>
      <c r="C149" s="3"/>
      <c r="D149" s="30">
        <v>0</v>
      </c>
      <c r="E149" s="72">
        <f>Assumptions!$B$4+(Assumptions!$B$5-Assumptions!$B$4)*MIN(E$5-1,Assumptions!$B$343-1)/(Assumptions!$B$343-1)</f>
        <v>3.5000000000000003E-2</v>
      </c>
      <c r="F149" s="72">
        <f>Assumptions!$B$4+(Assumptions!$B$5-Assumptions!$B$4)*MIN(F$5-1,Assumptions!$B$343-1)/(Assumptions!$B$343-1)</f>
        <v>3.3888888888888892E-2</v>
      </c>
      <c r="G149" s="72">
        <f>Assumptions!$B$4+(Assumptions!$B$5-Assumptions!$B$4)*MIN(G$5-1,Assumptions!$B$343-1)/(Assumptions!$B$343-1)</f>
        <v>3.2777777777777781E-2</v>
      </c>
      <c r="H149" s="72">
        <f>Assumptions!$B$4+(Assumptions!$B$5-Assumptions!$B$4)*MIN(H$5-1,Assumptions!$B$343-1)/(Assumptions!$B$343-1)</f>
        <v>3.1666666666666669E-2</v>
      </c>
      <c r="I149" s="72">
        <f>Assumptions!$B$4+(Assumptions!$B$5-Assumptions!$B$4)*MIN(I$5-1,Assumptions!$B$343-1)/(Assumptions!$B$343-1)</f>
        <v>3.0555555555555558E-2</v>
      </c>
      <c r="J149" s="72">
        <f>Assumptions!$B$4+(Assumptions!$B$5-Assumptions!$B$4)*MIN(J$5-1,Assumptions!$B$343-1)/(Assumptions!$B$343-1)</f>
        <v>2.9444444444444447E-2</v>
      </c>
      <c r="K149" s="72">
        <f>Assumptions!$B$4+(Assumptions!$B$5-Assumptions!$B$4)*MIN(K$5-1,Assumptions!$B$343-1)/(Assumptions!$B$343-1)</f>
        <v>2.8333333333333335E-2</v>
      </c>
      <c r="L149" s="72">
        <f>Assumptions!$B$4+(Assumptions!$B$5-Assumptions!$B$4)*MIN(L$5-1,Assumptions!$B$343-1)/(Assumptions!$B$343-1)</f>
        <v>2.7222222222222224E-2</v>
      </c>
      <c r="M149" s="72">
        <f>Assumptions!$B$4+(Assumptions!$B$5-Assumptions!$B$4)*MIN(M$5-1,Assumptions!$B$343-1)/(Assumptions!$B$343-1)</f>
        <v>2.6111111111111113E-2</v>
      </c>
      <c r="N149" s="72">
        <f>Assumptions!$B$4+(Assumptions!$B$5-Assumptions!$B$4)*MIN(N$5-1,Assumptions!$B$343-1)/(Assumptions!$B$343-1)</f>
        <v>2.5000000000000001E-2</v>
      </c>
      <c r="O149" s="72">
        <f>Assumptions!$B$4+(Assumptions!$B$5-Assumptions!$B$4)*MIN(O$5-1,Assumptions!$B$343-1)/(Assumptions!$B$343-1)</f>
        <v>2.5000000000000001E-2</v>
      </c>
      <c r="P149" s="72">
        <f>Assumptions!$B$4+(Assumptions!$B$5-Assumptions!$B$4)*MIN(P$5-1,Assumptions!$B$343-1)/(Assumptions!$B$343-1)</f>
        <v>2.5000000000000001E-2</v>
      </c>
      <c r="Q149" s="72">
        <f>Assumptions!$B$4+(Assumptions!$B$5-Assumptions!$B$4)*MIN(Q$5-1,Assumptions!$B$343-1)/(Assumptions!$B$343-1)</f>
        <v>2.5000000000000001E-2</v>
      </c>
      <c r="R149" s="72">
        <f>Assumptions!$B$4+(Assumptions!$B$5-Assumptions!$B$4)*MIN(R$5-1,Assumptions!$B$343-1)/(Assumptions!$B$343-1)</f>
        <v>2.5000000000000001E-2</v>
      </c>
      <c r="S149" s="72">
        <f>Assumptions!$B$4+(Assumptions!$B$5-Assumptions!$B$4)*MIN(S$5-1,Assumptions!$B$343-1)/(Assumptions!$B$343-1)</f>
        <v>2.5000000000000001E-2</v>
      </c>
    </row>
    <row r="150" spans="1:19">
      <c r="A150" s="25" t="s">
        <v>958</v>
      </c>
      <c r="B150" s="3"/>
      <c r="C150" s="3"/>
      <c r="D150" s="38">
        <v>1</v>
      </c>
      <c r="E150" s="73">
        <f>1+(Assumptions!$B$347-1)*MIN(E$5,Assumptions!$B$348)/Assumptions!$B$348</f>
        <v>1.2142857142857142</v>
      </c>
      <c r="F150" s="73">
        <f>1+(Assumptions!$B$347-1)*MIN(F$5,Assumptions!$B$348)/Assumptions!$B$348</f>
        <v>1.4285714285714286</v>
      </c>
      <c r="G150" s="73">
        <f>1+(Assumptions!$B$347-1)*MIN(G$5,Assumptions!$B$348)/Assumptions!$B$348</f>
        <v>1.6428571428571428</v>
      </c>
      <c r="H150" s="73">
        <f>1+(Assumptions!$B$347-1)*MIN(H$5,Assumptions!$B$348)/Assumptions!$B$348</f>
        <v>1.8571428571428572</v>
      </c>
      <c r="I150" s="73">
        <f>1+(Assumptions!$B$347-1)*MIN(I$5,Assumptions!$B$348)/Assumptions!$B$348</f>
        <v>2.0714285714285712</v>
      </c>
      <c r="J150" s="73">
        <f>1+(Assumptions!$B$347-1)*MIN(J$5,Assumptions!$B$348)/Assumptions!$B$348</f>
        <v>2.2857142857142856</v>
      </c>
      <c r="K150" s="73">
        <f>1+(Assumptions!$B$347-1)*MIN(K$5,Assumptions!$B$348)/Assumptions!$B$348</f>
        <v>2.5</v>
      </c>
      <c r="L150" s="73">
        <f>1+(Assumptions!$B$347-1)*MIN(L$5,Assumptions!$B$348)/Assumptions!$B$348</f>
        <v>2.5</v>
      </c>
      <c r="M150" s="73">
        <f>1+(Assumptions!$B$347-1)*MIN(M$5,Assumptions!$B$348)/Assumptions!$B$348</f>
        <v>2.5</v>
      </c>
      <c r="N150" s="73">
        <f>1+(Assumptions!$B$347-1)*MIN(N$5,Assumptions!$B$348)/Assumptions!$B$348</f>
        <v>2.5</v>
      </c>
      <c r="O150" s="73">
        <f>1+(Assumptions!$B$347-1)*MIN(O$5,Assumptions!$B$348)/Assumptions!$B$348</f>
        <v>2.5</v>
      </c>
      <c r="P150" s="73">
        <f>1+(Assumptions!$B$347-1)*MIN(P$5,Assumptions!$B$348)/Assumptions!$B$348</f>
        <v>2.5</v>
      </c>
      <c r="Q150" s="73">
        <f>1+(Assumptions!$B$347-1)*MIN(Q$5,Assumptions!$B$348)/Assumptions!$B$348</f>
        <v>2.5</v>
      </c>
      <c r="R150" s="73">
        <f>1+(Assumptions!$B$347-1)*MIN(R$5,Assumptions!$B$348)/Assumptions!$B$348</f>
        <v>2.5</v>
      </c>
      <c r="S150" s="73">
        <f>1+(Assumptions!$B$347-1)*MIN(S$5,Assumptions!$B$348)/Assumptions!$B$348</f>
        <v>2.5</v>
      </c>
    </row>
    <row r="151" spans="1:19">
      <c r="A151" s="5" t="s">
        <v>959</v>
      </c>
      <c r="B151" s="3"/>
      <c r="C151" s="3"/>
      <c r="D151" s="38">
        <v>1</v>
      </c>
      <c r="E151" s="73">
        <f>1+(Assumptions!$B$363-1)*MIN(E$5,Assumptions!$B$364)/Assumptions!$B$364</f>
        <v>1</v>
      </c>
      <c r="F151" s="73">
        <f>1+(Assumptions!$B$363-1)*MIN(F$5,Assumptions!$B$364)/Assumptions!$B$364</f>
        <v>1</v>
      </c>
      <c r="G151" s="73">
        <f>1+(Assumptions!$B$363-1)*MIN(G$5,Assumptions!$B$364)/Assumptions!$B$364</f>
        <v>1</v>
      </c>
      <c r="H151" s="73">
        <f>1+(Assumptions!$B$363-1)*MIN(H$5,Assumptions!$B$364)/Assumptions!$B$364</f>
        <v>1</v>
      </c>
      <c r="I151" s="73">
        <f>1+(Assumptions!$B$363-1)*MIN(I$5,Assumptions!$B$364)/Assumptions!$B$364</f>
        <v>1</v>
      </c>
      <c r="J151" s="73">
        <f>1+(Assumptions!$B$363-1)*MIN(J$5,Assumptions!$B$364)/Assumptions!$B$364</f>
        <v>1</v>
      </c>
      <c r="K151" s="73">
        <f>1+(Assumptions!$B$363-1)*MIN(K$5,Assumptions!$B$364)/Assumptions!$B$364</f>
        <v>1</v>
      </c>
      <c r="L151" s="73">
        <f>1+(Assumptions!$B$363-1)*MIN(L$5,Assumptions!$B$364)/Assumptions!$B$364</f>
        <v>1</v>
      </c>
      <c r="M151" s="73">
        <f>1+(Assumptions!$B$363-1)*MIN(M$5,Assumptions!$B$364)/Assumptions!$B$364</f>
        <v>1</v>
      </c>
      <c r="N151" s="73">
        <f>1+(Assumptions!$B$363-1)*MIN(N$5,Assumptions!$B$364)/Assumptions!$B$364</f>
        <v>1</v>
      </c>
      <c r="O151" s="73">
        <f>1+(Assumptions!$B$363-1)*MIN(O$5,Assumptions!$B$364)/Assumptions!$B$364</f>
        <v>1</v>
      </c>
      <c r="P151" s="73">
        <f>1+(Assumptions!$B$363-1)*MIN(P$5,Assumptions!$B$364)/Assumptions!$B$364</f>
        <v>1</v>
      </c>
      <c r="Q151" s="73">
        <f>1+(Assumptions!$B$363-1)*MIN(Q$5,Assumptions!$B$364)/Assumptions!$B$364</f>
        <v>1</v>
      </c>
      <c r="R151" s="73">
        <f>1+(Assumptions!$B$363-1)*MIN(R$5,Assumptions!$B$364)/Assumptions!$B$364</f>
        <v>1</v>
      </c>
      <c r="S151" s="73">
        <f>1+(Assumptions!$B$363-1)*MIN(S$5,Assumptions!$B$364)/Assumptions!$B$364</f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4"/>
  <sheetViews>
    <sheetView showGridLines="0" zoomScale="162" zoomScaleNormal="162" workbookViewId="0">
      <pane xSplit="1" ySplit="5" topLeftCell="B181" activePane="bottomRight" state="frozen"/>
      <selection pane="topRight" activeCell="B1" sqref="B1"/>
      <selection pane="bottomLeft" activeCell="A181" sqref="A181"/>
      <selection pane="bottomRight" activeCell="G209" sqref="G209"/>
    </sheetView>
  </sheetViews>
  <sheetFormatPr baseColWidth="10" defaultColWidth="10.6640625" defaultRowHeight="16"/>
  <cols>
    <col min="1" max="1" width="53.33203125" customWidth="1"/>
  </cols>
  <sheetData>
    <row r="1" spans="1:19" ht="21.75" customHeight="1">
      <c r="A1" s="74" t="s">
        <v>960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64"/>
      <c r="B4" s="64"/>
      <c r="C4" s="64"/>
      <c r="D4" s="75">
        <v>2025</v>
      </c>
      <c r="E4" s="75">
        <v>2026</v>
      </c>
      <c r="F4" s="75">
        <v>2027</v>
      </c>
      <c r="G4" s="75">
        <v>2028</v>
      </c>
      <c r="H4" s="75">
        <v>2029</v>
      </c>
      <c r="I4" s="75">
        <v>2030</v>
      </c>
      <c r="J4" s="75">
        <v>2031</v>
      </c>
      <c r="K4" s="75">
        <v>2032</v>
      </c>
      <c r="L4" s="75">
        <v>2033</v>
      </c>
      <c r="M4" s="75">
        <v>2034</v>
      </c>
      <c r="N4" s="75">
        <v>2035</v>
      </c>
      <c r="O4" s="75">
        <v>2036</v>
      </c>
      <c r="P4" s="75">
        <v>2037</v>
      </c>
      <c r="Q4" s="75">
        <v>2038</v>
      </c>
      <c r="R4" s="75">
        <v>2039</v>
      </c>
      <c r="S4" s="75">
        <v>2040</v>
      </c>
    </row>
    <row r="5" spans="1:19">
      <c r="A5" s="66"/>
      <c r="B5" s="66"/>
      <c r="C5" s="66"/>
      <c r="D5" s="76">
        <v>0</v>
      </c>
      <c r="E5" s="76">
        <v>1</v>
      </c>
      <c r="F5" s="76">
        <v>2</v>
      </c>
      <c r="G5" s="76">
        <v>3</v>
      </c>
      <c r="H5" s="76">
        <v>4</v>
      </c>
      <c r="I5" s="76">
        <v>5</v>
      </c>
      <c r="J5" s="76">
        <v>6</v>
      </c>
      <c r="K5" s="76">
        <v>7</v>
      </c>
      <c r="L5" s="76">
        <v>8</v>
      </c>
      <c r="M5" s="76">
        <v>9</v>
      </c>
      <c r="N5" s="76">
        <v>10</v>
      </c>
      <c r="O5" s="76">
        <v>11</v>
      </c>
      <c r="P5" s="76">
        <v>12</v>
      </c>
      <c r="Q5" s="76">
        <v>13</v>
      </c>
      <c r="R5" s="76">
        <v>14</v>
      </c>
      <c r="S5" s="76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13" t="s">
        <v>961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>
      <c r="A11" s="5" t="s">
        <v>953</v>
      </c>
      <c r="B11" s="3"/>
      <c r="C11" s="3"/>
      <c r="D11" s="42">
        <f t="array" ref="D11">INDEX('Demand Curves'!$D:$AC, MATCH("Starlink BB Revenue from curve ($mm)", 'Demand Curves'!$A$1:$A$167, 0), COLUMN()-COLUMN($D11)+1)</f>
        <v>6721.2205509599999</v>
      </c>
      <c r="E11" s="42">
        <f t="array" aca="1" ref="E11" ca="1">INDEX('Demand Curves'!$D:$AC, MATCH("Starlink BB Revenue from curve ($mm)", 'Demand Curves'!$A$1:$A$167, 0), COLUMN()-COLUMN($D11)+1)</f>
        <v>9347.5764579427196</v>
      </c>
      <c r="F11" s="42">
        <f t="array" aca="1" ref="F11" ca="1">INDEX('Demand Curves'!$D:$AC, MATCH("Starlink BB Revenue from curve ($mm)", 'Demand Curves'!$A$1:$A$167, 0), COLUMN()-COLUMN($D11)+1)</f>
        <v>37555.656203182523</v>
      </c>
      <c r="G11" s="42">
        <f t="array" aca="1" ref="G11" ca="1">INDEX('Demand Curves'!$D:$AC, MATCH("Starlink BB Revenue from curve ($mm)", 'Demand Curves'!$A$1:$A$167, 0), COLUMN()-COLUMN($D11)+1)</f>
        <v>80517.710459057387</v>
      </c>
      <c r="H11" s="42">
        <f t="array" aca="1" ref="H11" ca="1">INDEX('Demand Curves'!$D:$AC, MATCH("Starlink BB Revenue from curve ($mm)", 'Demand Curves'!$A$1:$A$167, 0), COLUMN()-COLUMN($D11)+1)</f>
        <v>141004.9251646639</v>
      </c>
      <c r="I11" s="42">
        <f t="array" aca="1" ref="I11" ca="1">INDEX('Demand Curves'!$D:$AC, MATCH("Starlink BB Revenue from curve ($mm)", 'Demand Curves'!$A$1:$A$167, 0), COLUMN()-COLUMN($D11)+1)</f>
        <v>172279.31942254707</v>
      </c>
      <c r="J11" s="42">
        <f t="array" aca="1" ref="J11" ca="1">INDEX('Demand Curves'!$D:$AC, MATCH("Starlink BB Revenue from curve ($mm)", 'Demand Curves'!$A$1:$A$167, 0), COLUMN()-COLUMN($D11)+1)</f>
        <v>205461.29949117481</v>
      </c>
      <c r="K11" s="42">
        <f t="array" aca="1" ref="K11" ca="1">INDEX('Demand Curves'!$D:$AC, MATCH("Starlink BB Revenue from curve ($mm)", 'Demand Curves'!$A$1:$A$167, 0), COLUMN()-COLUMN($D11)+1)</f>
        <v>221249.48590536017</v>
      </c>
      <c r="L11" s="42">
        <f t="array" aca="1" ref="L11" ca="1">INDEX('Demand Curves'!$D:$AC, MATCH("Starlink BB Revenue from curve ($mm)", 'Demand Curves'!$A$1:$A$167, 0), COLUMN()-COLUMN($D11)+1)</f>
        <v>224066.82891058811</v>
      </c>
      <c r="M11" s="42">
        <f t="array" aca="1" ref="M11" ca="1">INDEX('Demand Curves'!$D:$AC, MATCH("Starlink BB Revenue from curve ($mm)", 'Demand Curves'!$A$1:$A$167, 0), COLUMN()-COLUMN($D11)+1)</f>
        <v>228869.55544763539</v>
      </c>
      <c r="N11" s="42">
        <f t="array" aca="1" ref="N11" ca="1">INDEX('Demand Curves'!$D:$AC, MATCH("Starlink BB Revenue from curve ($mm)", 'Demand Curves'!$A$1:$A$167, 0), COLUMN()-COLUMN($D11)+1)</f>
        <v>248894.6109653106</v>
      </c>
      <c r="O11" s="42">
        <f t="array" aca="1" ref="O11" ca="1">INDEX('Demand Curves'!$D:$AC, MATCH("Starlink BB Revenue from curve ($mm)", 'Demand Curves'!$A$1:$A$167, 0), COLUMN()-COLUMN($D11)+1)</f>
        <v>269722.60806762066</v>
      </c>
      <c r="P11" s="42">
        <f t="array" aca="1" ref="P11" ca="1">INDEX('Demand Curves'!$D:$AC, MATCH("Starlink BB Revenue from curve ($mm)", 'Demand Curves'!$A$1:$A$167, 0), COLUMN()-COLUMN($D11)+1)</f>
        <v>284212.28690727014</v>
      </c>
      <c r="Q11" s="42">
        <f t="array" aca="1" ref="Q11" ca="1">INDEX('Demand Curves'!$D:$AC, MATCH("Starlink BB Revenue from curve ($mm)", 'Demand Curves'!$A$1:$A$167, 0), COLUMN()-COLUMN($D11)+1)</f>
        <v>296196.67879318225</v>
      </c>
      <c r="R11" s="42">
        <f t="array" aca="1" ref="R11" ca="1">INDEX('Demand Curves'!$D:$AC, MATCH("Starlink BB Revenue from curve ($mm)", 'Demand Curves'!$A$1:$A$167, 0), COLUMN()-COLUMN($D11)+1)</f>
        <v>302326.03887434199</v>
      </c>
      <c r="S11" s="42">
        <f t="array" aca="1" ref="S11" ca="1">INDEX('Demand Curves'!$D:$AC, MATCH("Starlink BB Revenue from curve ($mm)", 'Demand Curves'!$A$1:$A$167, 0), COLUMN()-COLUMN($D11)+1)</f>
        <v>304575.98769235431</v>
      </c>
    </row>
    <row r="12" spans="1:19">
      <c r="A12" s="5" t="s">
        <v>954</v>
      </c>
      <c r="B12" s="3"/>
      <c r="C12" s="3"/>
      <c r="D12" s="42">
        <f t="array" ref="D12">INDEX('Demand Curves'!$D:$AC, MATCH("Starlink DTC Revenue from curve ($mm)", 'Demand Curves'!$A$1:$A$167, 0), COLUMN()-COLUMN($D12)+1)</f>
        <v>632.07519628836553</v>
      </c>
      <c r="E12" s="42">
        <f t="array" ref="E12">INDEX('Demand Curves'!$D:$AC, MATCH("Starlink DTC Revenue from curve ($mm)", 'Demand Curves'!$A$1:$A$167, 0), COLUMN()-COLUMN($D12)+1)</f>
        <v>794.38307704955639</v>
      </c>
      <c r="F12" s="42">
        <f t="array" aca="1" ref="F12" ca="1">INDEX('Demand Curves'!$D:$AC, MATCH("Starlink DTC Revenue from curve ($mm)", 'Demand Curves'!$A$1:$A$167, 0), COLUMN()-COLUMN($D12)+1)</f>
        <v>969.01978804946725</v>
      </c>
      <c r="G12" s="42">
        <f t="array" aca="1" ref="G12" ca="1">INDEX('Demand Curves'!$D:$AC, MATCH("Starlink DTC Revenue from curve ($mm)", 'Demand Curves'!$A$1:$A$167, 0), COLUMN()-COLUMN($D12)+1)</f>
        <v>1291.304059984803</v>
      </c>
      <c r="H12" s="42">
        <f t="array" aca="1" ref="H12" ca="1">INDEX('Demand Curves'!$D:$AC, MATCH("Starlink DTC Revenue from curve ($mm)", 'Demand Curves'!$A$1:$A$167, 0), COLUMN()-COLUMN($D12)+1)</f>
        <v>7146.7256672754002</v>
      </c>
      <c r="I12" s="42">
        <f t="array" aca="1" ref="I12" ca="1">INDEX('Demand Curves'!$D:$AC, MATCH("Starlink DTC Revenue from curve ($mm)", 'Demand Curves'!$A$1:$A$167, 0), COLUMN()-COLUMN($D12)+1)</f>
        <v>33355.215712934631</v>
      </c>
      <c r="J12" s="42">
        <f t="array" aca="1" ref="J12" ca="1">INDEX('Demand Curves'!$D:$AC, MATCH("Starlink DTC Revenue from curve ($mm)", 'Demand Curves'!$A$1:$A$167, 0), COLUMN()-COLUMN($D12)+1)</f>
        <v>41028.563376820799</v>
      </c>
      <c r="K12" s="42">
        <f t="array" aca="1" ref="K12" ca="1">INDEX('Demand Curves'!$D:$AC, MATCH("Starlink DTC Revenue from curve ($mm)", 'Demand Curves'!$A$1:$A$167, 0), COLUMN()-COLUMN($D12)+1)</f>
        <v>49505.312909445536</v>
      </c>
      <c r="L12" s="42">
        <f t="array" aca="1" ref="L12" ca="1">INDEX('Demand Curves'!$D:$AC, MATCH("Starlink DTC Revenue from curve ($mm)", 'Demand Curves'!$A$1:$A$167, 0), COLUMN()-COLUMN($D12)+1)</f>
        <v>50852.957538647112</v>
      </c>
      <c r="M12" s="42">
        <f t="array" aca="1" ref="M12" ca="1">INDEX('Demand Curves'!$D:$AC, MATCH("Starlink DTC Revenue from curve ($mm)", 'Demand Curves'!$A$1:$A$167, 0), COLUMN()-COLUMN($D12)+1)</f>
        <v>52180.784763267351</v>
      </c>
      <c r="N12" s="42">
        <f t="array" aca="1" ref="N12" ca="1">INDEX('Demand Curves'!$D:$AC, MATCH("Starlink DTC Revenue from curve ($mm)", 'Demand Curves'!$A$1:$A$167, 0), COLUMN()-COLUMN($D12)+1)</f>
        <v>53485.30438234903</v>
      </c>
      <c r="O12" s="42">
        <f t="array" aca="1" ref="O12" ca="1">INDEX('Demand Curves'!$D:$AC, MATCH("Starlink DTC Revenue from curve ($mm)", 'Demand Curves'!$A$1:$A$167, 0), COLUMN()-COLUMN($D12)+1)</f>
        <v>54822.436991907751</v>
      </c>
      <c r="P12" s="42">
        <f t="array" aca="1" ref="P12" ca="1">INDEX('Demand Curves'!$D:$AC, MATCH("Starlink DTC Revenue from curve ($mm)", 'Demand Curves'!$A$1:$A$167, 0), COLUMN()-COLUMN($D12)+1)</f>
        <v>56192.997916705433</v>
      </c>
      <c r="Q12" s="42">
        <f t="array" aca="1" ref="Q12" ca="1">INDEX('Demand Curves'!$D:$AC, MATCH("Starlink DTC Revenue from curve ($mm)", 'Demand Curves'!$A$1:$A$167, 0), COLUMN()-COLUMN($D12)+1)</f>
        <v>57597.822864623071</v>
      </c>
      <c r="R12" s="42">
        <f t="array" aca="1" ref="R12" ca="1">INDEX('Demand Curves'!$D:$AC, MATCH("Starlink DTC Revenue from curve ($mm)", 'Demand Curves'!$A$1:$A$167, 0), COLUMN()-COLUMN($D12)+1)</f>
        <v>59037.768436238635</v>
      </c>
      <c r="S12" s="42">
        <f t="array" aca="1" ref="S12" ca="1">INDEX('Demand Curves'!$D:$AC, MATCH("Starlink DTC Revenue from curve ($mm)", 'Demand Curves'!$A$1:$A$167, 0), COLUMN()-COLUMN($D12)+1)</f>
        <v>60513.712647144595</v>
      </c>
    </row>
    <row r="13" spans="1:19">
      <c r="A13" s="5" t="s">
        <v>238</v>
      </c>
      <c r="B13" s="3"/>
      <c r="C13" s="3"/>
      <c r="D13" s="42">
        <f t="array" ref="D13">INDEX(Assumptions!$D:$S, MATCH("F9 at-cost rate per launch ($mm)", Assumptions!$A$1:$A$257, 0), COLUMN()-COLUMN($D13)+1)</f>
        <v>20</v>
      </c>
      <c r="E13" s="42">
        <f t="array" ref="E13">INDEX(Assumptions!$D:$S, MATCH("F9 at-cost rate per launch ($mm)", Assumptions!$A$1:$A$257, 0), COLUMN()-COLUMN($D13)+1)</f>
        <v>19.600000000000001</v>
      </c>
      <c r="F13" s="42">
        <f t="array" ref="F13">INDEX(Assumptions!$D:$S, MATCH("F9 at-cost rate per launch ($mm)", Assumptions!$A$1:$A$257, 0), COLUMN()-COLUMN($D13)+1)</f>
        <v>19.207999999999998</v>
      </c>
      <c r="G13" s="42">
        <f t="array" ref="G13">INDEX(Assumptions!$D:$S, MATCH("F9 at-cost rate per launch ($mm)", Assumptions!$A$1:$A$257, 0), COLUMN()-COLUMN($D13)+1)</f>
        <v>18.824000000000002</v>
      </c>
      <c r="H13" s="42">
        <f t="array" ref="H13">INDEX(Assumptions!$D:$S, MATCH("F9 at-cost rate per launch ($mm)", Assumptions!$A$1:$A$257, 0), COLUMN()-COLUMN($D13)+1)</f>
        <v>18.446999999999999</v>
      </c>
      <c r="I13" s="42">
        <f t="array" ref="I13">INDEX(Assumptions!$D:$S, MATCH("F9 at-cost rate per launch ($mm)", Assumptions!$A$1:$A$257, 0), COLUMN()-COLUMN($D13)+1)</f>
        <v>18.077999999999999</v>
      </c>
      <c r="J13" s="42">
        <f t="array" ref="J13">INDEX(Assumptions!$D:$S, MATCH("F9 at-cost rate per launch ($mm)", Assumptions!$A$1:$A$257, 0), COLUMN()-COLUMN($D13)+1)</f>
        <v>17.716999999999999</v>
      </c>
      <c r="K13" s="42">
        <f t="array" ref="K13">INDEX(Assumptions!$D:$S, MATCH("F9 at-cost rate per launch ($mm)", Assumptions!$A$1:$A$257, 0), COLUMN()-COLUMN($D13)+1)</f>
        <v>17.363</v>
      </c>
      <c r="L13" s="42">
        <f t="array" ref="L13">INDEX(Assumptions!$D:$S, MATCH("F9 at-cost rate per launch ($mm)", Assumptions!$A$1:$A$257, 0), COLUMN()-COLUMN($D13)+1)</f>
        <v>17.015000000000001</v>
      </c>
      <c r="M13" s="42">
        <f t="array" ref="M13">INDEX(Assumptions!$D:$S, MATCH("F9 at-cost rate per launch ($mm)", Assumptions!$A$1:$A$257, 0), COLUMN()-COLUMN($D13)+1)</f>
        <v>16.675000000000001</v>
      </c>
      <c r="N13" s="42">
        <f t="array" ref="N13">INDEX(Assumptions!$D:$S, MATCH("F9 at-cost rate per launch ($mm)", Assumptions!$A$1:$A$257, 0), COLUMN()-COLUMN($D13)+1)</f>
        <v>16.341999999999999</v>
      </c>
      <c r="O13" s="42">
        <f t="array" ref="O13">INDEX(Assumptions!$D:$S, MATCH("F9 at-cost rate per launch ($mm)", Assumptions!$A$1:$A$257, 0), COLUMN()-COLUMN($D13)+1)</f>
        <v>16.015000000000001</v>
      </c>
      <c r="P13" s="42">
        <f t="array" ref="P13">INDEX(Assumptions!$D:$S, MATCH("F9 at-cost rate per launch ($mm)", Assumptions!$A$1:$A$257, 0), COLUMN()-COLUMN($D13)+1)</f>
        <v>15.695</v>
      </c>
      <c r="Q13" s="42">
        <f t="array" ref="Q13">INDEX(Assumptions!$D:$S, MATCH("F9 at-cost rate per launch ($mm)", Assumptions!$A$1:$A$257, 0), COLUMN()-COLUMN($D13)+1)</f>
        <v>15.381</v>
      </c>
      <c r="R13" s="42">
        <f t="array" ref="R13">INDEX(Assumptions!$D:$S, MATCH("F9 at-cost rate per launch ($mm)", Assumptions!$A$1:$A$257, 0), COLUMN()-COLUMN($D13)+1)</f>
        <v>15.073</v>
      </c>
      <c r="S13" s="42">
        <f t="array" ref="S13">INDEX(Assumptions!$D:$S, MATCH("F9 at-cost rate per launch ($mm)", Assumptions!$A$1:$A$257, 0), COLUMN()-COLUMN($D13)+1)</f>
        <v>14.772</v>
      </c>
    </row>
    <row r="14" spans="1:19">
      <c r="A14" s="5" t="s">
        <v>240</v>
      </c>
      <c r="B14" s="3"/>
      <c r="C14" s="3"/>
      <c r="D14" s="42">
        <f t="array" ref="D14">INDEX(Assumptions!$D:$S, MATCH("Starship at-cost rate per launch ($mm)", Assumptions!$A$1:$A$257, 0), COLUMN()-COLUMN($D14)+1)</f>
        <v>0</v>
      </c>
      <c r="E14" s="42">
        <f t="array" ref="E14">INDEX(Assumptions!$D:$S, MATCH("Starship at-cost rate per launch ($mm)", Assumptions!$A$1:$A$257, 0), COLUMN()-COLUMN($D14)+1)</f>
        <v>0</v>
      </c>
      <c r="F14" s="42">
        <f t="array" ref="F14">INDEX(Assumptions!$D:$S, MATCH("Starship at-cost rate per launch ($mm)", Assumptions!$A$1:$A$257, 0), COLUMN()-COLUMN($D14)+1)</f>
        <v>25</v>
      </c>
      <c r="G14" s="42">
        <f t="array" ref="G14">INDEX(Assumptions!$D:$S, MATCH("Starship at-cost rate per launch ($mm)", Assumptions!$A$1:$A$257, 0), COLUMN()-COLUMN($D14)+1)</f>
        <v>23</v>
      </c>
      <c r="H14" s="42">
        <f t="array" ref="H14">INDEX(Assumptions!$D:$S, MATCH("Starship at-cost rate per launch ($mm)", Assumptions!$A$1:$A$257, 0), COLUMN()-COLUMN($D14)+1)</f>
        <v>21.16</v>
      </c>
      <c r="I14" s="42">
        <f t="array" ref="I14">INDEX(Assumptions!$D:$S, MATCH("Starship at-cost rate per launch ($mm)", Assumptions!$A$1:$A$257, 0), COLUMN()-COLUMN($D14)+1)</f>
        <v>19.467200000000002</v>
      </c>
      <c r="J14" s="42">
        <f t="array" ref="J14">INDEX(Assumptions!$D:$S, MATCH("Starship at-cost rate per launch ($mm)", Assumptions!$A$1:$A$257, 0), COLUMN()-COLUMN($D14)+1)</f>
        <v>17.909824</v>
      </c>
      <c r="K14" s="42">
        <f t="array" ref="K14">INDEX(Assumptions!$D:$S, MATCH("Starship at-cost rate per launch ($mm)", Assumptions!$A$1:$A$257, 0), COLUMN()-COLUMN($D14)+1)</f>
        <v>16.477038080000003</v>
      </c>
      <c r="L14" s="42">
        <f t="array" ref="L14">INDEX(Assumptions!$D:$S, MATCH("Starship at-cost rate per launch ($mm)", Assumptions!$A$1:$A$257, 0), COLUMN()-COLUMN($D14)+1)</f>
        <v>15.158875033600003</v>
      </c>
      <c r="M14" s="42">
        <f t="array" ref="M14">INDEX(Assumptions!$D:$S, MATCH("Starship at-cost rate per launch ($mm)", Assumptions!$A$1:$A$257, 0), COLUMN()-COLUMN($D14)+1)</f>
        <v>13.946165030912002</v>
      </c>
      <c r="N14" s="42">
        <f t="array" ref="N14">INDEX(Assumptions!$D:$S, MATCH("Starship at-cost rate per launch ($mm)", Assumptions!$A$1:$A$257, 0), COLUMN()-COLUMN($D14)+1)</f>
        <v>12.830471828439045</v>
      </c>
      <c r="O14" s="42">
        <f t="array" ref="O14">INDEX(Assumptions!$D:$S, MATCH("Starship at-cost rate per launch ($mm)", Assumptions!$A$1:$A$257, 0), COLUMN()-COLUMN($D14)+1)</f>
        <v>11.804034082163922</v>
      </c>
      <c r="P14" s="42">
        <f t="array" ref="P14">INDEX(Assumptions!$D:$S, MATCH("Starship at-cost rate per launch ($mm)", Assumptions!$A$1:$A$257, 0), COLUMN()-COLUMN($D14)+1)</f>
        <v>10.859711355590807</v>
      </c>
      <c r="Q14" s="42">
        <f t="array" ref="Q14">INDEX(Assumptions!$D:$S, MATCH("Starship at-cost rate per launch ($mm)", Assumptions!$A$1:$A$257, 0), COLUMN()-COLUMN($D14)+1)</f>
        <v>9.9909344471435428</v>
      </c>
      <c r="R14" s="42">
        <f t="array" ref="R14">INDEX(Assumptions!$D:$S, MATCH("Starship at-cost rate per launch ($mm)", Assumptions!$A$1:$A$257, 0), COLUMN()-COLUMN($D14)+1)</f>
        <v>9.1916596913720596</v>
      </c>
      <c r="S14" s="42">
        <f t="array" ref="S14">INDEX(Assumptions!$D:$S, MATCH("Starship at-cost rate per launch ($mm)", Assumptions!$A$1:$A$257, 0), COLUMN()-COLUMN($D14)+1)</f>
        <v>8.4563269160622951</v>
      </c>
    </row>
    <row r="15" spans="1:19">
      <c r="A15" s="5" t="s">
        <v>254</v>
      </c>
      <c r="B15" s="3"/>
      <c r="C15" s="3"/>
      <c r="D15" s="77">
        <f>INDEX(Assumptions!$B:$B, MATCH("Sat operational life L (years)", Assumptions!$A$1:$A$257, 0))</f>
        <v>5</v>
      </c>
      <c r="E15" s="77">
        <f>INDEX(Assumptions!$B:$B, MATCH("Sat operational life L (years)", Assumptions!$A$1:$A$257, 0))</f>
        <v>5</v>
      </c>
      <c r="F15" s="77">
        <f>INDEX(Assumptions!$B:$B, MATCH("Sat operational life L (years)", Assumptions!$A$1:$A$257, 0))</f>
        <v>5</v>
      </c>
      <c r="G15" s="77">
        <f>INDEX(Assumptions!$B:$B, MATCH("Sat operational life L (years)", Assumptions!$A$1:$A$257, 0))</f>
        <v>5</v>
      </c>
      <c r="H15" s="77">
        <f>INDEX(Assumptions!$B:$B, MATCH("Sat operational life L (years)", Assumptions!$A$1:$A$257, 0))</f>
        <v>5</v>
      </c>
      <c r="I15" s="77">
        <f>INDEX(Assumptions!$B:$B, MATCH("Sat operational life L (years)", Assumptions!$A$1:$A$257, 0))</f>
        <v>5</v>
      </c>
      <c r="J15" s="77">
        <f>INDEX(Assumptions!$B:$B, MATCH("Sat operational life L (years)", Assumptions!$A$1:$A$257, 0))</f>
        <v>5</v>
      </c>
      <c r="K15" s="77">
        <f>INDEX(Assumptions!$B:$B, MATCH("Sat operational life L (years)", Assumptions!$A$1:$A$257, 0))</f>
        <v>5</v>
      </c>
      <c r="L15" s="77">
        <f>INDEX(Assumptions!$B:$B, MATCH("Sat operational life L (years)", Assumptions!$A$1:$A$257, 0))</f>
        <v>5</v>
      </c>
      <c r="M15" s="77">
        <f>INDEX(Assumptions!$B:$B, MATCH("Sat operational life L (years)", Assumptions!$A$1:$A$257, 0))</f>
        <v>5</v>
      </c>
      <c r="N15" s="77">
        <f>INDEX(Assumptions!$B:$B, MATCH("Sat operational life L (years)", Assumptions!$A$1:$A$257, 0))</f>
        <v>5</v>
      </c>
      <c r="O15" s="77">
        <f>INDEX(Assumptions!$B:$B, MATCH("Sat operational life L (years)", Assumptions!$A$1:$A$257, 0))</f>
        <v>5</v>
      </c>
      <c r="P15" s="77">
        <f>INDEX(Assumptions!$B:$B, MATCH("Sat operational life L (years)", Assumptions!$A$1:$A$257, 0))</f>
        <v>5</v>
      </c>
      <c r="Q15" s="77">
        <f>INDEX(Assumptions!$B:$B, MATCH("Sat operational life L (years)", Assumptions!$A$1:$A$257, 0))</f>
        <v>5</v>
      </c>
      <c r="R15" s="77">
        <f>INDEX(Assumptions!$B:$B, MATCH("Sat operational life L (years)", Assumptions!$A$1:$A$257, 0))</f>
        <v>5</v>
      </c>
      <c r="S15" s="77">
        <f>INDEX(Assumptions!$B:$B, MATCH("Sat operational life L (years)", Assumptions!$A$1:$A$257, 0))</f>
        <v>5</v>
      </c>
    </row>
    <row r="16" spans="1:19">
      <c r="A16" s="78" t="s">
        <v>210</v>
      </c>
      <c r="B16" s="78"/>
      <c r="C16" s="78"/>
      <c r="D16" s="79">
        <f>INDEX(Assumptions!$B:$B, MATCH("Group WACC", Assumptions!$A$1:$A$257, 0))</f>
        <v>0.1</v>
      </c>
      <c r="E16" s="79">
        <f>INDEX(Assumptions!$B:$B, MATCH("Group WACC", Assumptions!$A$1:$A$257, 0))</f>
        <v>0.1</v>
      </c>
      <c r="F16" s="79">
        <f>INDEX(Assumptions!$B:$B, MATCH("Group WACC", Assumptions!$A$1:$A$257, 0))</f>
        <v>0.1</v>
      </c>
      <c r="G16" s="79">
        <f>INDEX(Assumptions!$B:$B, MATCH("Group WACC", Assumptions!$A$1:$A$257, 0))</f>
        <v>0.1</v>
      </c>
      <c r="H16" s="79">
        <f>INDEX(Assumptions!$B:$B, MATCH("Group WACC", Assumptions!$A$1:$A$257, 0))</f>
        <v>0.1</v>
      </c>
      <c r="I16" s="79">
        <f>INDEX(Assumptions!$B:$B, MATCH("Group WACC", Assumptions!$A$1:$A$257, 0))</f>
        <v>0.1</v>
      </c>
      <c r="J16" s="79">
        <f>INDEX(Assumptions!$B:$B, MATCH("Group WACC", Assumptions!$A$1:$A$257, 0))</f>
        <v>0.1</v>
      </c>
      <c r="K16" s="79">
        <f>INDEX(Assumptions!$B:$B, MATCH("Group WACC", Assumptions!$A$1:$A$257, 0))</f>
        <v>0.1</v>
      </c>
      <c r="L16" s="79">
        <f>INDEX(Assumptions!$B:$B, MATCH("Group WACC", Assumptions!$A$1:$A$257, 0))</f>
        <v>0.1</v>
      </c>
      <c r="M16" s="79">
        <f>INDEX(Assumptions!$B:$B, MATCH("Group WACC", Assumptions!$A$1:$A$257, 0))</f>
        <v>0.1</v>
      </c>
      <c r="N16" s="79">
        <f>INDEX(Assumptions!$B:$B, MATCH("Group WACC", Assumptions!$A$1:$A$257, 0))</f>
        <v>0.1</v>
      </c>
      <c r="O16" s="79">
        <f>INDEX(Assumptions!$B:$B, MATCH("Group WACC", Assumptions!$A$1:$A$257, 0))</f>
        <v>0.1</v>
      </c>
      <c r="P16" s="79">
        <f>INDEX(Assumptions!$B:$B, MATCH("Group WACC", Assumptions!$A$1:$A$257, 0))</f>
        <v>0.1</v>
      </c>
      <c r="Q16" s="79">
        <f>INDEX(Assumptions!$B:$B, MATCH("Group WACC", Assumptions!$A$1:$A$257, 0))</f>
        <v>0.1</v>
      </c>
      <c r="R16" s="79">
        <f>INDEX(Assumptions!$B:$B, MATCH("Group WACC", Assumptions!$A$1:$A$257, 0))</f>
        <v>0.1</v>
      </c>
      <c r="S16" s="79">
        <f>INDEX(Assumptions!$B:$B, MATCH("Group WACC", Assumptions!$A$1:$A$257, 0))</f>
        <v>0.1</v>
      </c>
    </row>
    <row r="17" spans="1:19">
      <c r="A17" s="3"/>
      <c r="B17" s="3"/>
      <c r="C17" s="3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</row>
    <row r="18" spans="1:19">
      <c r="A18" s="5" t="s">
        <v>962</v>
      </c>
      <c r="B18" s="3"/>
      <c r="C18" s="3"/>
      <c r="D18" s="77">
        <f>INDEX(Assumptions!$B:$B, MATCH("Starlink R&amp;D: start % of (Starlink+Starshield) rev", Assumptions!$A$1:$A$257, 0))</f>
        <v>5.2999999999999999E-2</v>
      </c>
      <c r="E18" s="77">
        <f>INDEX(Assumptions!$B:$B, MATCH("Starlink R&amp;D: start % of (Starlink+Starshield) rev", Assumptions!$A$1:$A$257, 0))</f>
        <v>5.2999999999999999E-2</v>
      </c>
      <c r="F18" s="77">
        <f>INDEX(Assumptions!$B:$B, MATCH("Starlink R&amp;D: start % of (Starlink+Starshield) rev", Assumptions!$A$1:$A$257, 0))</f>
        <v>5.2999999999999999E-2</v>
      </c>
      <c r="G18" s="77">
        <f>INDEX(Assumptions!$B:$B, MATCH("Starlink R&amp;D: start % of (Starlink+Starshield) rev", Assumptions!$A$1:$A$257, 0))</f>
        <v>5.2999999999999999E-2</v>
      </c>
      <c r="H18" s="77">
        <f>INDEX(Assumptions!$B:$B, MATCH("Starlink R&amp;D: start % of (Starlink+Starshield) rev", Assumptions!$A$1:$A$257, 0))</f>
        <v>5.2999999999999999E-2</v>
      </c>
      <c r="I18" s="77">
        <f>INDEX(Assumptions!$B:$B, MATCH("Starlink R&amp;D: start % of (Starlink+Starshield) rev", Assumptions!$A$1:$A$257, 0))</f>
        <v>5.2999999999999999E-2</v>
      </c>
      <c r="J18" s="77">
        <f>INDEX(Assumptions!$B:$B, MATCH("Starlink R&amp;D: start % of (Starlink+Starshield) rev", Assumptions!$A$1:$A$257, 0))</f>
        <v>5.2999999999999999E-2</v>
      </c>
      <c r="K18" s="77">
        <f>INDEX(Assumptions!$B:$B, MATCH("Starlink R&amp;D: start % of (Starlink+Starshield) rev", Assumptions!$A$1:$A$257, 0))</f>
        <v>5.2999999999999999E-2</v>
      </c>
      <c r="L18" s="77">
        <f>INDEX(Assumptions!$B:$B, MATCH("Starlink R&amp;D: start % of (Starlink+Starshield) rev", Assumptions!$A$1:$A$257, 0))</f>
        <v>5.2999999999999999E-2</v>
      </c>
      <c r="M18" s="77">
        <f>INDEX(Assumptions!$B:$B, MATCH("Starlink R&amp;D: start % of (Starlink+Starshield) rev", Assumptions!$A$1:$A$257, 0))</f>
        <v>5.2999999999999999E-2</v>
      </c>
      <c r="N18" s="77">
        <f>INDEX(Assumptions!$B:$B, MATCH("Starlink R&amp;D: start % of (Starlink+Starshield) rev", Assumptions!$A$1:$A$257, 0))</f>
        <v>5.2999999999999999E-2</v>
      </c>
      <c r="O18" s="77">
        <f>INDEX(Assumptions!$B:$B, MATCH("Starlink R&amp;D: start % of (Starlink+Starshield) rev", Assumptions!$A$1:$A$257, 0))</f>
        <v>5.2999999999999999E-2</v>
      </c>
      <c r="P18" s="77">
        <f>INDEX(Assumptions!$B:$B, MATCH("Starlink R&amp;D: start % of (Starlink+Starshield) rev", Assumptions!$A$1:$A$257, 0))</f>
        <v>5.2999999999999999E-2</v>
      </c>
      <c r="Q18" s="77">
        <f>INDEX(Assumptions!$B:$B, MATCH("Starlink R&amp;D: start % of (Starlink+Starshield) rev", Assumptions!$A$1:$A$257, 0))</f>
        <v>5.2999999999999999E-2</v>
      </c>
      <c r="R18" s="77">
        <f>INDEX(Assumptions!$B:$B, MATCH("Starlink R&amp;D: start % of (Starlink+Starshield) rev", Assumptions!$A$1:$A$257, 0))</f>
        <v>5.2999999999999999E-2</v>
      </c>
      <c r="S18" s="77">
        <f>INDEX(Assumptions!$B:$B, MATCH("Starlink R&amp;D: start % of (Starlink+Starshield) rev", Assumptions!$A$1:$A$257, 0))</f>
        <v>5.2999999999999999E-2</v>
      </c>
    </row>
    <row r="19" spans="1:19">
      <c r="A19" s="5" t="s">
        <v>963</v>
      </c>
      <c r="B19" s="3"/>
      <c r="C19" s="3"/>
      <c r="D19" s="80">
        <f>'Cash Allocation Engine'!D39</f>
        <v>0</v>
      </c>
      <c r="E19" s="80">
        <f ca="1">'Cash Allocation Engine'!E39</f>
        <v>13695.090418447</v>
      </c>
      <c r="F19" s="80">
        <f ca="1">'Cash Allocation Engine'!F39</f>
        <v>56677.180466115693</v>
      </c>
      <c r="G19" s="80">
        <f ca="1">'Cash Allocation Engine'!G39</f>
        <v>57774.103467961926</v>
      </c>
      <c r="H19" s="80">
        <f ca="1">'Cash Allocation Engine'!H39</f>
        <v>67795.202174664169</v>
      </c>
      <c r="I19" s="80">
        <f ca="1">'Cash Allocation Engine'!I39</f>
        <v>68617.686803190241</v>
      </c>
      <c r="J19" s="80">
        <f ca="1">'Cash Allocation Engine'!J39</f>
        <v>68448.419428732843</v>
      </c>
      <c r="K19" s="80">
        <f ca="1">'Cash Allocation Engine'!K39</f>
        <v>76570.127961173624</v>
      </c>
      <c r="L19" s="80">
        <f ca="1">'Cash Allocation Engine'!L39</f>
        <v>30442.344136836604</v>
      </c>
      <c r="M19" s="80">
        <f ca="1">'Cash Allocation Engine'!M39</f>
        <v>71361.977079347096</v>
      </c>
      <c r="N19" s="80">
        <f ca="1">'Cash Allocation Engine'!N39</f>
        <v>96838.082188447792</v>
      </c>
      <c r="O19" s="80">
        <f ca="1">'Cash Allocation Engine'!O39</f>
        <v>144858.07676749706</v>
      </c>
      <c r="P19" s="80">
        <f ca="1">'Cash Allocation Engine'!P39</f>
        <v>94295.25148659767</v>
      </c>
      <c r="Q19" s="80">
        <f ca="1">'Cash Allocation Engine'!Q39</f>
        <v>55818.529649959048</v>
      </c>
      <c r="R19" s="80">
        <f ca="1">'Cash Allocation Engine'!R39</f>
        <v>29241.513342096157</v>
      </c>
      <c r="S19" s="80">
        <f ca="1">'Cash Allocation Engine'!S39</f>
        <v>35740.835833827136</v>
      </c>
    </row>
    <row r="20" spans="1:19">
      <c r="A20" s="5" t="s">
        <v>286</v>
      </c>
      <c r="B20" s="3"/>
      <c r="C20" s="3"/>
      <c r="D20" s="77">
        <f>INDEX(Assumptions!$B:$B, MATCH("Starlink deployment 2025 anchor (sats)", Assumptions!$A$1:$A$257, 0))</f>
        <v>3840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5" t="s">
        <v>276</v>
      </c>
      <c r="B21" s="3"/>
      <c r="C21" s="3"/>
      <c r="D21" s="77">
        <f>INDEX(Assumptions!$B:$B, MATCH("Sat utilization (frac)", Assumptions!$A$1:$A$257, 0))</f>
        <v>0.7</v>
      </c>
      <c r="E21" s="77">
        <f>INDEX(Assumptions!$B:$B, MATCH("Sat utilization (frac)", Assumptions!$A$1:$A$257, 0))</f>
        <v>0.7</v>
      </c>
      <c r="F21" s="77">
        <f>INDEX(Assumptions!$B:$B, MATCH("Sat utilization (frac)", Assumptions!$A$1:$A$257, 0))</f>
        <v>0.7</v>
      </c>
      <c r="G21" s="77">
        <f>INDEX(Assumptions!$B:$B, MATCH("Sat utilization (frac)", Assumptions!$A$1:$A$257, 0))</f>
        <v>0.7</v>
      </c>
      <c r="H21" s="77">
        <f>INDEX(Assumptions!$B:$B, MATCH("Sat utilization (frac)", Assumptions!$A$1:$A$257, 0))</f>
        <v>0.7</v>
      </c>
      <c r="I21" s="77">
        <f>INDEX(Assumptions!$B:$B, MATCH("Sat utilization (frac)", Assumptions!$A$1:$A$257, 0))</f>
        <v>0.7</v>
      </c>
      <c r="J21" s="77">
        <f>INDEX(Assumptions!$B:$B, MATCH("Sat utilization (frac)", Assumptions!$A$1:$A$257, 0))</f>
        <v>0.7</v>
      </c>
      <c r="K21" s="77">
        <f>INDEX(Assumptions!$B:$B, MATCH("Sat utilization (frac)", Assumptions!$A$1:$A$257, 0))</f>
        <v>0.7</v>
      </c>
      <c r="L21" s="77">
        <f>INDEX(Assumptions!$B:$B, MATCH("Sat utilization (frac)", Assumptions!$A$1:$A$257, 0))</f>
        <v>0.7</v>
      </c>
      <c r="M21" s="77">
        <f>INDEX(Assumptions!$B:$B, MATCH("Sat utilization (frac)", Assumptions!$A$1:$A$257, 0))</f>
        <v>0.7</v>
      </c>
      <c r="N21" s="77">
        <f>INDEX(Assumptions!$B:$B, MATCH("Sat utilization (frac)", Assumptions!$A$1:$A$257, 0))</f>
        <v>0.7</v>
      </c>
      <c r="O21" s="77">
        <f>INDEX(Assumptions!$B:$B, MATCH("Sat utilization (frac)", Assumptions!$A$1:$A$257, 0))</f>
        <v>0.7</v>
      </c>
      <c r="P21" s="77">
        <f>INDEX(Assumptions!$B:$B, MATCH("Sat utilization (frac)", Assumptions!$A$1:$A$257, 0))</f>
        <v>0.7</v>
      </c>
      <c r="Q21" s="77">
        <f>INDEX(Assumptions!$B:$B, MATCH("Sat utilization (frac)", Assumptions!$A$1:$A$257, 0))</f>
        <v>0.7</v>
      </c>
      <c r="R21" s="77">
        <f>INDEX(Assumptions!$B:$B, MATCH("Sat utilization (frac)", Assumptions!$A$1:$A$257, 0))</f>
        <v>0.7</v>
      </c>
      <c r="S21" s="77">
        <f>INDEX(Assumptions!$B:$B, MATCH("Sat utilization (frac)", Assumptions!$A$1:$A$257, 0))</f>
        <v>0.7</v>
      </c>
    </row>
    <row r="22" spans="1:19">
      <c r="A22" s="5" t="s">
        <v>256</v>
      </c>
      <c r="B22" s="3"/>
      <c r="C22" s="3"/>
      <c r="D22" s="77">
        <f>INDEX(Assumptions!$B:$B, MATCH("Starship operational year", Assumptions!$A$1:$A$257, 0))</f>
        <v>2026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5" t="s">
        <v>258</v>
      </c>
      <c r="B23" s="3"/>
      <c r="C23" s="3"/>
      <c r="D23" s="77">
        <f>INDEX(Assumptions!$B:$B, MATCH("F9 launches V2-Starlink final year", Assumptions!$A$1:$A$257, 0))</f>
        <v>2026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5" t="s">
        <v>964</v>
      </c>
      <c r="B24" s="3"/>
      <c r="C24" s="3"/>
      <c r="D24" s="6">
        <f t="array" ref="D24">INDEX('Vehicle Build'!$D:$AC, MATCH("F9 payload per launch (kg)", 'Vehicle Build'!$A$1:$A$119, 0), COLUMN()-COLUMN($D24)+1)</f>
        <v>22800</v>
      </c>
      <c r="E24" s="6">
        <f t="array" ref="E24">INDEX('Vehicle Build'!$D:$AC, MATCH("F9 payload per launch (kg)", 'Vehicle Build'!$A$1:$A$119, 0), COLUMN()-COLUMN($D24)+1)</f>
        <v>22800</v>
      </c>
      <c r="F24" s="6">
        <f t="array" ref="F24">INDEX('Vehicle Build'!$D:$AC, MATCH("F9 payload per launch (kg)", 'Vehicle Build'!$A$1:$A$119, 0), COLUMN()-COLUMN($D24)+1)</f>
        <v>22800</v>
      </c>
      <c r="G24" s="6">
        <f t="array" ref="G24">INDEX('Vehicle Build'!$D:$AC, MATCH("F9 payload per launch (kg)", 'Vehicle Build'!$A$1:$A$119, 0), COLUMN()-COLUMN($D24)+1)</f>
        <v>22800</v>
      </c>
      <c r="H24" s="6">
        <f t="array" ref="H24">INDEX('Vehicle Build'!$D:$AC, MATCH("F9 payload per launch (kg)", 'Vehicle Build'!$A$1:$A$119, 0), COLUMN()-COLUMN($D24)+1)</f>
        <v>22800</v>
      </c>
      <c r="I24" s="6">
        <f t="array" ref="I24">INDEX('Vehicle Build'!$D:$AC, MATCH("F9 payload per launch (kg)", 'Vehicle Build'!$A$1:$A$119, 0), COLUMN()-COLUMN($D24)+1)</f>
        <v>22800</v>
      </c>
      <c r="J24" s="6">
        <f t="array" ref="J24">INDEX('Vehicle Build'!$D:$AC, MATCH("F9 payload per launch (kg)", 'Vehicle Build'!$A$1:$A$119, 0), COLUMN()-COLUMN($D24)+1)</f>
        <v>22800</v>
      </c>
      <c r="K24" s="6">
        <f t="array" ref="K24">INDEX('Vehicle Build'!$D:$AC, MATCH("F9 payload per launch (kg)", 'Vehicle Build'!$A$1:$A$119, 0), COLUMN()-COLUMN($D24)+1)</f>
        <v>22800</v>
      </c>
      <c r="L24" s="6">
        <f t="array" ref="L24">INDEX('Vehicle Build'!$D:$AC, MATCH("F9 payload per launch (kg)", 'Vehicle Build'!$A$1:$A$119, 0), COLUMN()-COLUMN($D24)+1)</f>
        <v>22800</v>
      </c>
      <c r="M24" s="6">
        <f t="array" ref="M24">INDEX('Vehicle Build'!$D:$AC, MATCH("F9 payload per launch (kg)", 'Vehicle Build'!$A$1:$A$119, 0), COLUMN()-COLUMN($D24)+1)</f>
        <v>22800</v>
      </c>
      <c r="N24" s="6">
        <f t="array" ref="N24">INDEX('Vehicle Build'!$D:$AC, MATCH("F9 payload per launch (kg)", 'Vehicle Build'!$A$1:$A$119, 0), COLUMN()-COLUMN($D24)+1)</f>
        <v>22800</v>
      </c>
      <c r="O24" s="6">
        <f t="array" ref="O24">INDEX('Vehicle Build'!$D:$AC, MATCH("F9 payload per launch (kg)", 'Vehicle Build'!$A$1:$A$119, 0), COLUMN()-COLUMN($D24)+1)</f>
        <v>22800</v>
      </c>
      <c r="P24" s="6">
        <f t="array" ref="P24">INDEX('Vehicle Build'!$D:$AC, MATCH("F9 payload per launch (kg)", 'Vehicle Build'!$A$1:$A$119, 0), COLUMN()-COLUMN($D24)+1)</f>
        <v>22800</v>
      </c>
      <c r="Q24" s="6">
        <f t="array" ref="Q24">INDEX('Vehicle Build'!$D:$AC, MATCH("F9 payload per launch (kg)", 'Vehicle Build'!$A$1:$A$119, 0), COLUMN()-COLUMN($D24)+1)</f>
        <v>22800</v>
      </c>
      <c r="R24" s="6">
        <f t="array" ref="R24">INDEX('Vehicle Build'!$D:$AC, MATCH("F9 payload per launch (kg)", 'Vehicle Build'!$A$1:$A$119, 0), COLUMN()-COLUMN($D24)+1)</f>
        <v>22800</v>
      </c>
      <c r="S24" s="6">
        <f t="array" ref="S24">INDEX('Vehicle Build'!$D:$AC, MATCH("F9 payload per launch (kg)", 'Vehicle Build'!$A$1:$A$119, 0), COLUMN()-COLUMN($D24)+1)</f>
        <v>22800</v>
      </c>
    </row>
    <row r="25" spans="1:19">
      <c r="A25" s="5" t="s">
        <v>965</v>
      </c>
      <c r="B25" s="3"/>
      <c r="C25" s="3"/>
      <c r="D25" s="6">
        <f t="array" ref="D25">INDEX('Vehicle Build'!$D:$AC, MATCH("Starship payload per launch (kg)", 'Vehicle Build'!$A$1:$A$119, 0), COLUMN()-COLUMN($D25)+1)</f>
        <v>100000</v>
      </c>
      <c r="E25" s="6">
        <f t="array" ref="E25">INDEX('Vehicle Build'!$D:$AC, MATCH("Starship payload per launch (kg)", 'Vehicle Build'!$A$1:$A$119, 0), COLUMN()-COLUMN($D25)+1)</f>
        <v>114869.83549970351</v>
      </c>
      <c r="F25" s="6">
        <f t="array" ref="F25">INDEX('Vehicle Build'!$D:$AC, MATCH("Starship payload per launch (kg)", 'Vehicle Build'!$A$1:$A$119, 0), COLUMN()-COLUMN($D25)+1)</f>
        <v>131950.79107728941</v>
      </c>
      <c r="G25" s="6">
        <f t="array" ref="G25">INDEX('Vehicle Build'!$D:$AC, MATCH("Starship payload per launch (kg)", 'Vehicle Build'!$A$1:$A$119, 0), COLUMN()-COLUMN($D25)+1)</f>
        <v>151571.65665103981</v>
      </c>
      <c r="H25" s="6">
        <f t="array" ref="H25">INDEX('Vehicle Build'!$D:$AC, MATCH("Starship payload per launch (kg)", 'Vehicle Build'!$A$1:$A$119, 0), COLUMN()-COLUMN($D25)+1)</f>
        <v>174110.11265922483</v>
      </c>
      <c r="I25" s="6">
        <f t="array" ref="I25">INDEX('Vehicle Build'!$D:$AC, MATCH("Starship payload per launch (kg)", 'Vehicle Build'!$A$1:$A$119, 0), COLUMN()-COLUMN($D25)+1)</f>
        <v>200000</v>
      </c>
      <c r="J25" s="6">
        <f t="array" ref="J25">INDEX('Vehicle Build'!$D:$AC, MATCH("Starship payload per launch (kg)", 'Vehicle Build'!$A$1:$A$119, 0), COLUMN()-COLUMN($D25)+1)</f>
        <v>200000</v>
      </c>
      <c r="K25" s="6">
        <f t="array" ref="K25">INDEX('Vehicle Build'!$D:$AC, MATCH("Starship payload per launch (kg)", 'Vehicle Build'!$A$1:$A$119, 0), COLUMN()-COLUMN($D25)+1)</f>
        <v>200000</v>
      </c>
      <c r="L25" s="6">
        <f t="array" ref="L25">INDEX('Vehicle Build'!$D:$AC, MATCH("Starship payload per launch (kg)", 'Vehicle Build'!$A$1:$A$119, 0), COLUMN()-COLUMN($D25)+1)</f>
        <v>200000</v>
      </c>
      <c r="M25" s="6">
        <f t="array" ref="M25">INDEX('Vehicle Build'!$D:$AC, MATCH("Starship payload per launch (kg)", 'Vehicle Build'!$A$1:$A$119, 0), COLUMN()-COLUMN($D25)+1)</f>
        <v>200000</v>
      </c>
      <c r="N25" s="6">
        <f t="array" ref="N25">INDEX('Vehicle Build'!$D:$AC, MATCH("Starship payload per launch (kg)", 'Vehicle Build'!$A$1:$A$119, 0), COLUMN()-COLUMN($D25)+1)</f>
        <v>200000</v>
      </c>
      <c r="O25" s="6">
        <f t="array" ref="O25">INDEX('Vehicle Build'!$D:$AC, MATCH("Starship payload per launch (kg)", 'Vehicle Build'!$A$1:$A$119, 0), COLUMN()-COLUMN($D25)+1)</f>
        <v>200000</v>
      </c>
      <c r="P25" s="6">
        <f t="array" ref="P25">INDEX('Vehicle Build'!$D:$AC, MATCH("Starship payload per launch (kg)", 'Vehicle Build'!$A$1:$A$119, 0), COLUMN()-COLUMN($D25)+1)</f>
        <v>200000</v>
      </c>
      <c r="Q25" s="6">
        <f t="array" ref="Q25">INDEX('Vehicle Build'!$D:$AC, MATCH("Starship payload per launch (kg)", 'Vehicle Build'!$A$1:$A$119, 0), COLUMN()-COLUMN($D25)+1)</f>
        <v>200000</v>
      </c>
      <c r="R25" s="6">
        <f t="array" ref="R25">INDEX('Vehicle Build'!$D:$AC, MATCH("Starship payload per launch (kg)", 'Vehicle Build'!$A$1:$A$119, 0), COLUMN()-COLUMN($D25)+1)</f>
        <v>200000</v>
      </c>
      <c r="S25" s="6">
        <f t="array" ref="S25">INDEX('Vehicle Build'!$D:$AC, MATCH("Starship payload per launch (kg)", 'Vehicle Build'!$A$1:$A$119, 0), COLUMN()-COLUMN($D25)+1)</f>
        <v>200000</v>
      </c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3" t="s">
        <v>966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>
      <c r="A28" s="5" t="s">
        <v>967</v>
      </c>
      <c r="B28" s="3"/>
      <c r="C28" s="3"/>
      <c r="D28" s="23">
        <f t="shared" ref="D28:S28" si="0">IF(D$4&lt;=$D$23, 1, 0)</f>
        <v>1</v>
      </c>
      <c r="E28" s="23">
        <f t="shared" si="0"/>
        <v>1</v>
      </c>
      <c r="F28" s="23">
        <f t="shared" si="0"/>
        <v>0</v>
      </c>
      <c r="G28" s="23">
        <f t="shared" si="0"/>
        <v>0</v>
      </c>
      <c r="H28" s="23">
        <f t="shared" si="0"/>
        <v>0</v>
      </c>
      <c r="I28" s="23">
        <f t="shared" si="0"/>
        <v>0</v>
      </c>
      <c r="J28" s="23">
        <f t="shared" si="0"/>
        <v>0</v>
      </c>
      <c r="K28" s="23">
        <f t="shared" si="0"/>
        <v>0</v>
      </c>
      <c r="L28" s="23">
        <f t="shared" si="0"/>
        <v>0</v>
      </c>
      <c r="M28" s="23">
        <f t="shared" si="0"/>
        <v>0</v>
      </c>
      <c r="N28" s="23">
        <f t="shared" si="0"/>
        <v>0</v>
      </c>
      <c r="O28" s="23">
        <f t="shared" si="0"/>
        <v>0</v>
      </c>
      <c r="P28" s="23">
        <f t="shared" si="0"/>
        <v>0</v>
      </c>
      <c r="Q28" s="23">
        <f t="shared" si="0"/>
        <v>0</v>
      </c>
      <c r="R28" s="23">
        <f t="shared" si="0"/>
        <v>0</v>
      </c>
      <c r="S28" s="23">
        <f t="shared" si="0"/>
        <v>0</v>
      </c>
    </row>
    <row r="29" spans="1:19">
      <c r="A29" s="5" t="s">
        <v>968</v>
      </c>
      <c r="B29" s="3"/>
      <c r="C29" s="3"/>
      <c r="D29" s="23">
        <f t="shared" ref="D29:S29" si="1">IF(D$4&gt;=$D$22+1, 1, 0)</f>
        <v>0</v>
      </c>
      <c r="E29" s="23">
        <f t="shared" si="1"/>
        <v>0</v>
      </c>
      <c r="F29" s="23">
        <f t="shared" si="1"/>
        <v>1</v>
      </c>
      <c r="G29" s="23">
        <f t="shared" si="1"/>
        <v>1</v>
      </c>
      <c r="H29" s="23">
        <f t="shared" si="1"/>
        <v>1</v>
      </c>
      <c r="I29" s="23">
        <f t="shared" si="1"/>
        <v>1</v>
      </c>
      <c r="J29" s="23">
        <f t="shared" si="1"/>
        <v>1</v>
      </c>
      <c r="K29" s="23">
        <f t="shared" si="1"/>
        <v>1</v>
      </c>
      <c r="L29" s="23">
        <f t="shared" si="1"/>
        <v>1</v>
      </c>
      <c r="M29" s="23">
        <f t="shared" si="1"/>
        <v>1</v>
      </c>
      <c r="N29" s="23">
        <f t="shared" si="1"/>
        <v>1</v>
      </c>
      <c r="O29" s="23">
        <f t="shared" si="1"/>
        <v>1</v>
      </c>
      <c r="P29" s="23">
        <f t="shared" si="1"/>
        <v>1</v>
      </c>
      <c r="Q29" s="23">
        <f t="shared" si="1"/>
        <v>1</v>
      </c>
      <c r="R29" s="23">
        <f t="shared" si="1"/>
        <v>1</v>
      </c>
      <c r="S29" s="23">
        <f t="shared" si="1"/>
        <v>1</v>
      </c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78" t="s">
        <v>969</v>
      </c>
      <c r="B31" s="78"/>
      <c r="C31" s="78"/>
      <c r="D31" s="81">
        <f t="shared" ref="D31:S31" si="2">SUM(D32:D35)</f>
        <v>3840</v>
      </c>
      <c r="E31" s="81">
        <f t="shared" ca="1" si="2"/>
        <v>3120</v>
      </c>
      <c r="F31" s="81">
        <f t="shared" ca="1" si="2"/>
        <v>3918.7353004899928</v>
      </c>
      <c r="G31" s="81">
        <f t="shared" ca="1" si="2"/>
        <v>9497.3799641733167</v>
      </c>
      <c r="H31" s="81">
        <f t="shared" ca="1" si="2"/>
        <v>27023.504194008077</v>
      </c>
      <c r="I31" s="81">
        <f t="shared" ca="1" si="2"/>
        <v>50339.519520809306</v>
      </c>
      <c r="J31" s="81">
        <f t="shared" ca="1" si="2"/>
        <v>53600.632791493546</v>
      </c>
      <c r="K31" s="81">
        <f t="shared" ca="1" si="2"/>
        <v>63346.234135445397</v>
      </c>
      <c r="L31" s="81">
        <f t="shared" ca="1" si="2"/>
        <v>26204.382547525151</v>
      </c>
      <c r="M31" s="81">
        <f t="shared" ca="1" si="2"/>
        <v>62741.357161469146</v>
      </c>
      <c r="N31" s="81">
        <f t="shared" ca="1" si="2"/>
        <v>87807.66244228906</v>
      </c>
      <c r="O31" s="81">
        <f t="shared" ca="1" si="2"/>
        <v>134603.08485242503</v>
      </c>
      <c r="P31" s="81">
        <f t="shared" ca="1" si="2"/>
        <v>89827.9430951018</v>
      </c>
      <c r="Q31" s="81">
        <f t="shared" ca="1" si="2"/>
        <v>54407.050838862648</v>
      </c>
      <c r="R31" s="81">
        <f t="shared" ca="1" si="2"/>
        <v>28945.530056348354</v>
      </c>
      <c r="S31" s="81">
        <f t="shared" ca="1" si="2"/>
        <v>33596.99383796101</v>
      </c>
    </row>
    <row r="32" spans="1:19">
      <c r="A32" s="5" t="s">
        <v>970</v>
      </c>
      <c r="B32" s="3"/>
      <c r="C32" s="3"/>
      <c r="D32" s="29">
        <f t="shared" ref="D32:S32" si="3">IF(D$4=2025, $D$20, IF(D$28=1, D202, 0))</f>
        <v>3840</v>
      </c>
      <c r="E32" s="29">
        <f t="shared" ca="1" si="3"/>
        <v>3120</v>
      </c>
      <c r="F32" s="29">
        <f t="shared" si="3"/>
        <v>0</v>
      </c>
      <c r="G32" s="29">
        <f t="shared" si="3"/>
        <v>0</v>
      </c>
      <c r="H32" s="29">
        <f t="shared" si="3"/>
        <v>0</v>
      </c>
      <c r="I32" s="29">
        <f t="shared" si="3"/>
        <v>0</v>
      </c>
      <c r="J32" s="29">
        <f t="shared" si="3"/>
        <v>0</v>
      </c>
      <c r="K32" s="29">
        <f t="shared" si="3"/>
        <v>0</v>
      </c>
      <c r="L32" s="29">
        <f t="shared" si="3"/>
        <v>0</v>
      </c>
      <c r="M32" s="29">
        <f t="shared" si="3"/>
        <v>0</v>
      </c>
      <c r="N32" s="29">
        <f t="shared" si="3"/>
        <v>0</v>
      </c>
      <c r="O32" s="29">
        <f t="shared" si="3"/>
        <v>0</v>
      </c>
      <c r="P32" s="29">
        <f t="shared" si="3"/>
        <v>0</v>
      </c>
      <c r="Q32" s="29">
        <f t="shared" si="3"/>
        <v>0</v>
      </c>
      <c r="R32" s="29">
        <f t="shared" si="3"/>
        <v>0</v>
      </c>
      <c r="S32" s="29">
        <f t="shared" si="3"/>
        <v>0</v>
      </c>
    </row>
    <row r="33" spans="1:19">
      <c r="A33" s="5" t="s">
        <v>971</v>
      </c>
      <c r="B33" s="3"/>
      <c r="C33" s="3"/>
      <c r="D33" s="29">
        <f>0</f>
        <v>0</v>
      </c>
      <c r="E33" s="29">
        <f>0</f>
        <v>0</v>
      </c>
      <c r="F33" s="29">
        <f>0</f>
        <v>0</v>
      </c>
      <c r="G33" s="29">
        <f>0</f>
        <v>0</v>
      </c>
      <c r="H33" s="29">
        <f>0</f>
        <v>0</v>
      </c>
      <c r="I33" s="29">
        <f>0</f>
        <v>0</v>
      </c>
      <c r="J33" s="29">
        <f>0</f>
        <v>0</v>
      </c>
      <c r="K33" s="29">
        <f>0</f>
        <v>0</v>
      </c>
      <c r="L33" s="29">
        <f>0</f>
        <v>0</v>
      </c>
      <c r="M33" s="29">
        <f>0</f>
        <v>0</v>
      </c>
      <c r="N33" s="29">
        <f>0</f>
        <v>0</v>
      </c>
      <c r="O33" s="29">
        <f>0</f>
        <v>0</v>
      </c>
      <c r="P33" s="29">
        <f>0</f>
        <v>0</v>
      </c>
      <c r="Q33" s="29">
        <f>0</f>
        <v>0</v>
      </c>
      <c r="R33" s="29">
        <f>0</f>
        <v>0</v>
      </c>
      <c r="S33" s="29">
        <f>0</f>
        <v>0</v>
      </c>
    </row>
    <row r="34" spans="1:19">
      <c r="A34" s="5" t="s">
        <v>972</v>
      </c>
      <c r="B34" s="3"/>
      <c r="C34" s="3"/>
      <c r="D34" s="29">
        <f t="shared" ref="D34:S34" si="4">IF(D$29=1, D202, 0)</f>
        <v>0</v>
      </c>
      <c r="E34" s="29">
        <f t="shared" si="4"/>
        <v>0</v>
      </c>
      <c r="F34" s="29">
        <f t="shared" ca="1" si="4"/>
        <v>3916.853443326761</v>
      </c>
      <c r="G34" s="29">
        <f t="shared" ca="1" si="4"/>
        <v>9417.3556922725493</v>
      </c>
      <c r="H34" s="29">
        <f t="shared" ca="1" si="4"/>
        <v>23934.561771420642</v>
      </c>
      <c r="I34" s="29">
        <f t="shared" ca="1" si="4"/>
        <v>15031.115019405888</v>
      </c>
      <c r="J34" s="29">
        <f t="shared" ca="1" si="4"/>
        <v>28946.910068474765</v>
      </c>
      <c r="K34" s="29">
        <f t="shared" ca="1" si="4"/>
        <v>16400.058831825627</v>
      </c>
      <c r="L34" s="29">
        <f t="shared" ca="1" si="4"/>
        <v>4868.874743506537</v>
      </c>
      <c r="M34" s="29">
        <f t="shared" ca="1" si="4"/>
        <v>22745.10710153995</v>
      </c>
      <c r="N34" s="29">
        <f t="shared" ca="1" si="4"/>
        <v>42435.964402228128</v>
      </c>
      <c r="O34" s="29">
        <f t="shared" ca="1" si="4"/>
        <v>73722.051825798</v>
      </c>
      <c r="P34" s="29">
        <f t="shared" ca="1" si="4"/>
        <v>51820.951088064758</v>
      </c>
      <c r="Q34" s="29">
        <f t="shared" ca="1" si="4"/>
        <v>30330.395526020846</v>
      </c>
      <c r="R34" s="29">
        <f t="shared" ca="1" si="4"/>
        <v>15918.961132857161</v>
      </c>
      <c r="S34" s="29">
        <f t="shared" ca="1" si="4"/>
        <v>17069.96205904242</v>
      </c>
    </row>
    <row r="35" spans="1:19">
      <c r="A35" s="5" t="s">
        <v>973</v>
      </c>
      <c r="B35" s="3"/>
      <c r="C35" s="3"/>
      <c r="D35" s="29">
        <f t="shared" ref="D35:S35" si="5">IF(D$29=1, D203, 0)</f>
        <v>0</v>
      </c>
      <c r="E35" s="29">
        <f t="shared" si="5"/>
        <v>0</v>
      </c>
      <c r="F35" s="29">
        <f t="shared" ca="1" si="5"/>
        <v>1.8818571632319696</v>
      </c>
      <c r="G35" s="29">
        <f t="shared" ca="1" si="5"/>
        <v>80.024271900768326</v>
      </c>
      <c r="H35" s="29">
        <f t="shared" ca="1" si="5"/>
        <v>3088.9424225874336</v>
      </c>
      <c r="I35" s="29">
        <f t="shared" ca="1" si="5"/>
        <v>35308.40450140342</v>
      </c>
      <c r="J35" s="29">
        <f t="shared" ca="1" si="5"/>
        <v>24653.722723018782</v>
      </c>
      <c r="K35" s="29">
        <f t="shared" ca="1" si="5"/>
        <v>46946.17530361977</v>
      </c>
      <c r="L35" s="29">
        <f t="shared" ca="1" si="5"/>
        <v>21335.507804018613</v>
      </c>
      <c r="M35" s="29">
        <f t="shared" ca="1" si="5"/>
        <v>39996.250059929196</v>
      </c>
      <c r="N35" s="29">
        <f t="shared" ca="1" si="5"/>
        <v>45371.698040060925</v>
      </c>
      <c r="O35" s="29">
        <f t="shared" ca="1" si="5"/>
        <v>60881.033026627025</v>
      </c>
      <c r="P35" s="29">
        <f t="shared" ca="1" si="5"/>
        <v>38006.992007037043</v>
      </c>
      <c r="Q35" s="29">
        <f t="shared" ca="1" si="5"/>
        <v>24076.655312841805</v>
      </c>
      <c r="R35" s="29">
        <f t="shared" ca="1" si="5"/>
        <v>13026.568923491193</v>
      </c>
      <c r="S35" s="29">
        <f t="shared" ca="1" si="5"/>
        <v>16527.03177891859</v>
      </c>
    </row>
    <row r="36" spans="1:19">
      <c r="A36" s="5" t="s">
        <v>974</v>
      </c>
      <c r="B36" s="3"/>
      <c r="C36" s="3"/>
      <c r="D36" s="29">
        <f t="shared" ref="D36:S36" si="6">$D$31*0.12</f>
        <v>460.79999999999995</v>
      </c>
      <c r="E36" s="29">
        <f t="shared" si="6"/>
        <v>460.79999999999995</v>
      </c>
      <c r="F36" s="29">
        <f t="shared" si="6"/>
        <v>460.79999999999995</v>
      </c>
      <c r="G36" s="29">
        <f t="shared" si="6"/>
        <v>460.79999999999995</v>
      </c>
      <c r="H36" s="29">
        <f t="shared" si="6"/>
        <v>460.79999999999995</v>
      </c>
      <c r="I36" s="29">
        <f t="shared" si="6"/>
        <v>460.79999999999995</v>
      </c>
      <c r="J36" s="29">
        <f t="shared" si="6"/>
        <v>460.79999999999995</v>
      </c>
      <c r="K36" s="29">
        <f t="shared" si="6"/>
        <v>460.79999999999995</v>
      </c>
      <c r="L36" s="29">
        <f t="shared" si="6"/>
        <v>460.79999999999995</v>
      </c>
      <c r="M36" s="29">
        <f t="shared" si="6"/>
        <v>460.79999999999995</v>
      </c>
      <c r="N36" s="29">
        <f t="shared" si="6"/>
        <v>460.79999999999995</v>
      </c>
      <c r="O36" s="29">
        <f t="shared" si="6"/>
        <v>460.79999999999995</v>
      </c>
      <c r="P36" s="29">
        <f t="shared" si="6"/>
        <v>460.79999999999995</v>
      </c>
      <c r="Q36" s="29">
        <f t="shared" si="6"/>
        <v>460.79999999999995</v>
      </c>
      <c r="R36" s="29">
        <f t="shared" si="6"/>
        <v>460.79999999999995</v>
      </c>
      <c r="S36" s="29">
        <f t="shared" si="6"/>
        <v>460.79999999999995</v>
      </c>
    </row>
    <row r="37" spans="1:19">
      <c r="A37" s="5" t="s">
        <v>975</v>
      </c>
      <c r="B37" s="3"/>
      <c r="C37" s="3"/>
      <c r="D37" s="77">
        <v>1.7</v>
      </c>
      <c r="E37" s="77">
        <v>1.7</v>
      </c>
      <c r="F37" s="77">
        <f ca="1">IF(F$29=1, INDEX(Assumptions!$B:$B,MATCH("V3 BB share of new deployment (frac)",Assumptions!$A$1:$A$257,0))*F125 + INDEX(Assumptions!$B:$B,MATCH("V3 DTC share of new deployment (frac)",Assumptions!$A$1:$A$257,0))*F131, INDEX(Assumptions!$B:$B,MATCH("V2 BB share of new deployment (frac)",Assumptions!$A$1:$A$257,0))*F113 + INDEX(Assumptions!$B:$B,MATCH("V2 DTC share of new deployment (frac)",Assumptions!$A$1:$A$257,0))*F119 + 0.12*F137)</f>
        <v>1.6698542334367585</v>
      </c>
      <c r="G37" s="77">
        <f ca="1">IF(G$29=1, INDEX(Assumptions!$B:$B,MATCH("V3 BB share of new deployment (frac)",Assumptions!$A$1:$A$257,0))*G125 + INDEX(Assumptions!$B:$B,MATCH("V3 DTC share of new deployment (frac)",Assumptions!$A$1:$A$257,0))*G131, INDEX(Assumptions!$B:$B,MATCH("V2 BB share of new deployment (frac)",Assumptions!$A$1:$A$257,0))*G113 + INDEX(Assumptions!$B:$B,MATCH("V2 DTC share of new deployment (frac)",Assumptions!$A$1:$A$257,0))*G119 + 0.12*G137)</f>
        <v>1.5893285251246878</v>
      </c>
      <c r="H37" s="77">
        <f ca="1">IF(H$29=1, INDEX(Assumptions!$B:$B,MATCH("V3 BB share of new deployment (frac)",Assumptions!$A$1:$A$257,0))*H125 + INDEX(Assumptions!$B:$B,MATCH("V3 DTC share of new deployment (frac)",Assumptions!$A$1:$A$257,0))*H131, INDEX(Assumptions!$B:$B,MATCH("V2 BB share of new deployment (frac)",Assumptions!$A$1:$A$257,0))*H113 + INDEX(Assumptions!$B:$B,MATCH("V2 DTC share of new deployment (frac)",Assumptions!$A$1:$A$257,0))*H119 + 0.12*H137)</f>
        <v>1.4810863071188132</v>
      </c>
      <c r="I37" s="77">
        <f ca="1">IF(I$29=1, INDEX(Assumptions!$B:$B,MATCH("V3 BB share of new deployment (frac)",Assumptions!$A$1:$A$257,0))*I125 + INDEX(Assumptions!$B:$B,MATCH("V3 DTC share of new deployment (frac)",Assumptions!$A$1:$A$257,0))*I131, INDEX(Assumptions!$B:$B,MATCH("V2 BB share of new deployment (frac)",Assumptions!$A$1:$A$257,0))*I113 + INDEX(Assumptions!$B:$B,MATCH("V2 DTC share of new deployment (frac)",Assumptions!$A$1:$A$257,0))*I119 + 0.12*I137)</f>
        <v>1.3630977700298692</v>
      </c>
      <c r="J37" s="77">
        <f ca="1">IF(J$29=1, INDEX(Assumptions!$B:$B,MATCH("V3 BB share of new deployment (frac)",Assumptions!$A$1:$A$257,0))*J125 + INDEX(Assumptions!$B:$B,MATCH("V3 DTC share of new deployment (frac)",Assumptions!$A$1:$A$257,0))*J131, INDEX(Assumptions!$B:$B,MATCH("V2 BB share of new deployment (frac)",Assumptions!$A$1:$A$257,0))*J113 + INDEX(Assumptions!$B:$B,MATCH("V2 DTC share of new deployment (frac)",Assumptions!$A$1:$A$257,0))*J119 + 0.12*J137)</f>
        <v>1.2770076744242402</v>
      </c>
      <c r="K37" s="77">
        <f ca="1">IF(K$29=1, INDEX(Assumptions!$B:$B,MATCH("V3 BB share of new deployment (frac)",Assumptions!$A$1:$A$257,0))*K125 + INDEX(Assumptions!$B:$B,MATCH("V3 DTC share of new deployment (frac)",Assumptions!$A$1:$A$257,0))*K131, INDEX(Assumptions!$B:$B,MATCH("V2 BB share of new deployment (frac)",Assumptions!$A$1:$A$257,0))*K113 + INDEX(Assumptions!$B:$B,MATCH("V2 DTC share of new deployment (frac)",Assumptions!$A$1:$A$257,0))*K119 + 0.12*K137)</f>
        <v>1.2087558006598025</v>
      </c>
      <c r="L37" s="77">
        <f ca="1">IF(L$29=1, INDEX(Assumptions!$B:$B,MATCH("V3 BB share of new deployment (frac)",Assumptions!$A$1:$A$257,0))*L125 + INDEX(Assumptions!$B:$B,MATCH("V3 DTC share of new deployment (frac)",Assumptions!$A$1:$A$257,0))*L131, INDEX(Assumptions!$B:$B,MATCH("V2 BB share of new deployment (frac)",Assumptions!$A$1:$A$257,0))*L113 + INDEX(Assumptions!$B:$B,MATCH("V2 DTC share of new deployment (frac)",Assumptions!$A$1:$A$257,0))*L119 + 0.12*L137)</f>
        <v>1.1617272065703264</v>
      </c>
      <c r="M37" s="77">
        <f ca="1">IF(M$29=1, INDEX(Assumptions!$B:$B,MATCH("V3 BB share of new deployment (frac)",Assumptions!$A$1:$A$257,0))*M125 + INDEX(Assumptions!$B:$B,MATCH("V3 DTC share of new deployment (frac)",Assumptions!$A$1:$A$257,0))*M131, INDEX(Assumptions!$B:$B,MATCH("V2 BB share of new deployment (frac)",Assumptions!$A$1:$A$257,0))*M113 + INDEX(Assumptions!$B:$B,MATCH("V2 DTC share of new deployment (frac)",Assumptions!$A$1:$A$257,0))*M119 + 0.12*M137)</f>
        <v>1.137399321721591</v>
      </c>
      <c r="N37" s="77">
        <f ca="1">IF(N$29=1, INDEX(Assumptions!$B:$B,MATCH("V3 BB share of new deployment (frac)",Assumptions!$A$1:$A$257,0))*N125 + INDEX(Assumptions!$B:$B,MATCH("V3 DTC share of new deployment (frac)",Assumptions!$A$1:$A$257,0))*N131, INDEX(Assumptions!$B:$B,MATCH("V2 BB share of new deployment (frac)",Assumptions!$A$1:$A$257,0))*N113 + INDEX(Assumptions!$B:$B,MATCH("V2 DTC share of new deployment (frac)",Assumptions!$A$1:$A$257,0))*N119 + 0.12*N137)</f>
        <v>1.1028431858335133</v>
      </c>
      <c r="O37" s="77">
        <f ca="1">IF(O$29=1, INDEX(Assumptions!$B:$B,MATCH("V3 BB share of new deployment (frac)",Assumptions!$A$1:$A$257,0))*O125 + INDEX(Assumptions!$B:$B,MATCH("V3 DTC share of new deployment (frac)",Assumptions!$A$1:$A$257,0))*O131, INDEX(Assumptions!$B:$B,MATCH("V2 BB share of new deployment (frac)",Assumptions!$A$1:$A$257,0))*O113 + INDEX(Assumptions!$B:$B,MATCH("V2 DTC share of new deployment (frac)",Assumptions!$A$1:$A$257,0))*O119 + 0.12*O137)</f>
        <v>1.0761869011123728</v>
      </c>
      <c r="P37" s="77">
        <f ca="1">IF(P$29=1, INDEX(Assumptions!$B:$B,MATCH("V3 BB share of new deployment (frac)",Assumptions!$A$1:$A$257,0))*P125 + INDEX(Assumptions!$B:$B,MATCH("V3 DTC share of new deployment (frac)",Assumptions!$A$1:$A$257,0))*P131, INDEX(Assumptions!$B:$B,MATCH("V2 BB share of new deployment (frac)",Assumptions!$A$1:$A$257,0))*P113 + INDEX(Assumptions!$B:$B,MATCH("V2 DTC share of new deployment (frac)",Assumptions!$A$1:$A$257,0))*P119 + 0.12*P137)</f>
        <v>1.0497318344111062</v>
      </c>
      <c r="Q37" s="77">
        <f ca="1">IF(Q$29=1, INDEX(Assumptions!$B:$B,MATCH("V3 BB share of new deployment (frac)",Assumptions!$A$1:$A$257,0))*Q125 + INDEX(Assumptions!$B:$B,MATCH("V3 DTC share of new deployment (frac)",Assumptions!$A$1:$A$257,0))*Q131, INDEX(Assumptions!$B:$B,MATCH("V2 BB share of new deployment (frac)",Assumptions!$A$1:$A$257,0))*Q113 + INDEX(Assumptions!$B:$B,MATCH("V2 DTC share of new deployment (frac)",Assumptions!$A$1:$A$257,0))*Q119 + 0.12*Q137)</f>
        <v>1.0259429391840549</v>
      </c>
      <c r="R37" s="77">
        <f ca="1">IF(R$29=1, INDEX(Assumptions!$B:$B,MATCH("V3 BB share of new deployment (frac)",Assumptions!$A$1:$A$257,0))*R125 + INDEX(Assumptions!$B:$B,MATCH("V3 DTC share of new deployment (frac)",Assumptions!$A$1:$A$257,0))*R131, INDEX(Assumptions!$B:$B,MATCH("V2 BB share of new deployment (frac)",Assumptions!$A$1:$A$257,0))*R113 + INDEX(Assumptions!$B:$B,MATCH("V2 DTC share of new deployment (frac)",Assumptions!$A$1:$A$257,0))*R119 + 0.12*R137)</f>
        <v>1.0102255265380047</v>
      </c>
      <c r="S37" s="77">
        <f ca="1">IF(S$29=1, INDEX(Assumptions!$B:$B,MATCH("V3 BB share of new deployment (frac)",Assumptions!$A$1:$A$257,0))*S125 + INDEX(Assumptions!$B:$B,MATCH("V3 DTC share of new deployment (frac)",Assumptions!$A$1:$A$257,0))*S131, INDEX(Assumptions!$B:$B,MATCH("V2 BB share of new deployment (frac)",Assumptions!$A$1:$A$257,0))*S113 + INDEX(Assumptions!$B:$B,MATCH("V2 DTC share of new deployment (frac)",Assumptions!$A$1:$A$257,0))*S119 + 0.12*S137)</f>
        <v>0.99913786004372751</v>
      </c>
    </row>
    <row r="38" spans="1:19">
      <c r="A38" s="16" t="s">
        <v>976</v>
      </c>
      <c r="B38" s="3"/>
      <c r="C38" s="3"/>
      <c r="D38" s="70">
        <f>MAX(0,(INDEX('Demand Curves'!$B:$B,MATCH("BB Q breakpoint #56 (Gbps)",'Demand Curves'!$A$1:$A$167,0))-D176)/INDEX(Assumptions!$B:$B,MATCH("V3 BB Gbps per sat",Assumptions!$A$1:$A$257,0)))</f>
        <v>249585.856</v>
      </c>
      <c r="E38" s="70">
        <f>MAX(0,(INDEX('Demand Curves'!$B:$B,MATCH("BB Q breakpoint #56 (Gbps)",'Demand Curves'!$A$1:$A$167,0))-D176)/INDEX(Assumptions!$B:$B,MATCH("V3 BB Gbps per sat",Assumptions!$A$1:$A$257,0)))</f>
        <v>249585.856</v>
      </c>
      <c r="F38" s="77">
        <f ca="1">MAX(0,(INDEX('Demand Curves'!$B:$B,MATCH("BB Q breakpoint #56 (Gbps)",'Demand Curves'!$A$1:$A$167,0))-E176)/INDEX(Assumptions!$B:$B,MATCH("V3 BB Gbps per sat",Assumptions!$A$1:$A$257,0)))</f>
        <v>249286.33600000001</v>
      </c>
      <c r="G38" s="77">
        <f ca="1">MAX(0,(INDEX('Demand Curves'!$B:$B,MATCH("BB Q breakpoint #56 (Gbps)",'Demand Curves'!$A$1:$A$167,0))-F176)/INDEX(Assumptions!$B:$B,MATCH("V3 BB Gbps per sat",Assumptions!$A$1:$A$257,0)))</f>
        <v>245369.48255667323</v>
      </c>
      <c r="H38" s="77">
        <f ca="1">MAX(0,(INDEX('Demand Curves'!$B:$B,MATCH("BB Q breakpoint #56 (Gbps)",'Demand Curves'!$A$1:$A$167,0))-G176)/INDEX(Assumptions!$B:$B,MATCH("V3 BB Gbps per sat",Assumptions!$A$1:$A$257,0)))</f>
        <v>236090.17486440067</v>
      </c>
      <c r="I38" s="77">
        <f ca="1">MAX(0,(INDEX('Demand Curves'!$B:$B,MATCH("BB Q breakpoint #56 (Gbps)",'Demand Curves'!$A$1:$A$167,0))-H176)/INDEX(Assumptions!$B:$B,MATCH("V3 BB Gbps per sat",Assumptions!$A$1:$A$257,0)))</f>
        <v>212293.66109298007</v>
      </c>
      <c r="J38" s="77">
        <f ca="1">MAX(0,(INDEX('Demand Curves'!$B:$B,MATCH("BB Q breakpoint #56 (Gbps)",'Demand Curves'!$A$1:$A$167,0))-I176)/INDEX(Assumptions!$B:$B,MATCH("V3 BB Gbps per sat",Assumptions!$A$1:$A$257,0)))</f>
        <v>197400.59407357415</v>
      </c>
      <c r="K38" s="77">
        <f ca="1">MAX(0,(INDEX('Demand Curves'!$B:$B,MATCH("BB Q breakpoint #56 (Gbps)",'Demand Curves'!$A$1:$A$167,0))-J176)/INDEX(Assumptions!$B:$B,MATCH("V3 BB Gbps per sat",Assumptions!$A$1:$A$257,0)))</f>
        <v>168753.20400509943</v>
      </c>
      <c r="L38" s="77">
        <f ca="1">MAX(0,(INDEX('Demand Curves'!$B:$B,MATCH("BB Q breakpoint #56 (Gbps)",'Demand Curves'!$A$1:$A$167,0))-K176)/INDEX(Assumptions!$B:$B,MATCH("V3 BB Gbps per sat",Assumptions!$A$1:$A$257,0)))</f>
        <v>156269.99861660055</v>
      </c>
      <c r="M38" s="77">
        <f ca="1">MAX(0,(INDEX('Demand Curves'!$B:$B,MATCH("BB Q breakpoint #56 (Gbps)",'Demand Curves'!$A$1:$A$167,0))-L176)/INDEX(Assumptions!$B:$B,MATCH("V3 BB Gbps per sat",Assumptions!$A$1:$A$257,0)))</f>
        <v>160818.47956536658</v>
      </c>
      <c r="N38" s="77">
        <f ca="1">MAX(0,(INDEX('Demand Curves'!$B:$B,MATCH("BB Q breakpoint #56 (Gbps)",'Demand Curves'!$A$1:$A$167,0))-M176)/INDEX(Assumptions!$B:$B,MATCH("V3 BB Gbps per sat",Assumptions!$A$1:$A$257,0)))</f>
        <v>162007.93423524726</v>
      </c>
      <c r="O38" s="77">
        <f ca="1">MAX(0,(INDEX('Demand Curves'!$B:$B,MATCH("BB Q breakpoint #56 (Gbps)",'Demand Curves'!$A$1:$A$167,0))-N176)/INDEX(Assumptions!$B:$B,MATCH("V3 BB Gbps per sat",Assumptions!$A$1:$A$257,0)))</f>
        <v>134603.08485242503</v>
      </c>
      <c r="P38" s="77">
        <f ca="1">MAX(0,(INDEX('Demand Curves'!$B:$B,MATCH("BB Q breakpoint #56 (Gbps)",'Demand Curves'!$A$1:$A$167,0))-O176)/INDEX(Assumptions!$B:$B,MATCH("V3 BB Gbps per sat",Assumptions!$A$1:$A$257,0)))</f>
        <v>89827.9430951018</v>
      </c>
      <c r="Q38" s="77">
        <f ca="1">MAX(0,(INDEX('Demand Curves'!$B:$B,MATCH("BB Q breakpoint #56 (Gbps)",'Demand Curves'!$A$1:$A$167,0))-P176)/INDEX(Assumptions!$B:$B,MATCH("V3 BB Gbps per sat",Assumptions!$A$1:$A$257,0)))</f>
        <v>54407.050838862655</v>
      </c>
      <c r="R38" s="77">
        <f ca="1">MAX(0,(INDEX('Demand Curves'!$B:$B,MATCH("BB Q breakpoint #56 (Gbps)",'Demand Curves'!$A$1:$A$167,0))-Q176)/INDEX(Assumptions!$B:$B,MATCH("V3 BB Gbps per sat",Assumptions!$A$1:$A$257,0)))</f>
        <v>28945.530056348354</v>
      </c>
      <c r="S38" s="77">
        <f ca="1">MAX(0,(INDEX('Demand Curves'!$B:$B,MATCH("BB Q breakpoint #56 (Gbps)",'Demand Curves'!$A$1:$A$167,0))-R176)/INDEX(Assumptions!$B:$B,MATCH("V3 BB Gbps per sat",Assumptions!$A$1:$A$257,0)))</f>
        <v>35771.676025031149</v>
      </c>
    </row>
    <row r="39" spans="1:19">
      <c r="A39" s="5" t="s">
        <v>977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5" t="s">
        <v>978</v>
      </c>
      <c r="B40" s="3"/>
      <c r="C40" s="3"/>
      <c r="D40" s="70">
        <f>INDEX(Assumptions!$B:$B,MATCH("Legacy V1 active sats end-2025",Assumptions!$A$1:$A$257,0))</f>
        <v>866</v>
      </c>
      <c r="E40" s="70">
        <f>MAX(0, D40 - IF(AND(E$4&gt;=INDEX(Assumptions!$B:$B,MATCH("Legacy V1 base deorbit start year",Assumptions!$A$1:$A$257,0)),E$4&lt;=INDEX(Assumptions!$B:$B,MATCH("Legacy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F40" s="70">
        <f>MAX(0, E40 - IF(AND(F$4&gt;=INDEX(Assumptions!$B:$B,MATCH("Legacy V1 base deorbit start year",Assumptions!$A$1:$A$257,0)),F$4&lt;=INDEX(Assumptions!$B:$B,MATCH("Legacy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G40" s="70">
        <f>MAX(0, F40 - IF(AND(G$4&gt;=INDEX(Assumptions!$B:$B,MATCH("Legacy V1 base deorbit start year",Assumptions!$A$1:$A$257,0)),G$4&lt;=INDEX(Assumptions!$B:$B,MATCH("Legacy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H40" s="70">
        <f>MAX(0, G40 - IF(AND(H$4&gt;=INDEX(Assumptions!$B:$B,MATCH("Legacy V1 base deorbit start year",Assumptions!$A$1:$A$257,0)),H$4&lt;=INDEX(Assumptions!$B:$B,MATCH("Legacy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I40" s="70">
        <f>MAX(0, H40 - IF(AND(I$4&gt;=INDEX(Assumptions!$B:$B,MATCH("Legacy V1 base deorbit start year",Assumptions!$A$1:$A$257,0)),I$4&lt;=INDEX(Assumptions!$B:$B,MATCH("Legacy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J40" s="70">
        <f>MAX(0, I40 - IF(AND(J$4&gt;=INDEX(Assumptions!$B:$B,MATCH("Legacy V1 base deorbit start year",Assumptions!$A$1:$A$257,0)),J$4&lt;=INDEX(Assumptions!$B:$B,MATCH("Legacy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K40" s="70">
        <f>MAX(0, J40 - IF(AND(K$4&gt;=INDEX(Assumptions!$B:$B,MATCH("Legacy V1 base deorbit start year",Assumptions!$A$1:$A$257,0)),K$4&lt;=INDEX(Assumptions!$B:$B,MATCH("Legacy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L40" s="70">
        <f>MAX(0, K40 - IF(AND(L$4&gt;=INDEX(Assumptions!$B:$B,MATCH("Legacy V1 base deorbit start year",Assumptions!$A$1:$A$257,0)),L$4&lt;=INDEX(Assumptions!$B:$B,MATCH("Legacy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M40" s="70">
        <f>MAX(0, L40 - IF(AND(M$4&gt;=INDEX(Assumptions!$B:$B,MATCH("Legacy V1 base deorbit start year",Assumptions!$A$1:$A$257,0)),M$4&lt;=INDEX(Assumptions!$B:$B,MATCH("Legacy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N40" s="70">
        <f>MAX(0, M40 - IF(AND(N$4&gt;=INDEX(Assumptions!$B:$B,MATCH("Legacy V1 base deorbit start year",Assumptions!$A$1:$A$257,0)),N$4&lt;=INDEX(Assumptions!$B:$B,MATCH("Legacy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O40" s="70">
        <f>MAX(0, N40 - IF(AND(O$4&gt;=INDEX(Assumptions!$B:$B,MATCH("Legacy V1 base deorbit start year",Assumptions!$A$1:$A$257,0)),O$4&lt;=INDEX(Assumptions!$B:$B,MATCH("Legacy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P40" s="70">
        <f>MAX(0, O40 - IF(AND(P$4&gt;=INDEX(Assumptions!$B:$B,MATCH("Legacy V1 base deorbit start year",Assumptions!$A$1:$A$257,0)),P$4&lt;=INDEX(Assumptions!$B:$B,MATCH("Legacy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Q40" s="70">
        <f>MAX(0, P40 - IF(AND(Q$4&gt;=INDEX(Assumptions!$B:$B,MATCH("Legacy V1 base deorbit start year",Assumptions!$A$1:$A$257,0)),Q$4&lt;=INDEX(Assumptions!$B:$B,MATCH("Legacy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R40" s="70">
        <f>MAX(0, Q40 - IF(AND(R$4&gt;=INDEX(Assumptions!$B:$B,MATCH("Legacy V1 base deorbit start year",Assumptions!$A$1:$A$257,0)),R$4&lt;=INDEX(Assumptions!$B:$B,MATCH("Legacy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  <c r="S40" s="70">
        <f>MAX(0, R40 - IF(AND(S$4&gt;=INDEX(Assumptions!$B:$B,MATCH("Legacy V1 base deorbit start year",Assumptions!$A$1:$A$257,0)),S$4&lt;=INDEX(Assumptions!$B:$B,MATCH("Legacy V1 base deorbit end year",Assumptions!$A$1:$A$257,0))),$D$40/(INDEX(Assumptions!$B:$B,MATCH("Legacy V1 base deorbit end year",Assumptions!$A$1:$A$257,0))-INDEX(Assumptions!$B:$B,MATCH("Legacy V1 base deorbit start year",Assumptions!$A$1:$A$257,0))+1),0))</f>
        <v>0</v>
      </c>
    </row>
    <row r="41" spans="1:19">
      <c r="A41" s="5" t="s">
        <v>979</v>
      </c>
      <c r="B41" s="3"/>
      <c r="C41" s="3"/>
      <c r="D41" s="70">
        <f>INDEX(Assumptions!$B:$B,MATCH("Legacy V1.5 active sats end-2025",Assumptions!$A$1:$A$257,0))</f>
        <v>2692</v>
      </c>
      <c r="E41" s="70">
        <f>MAX(0, D41 - IF(AND(E$4&gt;=INDEX(Assumptions!$B:$B,MATCH("Legacy V1.5 base deorbit start year",Assumptions!$A$1:$A$257,0)),E$4&lt;=INDEX(Assumptions!$B:$B,MATCH("Legacy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1794.6666666666665</v>
      </c>
      <c r="F41" s="70">
        <f>MAX(0, E41 - IF(AND(F$4&gt;=INDEX(Assumptions!$B:$B,MATCH("Legacy V1.5 base deorbit start year",Assumptions!$A$1:$A$257,0)),F$4&lt;=INDEX(Assumptions!$B:$B,MATCH("Legacy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897.33333333333314</v>
      </c>
      <c r="G41" s="70">
        <f>MAX(0, F41 - IF(AND(G$4&gt;=INDEX(Assumptions!$B:$B,MATCH("Legacy V1.5 base deorbit start year",Assumptions!$A$1:$A$257,0)),G$4&lt;=INDEX(Assumptions!$B:$B,MATCH("Legacy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H41" s="70">
        <f>MAX(0, G41 - IF(AND(H$4&gt;=INDEX(Assumptions!$B:$B,MATCH("Legacy V1.5 base deorbit start year",Assumptions!$A$1:$A$257,0)),H$4&lt;=INDEX(Assumptions!$B:$B,MATCH("Legacy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I41" s="70">
        <f>MAX(0, H41 - IF(AND(I$4&gt;=INDEX(Assumptions!$B:$B,MATCH("Legacy V1.5 base deorbit start year",Assumptions!$A$1:$A$257,0)),I$4&lt;=INDEX(Assumptions!$B:$B,MATCH("Legacy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J41" s="70">
        <f>MAX(0, I41 - IF(AND(J$4&gt;=INDEX(Assumptions!$B:$B,MATCH("Legacy V1.5 base deorbit start year",Assumptions!$A$1:$A$257,0)),J$4&lt;=INDEX(Assumptions!$B:$B,MATCH("Legacy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K41" s="70">
        <f>MAX(0, J41 - IF(AND(K$4&gt;=INDEX(Assumptions!$B:$B,MATCH("Legacy V1.5 base deorbit start year",Assumptions!$A$1:$A$257,0)),K$4&lt;=INDEX(Assumptions!$B:$B,MATCH("Legacy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L41" s="70">
        <f>MAX(0, K41 - IF(AND(L$4&gt;=INDEX(Assumptions!$B:$B,MATCH("Legacy V1.5 base deorbit start year",Assumptions!$A$1:$A$257,0)),L$4&lt;=INDEX(Assumptions!$B:$B,MATCH("Legacy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M41" s="70">
        <f>MAX(0, L41 - IF(AND(M$4&gt;=INDEX(Assumptions!$B:$B,MATCH("Legacy V1.5 base deorbit start year",Assumptions!$A$1:$A$257,0)),M$4&lt;=INDEX(Assumptions!$B:$B,MATCH("Legacy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N41" s="70">
        <f>MAX(0, M41 - IF(AND(N$4&gt;=INDEX(Assumptions!$B:$B,MATCH("Legacy V1.5 base deorbit start year",Assumptions!$A$1:$A$257,0)),N$4&lt;=INDEX(Assumptions!$B:$B,MATCH("Legacy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O41" s="70">
        <f>MAX(0, N41 - IF(AND(O$4&gt;=INDEX(Assumptions!$B:$B,MATCH("Legacy V1.5 base deorbit start year",Assumptions!$A$1:$A$257,0)),O$4&lt;=INDEX(Assumptions!$B:$B,MATCH("Legacy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P41" s="70">
        <f>MAX(0, O41 - IF(AND(P$4&gt;=INDEX(Assumptions!$B:$B,MATCH("Legacy V1.5 base deorbit start year",Assumptions!$A$1:$A$257,0)),P$4&lt;=INDEX(Assumptions!$B:$B,MATCH("Legacy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Q41" s="70">
        <f>MAX(0, P41 - IF(AND(Q$4&gt;=INDEX(Assumptions!$B:$B,MATCH("Legacy V1.5 base deorbit start year",Assumptions!$A$1:$A$257,0)),Q$4&lt;=INDEX(Assumptions!$B:$B,MATCH("Legacy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R41" s="70">
        <f>MAX(0, Q41 - IF(AND(R$4&gt;=INDEX(Assumptions!$B:$B,MATCH("Legacy V1.5 base deorbit start year",Assumptions!$A$1:$A$257,0)),R$4&lt;=INDEX(Assumptions!$B:$B,MATCH("Legacy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  <c r="S41" s="70">
        <f>MAX(0, R41 - IF(AND(S$4&gt;=INDEX(Assumptions!$B:$B,MATCH("Legacy V1.5 base deorbit start year",Assumptions!$A$1:$A$257,0)),S$4&lt;=INDEX(Assumptions!$B:$B,MATCH("Legacy V1.5 base deorbit end year",Assumptions!$A$1:$A$257,0))),$D$41/(INDEX(Assumptions!$B:$B,MATCH("Legacy V1.5 base deorbit end year",Assumptions!$A$1:$A$257,0))-INDEX(Assumptions!$B:$B,MATCH("Legacy V1.5 base deorbit start year",Assumptions!$A$1:$A$257,0))+1),0))</f>
        <v>0</v>
      </c>
    </row>
    <row r="42" spans="1:19">
      <c r="A42" s="5" t="s">
        <v>980</v>
      </c>
      <c r="B42" s="3"/>
      <c r="C42" s="3"/>
      <c r="D42" s="70">
        <f>INDEX(Assumptions!$B:$B,MATCH("V2 Mini BB sats end-2025",Assumptions!$A$1:$A$257,0))</f>
        <v>4314</v>
      </c>
      <c r="E42" s="70">
        <f t="array" aca="1" ref="E42" ca="1">MAX(0, D42 + E$32 - IFERROR(IF(E$5-$D$15&gt;=1, INDEX($D$32:$AC$32, E$5-$D$15+1), 0),0) - IF(AND(E$4&gt;=INDEX(Assumptions!$B:$B,MATCH("V2 Mini BB base deorbit start year",Assumptions!$A$1:$A$257,0)),E$4&lt;=INDEX(Assumptions!$B:$B,MATCH("V2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7434</v>
      </c>
      <c r="F42" s="70">
        <f t="array" aca="1" ref="F42" ca="1">MAX(0, E42 + F$32 - IFERROR(IF(F$5-$D$15&gt;=1, INDEX($D$32:$AC$32, F$5-$D$15+1), 0),0) - IF(AND(F$4&gt;=INDEX(Assumptions!$B:$B,MATCH("V2 Mini BB base deorbit start year",Assumptions!$A$1:$A$257,0)),F$4&lt;=INDEX(Assumptions!$B:$B,MATCH("V2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7434</v>
      </c>
      <c r="G42" s="70">
        <f t="array" aca="1" ref="G42" ca="1">MAX(0, F42 + G$32 - IFERROR(IF(G$5-$D$15&gt;=1, INDEX($D$32:$AC$32, G$5-$D$15+1), 0),0) - IF(AND(G$4&gt;=INDEX(Assumptions!$B:$B,MATCH("V2 Mini BB base deorbit start year",Assumptions!$A$1:$A$257,0)),G$4&lt;=INDEX(Assumptions!$B:$B,MATCH("V2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5996</v>
      </c>
      <c r="H42" s="70">
        <f t="array" aca="1" ref="H42" ca="1">MAX(0, G42 + H$32 - IFERROR(IF(H$5-$D$15&gt;=1, INDEX($D$32:$AC$32, H$5-$D$15+1), 0),0) - IF(AND(H$4&gt;=INDEX(Assumptions!$B:$B,MATCH("V2 Mini BB base deorbit start year",Assumptions!$A$1:$A$257,0)),H$4&lt;=INDEX(Assumptions!$B:$B,MATCH("V2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4558</v>
      </c>
      <c r="I42" s="70">
        <f t="array" aca="1" ref="I42" ca="1">MAX(0, H42 + I$32 - IFERROR(IF(I$5-$D$15&gt;=1, INDEX($D$32:$AC$32, I$5-$D$15+1), 0),0) - IF(AND(I$4&gt;=INDEX(Assumptions!$B:$B,MATCH("V2 Mini BB base deorbit start year",Assumptions!$A$1:$A$257,0)),I$4&lt;=INDEX(Assumptions!$B:$B,MATCH("V2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3120</v>
      </c>
      <c r="J42" s="70">
        <f t="array" aca="1" ref="J42" ca="1">MAX(0, I42 + J$32 - IFERROR(IF(J$5-$D$15&gt;=1, INDEX($D$32:$AC$32, J$5-$D$15+1), 0),0) - IF(AND(J$4&gt;=INDEX(Assumptions!$B:$B,MATCH("V2 Mini BB base deorbit start year",Assumptions!$A$1:$A$257,0)),J$4&lt;=INDEX(Assumptions!$B:$B,MATCH("V2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K42" s="70">
        <f t="array" aca="1" ref="K42" ca="1">MAX(0, J42 + K$32 - IFERROR(IF(K$5-$D$15&gt;=1, INDEX($D$32:$AC$32, K$5-$D$15+1), 0),0) - IF(AND(K$4&gt;=INDEX(Assumptions!$B:$B,MATCH("V2 Mini BB base deorbit start year",Assumptions!$A$1:$A$257,0)),K$4&lt;=INDEX(Assumptions!$B:$B,MATCH("V2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L42" s="70">
        <f t="array" aca="1" ref="L42" ca="1">MAX(0, K42 + L$32 - IFERROR(IF(L$5-$D$15&gt;=1, INDEX($D$32:$AC$32, L$5-$D$15+1), 0),0) - IF(AND(L$4&gt;=INDEX(Assumptions!$B:$B,MATCH("V2 Mini BB base deorbit start year",Assumptions!$A$1:$A$257,0)),L$4&lt;=INDEX(Assumptions!$B:$B,MATCH("V2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M42" s="70">
        <f t="array" aca="1" ref="M42" ca="1">MAX(0, L42 + M$32 - IFERROR(IF(M$5-$D$15&gt;=1, INDEX($D$32:$AC$32, M$5-$D$15+1), 0),0) - IF(AND(M$4&gt;=INDEX(Assumptions!$B:$B,MATCH("V2 Mini BB base deorbit start year",Assumptions!$A$1:$A$257,0)),M$4&lt;=INDEX(Assumptions!$B:$B,MATCH("V2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N42" s="70">
        <f t="array" aca="1" ref="N42" ca="1">MAX(0, M42 + N$32 - IFERROR(IF(N$5-$D$15&gt;=1, INDEX($D$32:$AC$32, N$5-$D$15+1), 0),0) - IF(AND(N$4&gt;=INDEX(Assumptions!$B:$B,MATCH("V2 Mini BB base deorbit start year",Assumptions!$A$1:$A$257,0)),N$4&lt;=INDEX(Assumptions!$B:$B,MATCH("V2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O42" s="70">
        <f t="array" aca="1" ref="O42" ca="1">MAX(0, N42 + O$32 - IFERROR(IF(O$5-$D$15&gt;=1, INDEX($D$32:$AC$32, O$5-$D$15+1), 0),0) - IF(AND(O$4&gt;=INDEX(Assumptions!$B:$B,MATCH("V2 Mini BB base deorbit start year",Assumptions!$A$1:$A$257,0)),O$4&lt;=INDEX(Assumptions!$B:$B,MATCH("V2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P42" s="70">
        <f t="array" aca="1" ref="P42" ca="1">MAX(0, O42 + P$32 - IFERROR(IF(P$5-$D$15&gt;=1, INDEX($D$32:$AC$32, P$5-$D$15+1), 0),0) - IF(AND(P$4&gt;=INDEX(Assumptions!$B:$B,MATCH("V2 Mini BB base deorbit start year",Assumptions!$A$1:$A$257,0)),P$4&lt;=INDEX(Assumptions!$B:$B,MATCH("V2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Q42" s="70">
        <f t="array" aca="1" ref="Q42" ca="1">MAX(0, P42 + Q$32 - IFERROR(IF(Q$5-$D$15&gt;=1, INDEX($D$32:$AC$32, Q$5-$D$15+1), 0),0) - IF(AND(Q$4&gt;=INDEX(Assumptions!$B:$B,MATCH("V2 Mini BB base deorbit start year",Assumptions!$A$1:$A$257,0)),Q$4&lt;=INDEX(Assumptions!$B:$B,MATCH("V2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R42" s="70">
        <f t="array" aca="1" ref="R42" ca="1">MAX(0, Q42 + R$32 - IFERROR(IF(R$5-$D$15&gt;=1, INDEX($D$32:$AC$32, R$5-$D$15+1), 0),0) - IF(AND(R$4&gt;=INDEX(Assumptions!$B:$B,MATCH("V2 Mini BB base deorbit start year",Assumptions!$A$1:$A$257,0)),R$4&lt;=INDEX(Assumptions!$B:$B,MATCH("V2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  <c r="S42" s="70">
        <f t="array" aca="1" ref="S42" ca="1">MAX(0, R42 + S$32 - IFERROR(IF(S$5-$D$15&gt;=1, INDEX($D$32:$AC$32, S$5-$D$15+1), 0),0) - IF(AND(S$4&gt;=INDEX(Assumptions!$B:$B,MATCH("V2 Mini BB base deorbit start year",Assumptions!$A$1:$A$257,0)),S$4&lt;=INDEX(Assumptions!$B:$B,MATCH("V2 Mini BB base deorbit end year",Assumptions!$A$1:$A$257,0))),$D$42/(INDEX(Assumptions!$B:$B,MATCH("V2 Mini BB base deorbit end year",Assumptions!$A$1:$A$257,0))-INDEX(Assumptions!$B:$B,MATCH("V2 Mini BB base deorbit start year",Assumptions!$A$1:$A$257,0))+1),0))</f>
        <v>0</v>
      </c>
    </row>
    <row r="43" spans="1:19">
      <c r="A43" s="5" t="s">
        <v>981</v>
      </c>
      <c r="B43" s="3"/>
      <c r="C43" s="3"/>
      <c r="D43" s="29">
        <f>0</f>
        <v>0</v>
      </c>
      <c r="E43" s="29">
        <f t="array" ref="E43">MAX(0, D43 + E$34 - IFERROR(IF(E$5-$D$15&gt;=1, INDEX($D$34:$AC$34, E$5-$D$15+1), 0),0))</f>
        <v>0</v>
      </c>
      <c r="F43" s="29">
        <f t="array" aca="1" ref="F43" ca="1">MAX(0, E43 + F$34 - IFERROR(IF(F$5-$D$15&gt;=1, INDEX($D$34:$AC$34, F$5-$D$15+1), 0),0))</f>
        <v>3916.853443326761</v>
      </c>
      <c r="G43" s="29">
        <f t="array" aca="1" ref="G43" ca="1">MAX(0, F43 + G$34 - IFERROR(IF(G$5-$D$15&gt;=1, INDEX($D$34:$AC$34, G$5-$D$15+1), 0),0))</f>
        <v>13334.209135599311</v>
      </c>
      <c r="H43" s="29">
        <f t="array" aca="1" ref="H43" ca="1">MAX(0, G43 + H$34 - IFERROR(IF(H$5-$D$15&gt;=1, INDEX($D$34:$AC$34, H$5-$D$15+1), 0),0))</f>
        <v>37268.770907019949</v>
      </c>
      <c r="I43" s="29">
        <f t="array" aca="1" ref="I43" ca="1">MAX(0, H43 + I$34 - IFERROR(IF(I$5-$D$15&gt;=1, INDEX($D$34:$AC$34, I$5-$D$15+1), 0),0))</f>
        <v>52299.885926425835</v>
      </c>
      <c r="J43" s="29">
        <f t="array" aca="1" ref="J43" ca="1">MAX(0, I43 + J$34 - IFERROR(IF(J$5-$D$15&gt;=1, INDEX($D$34:$AC$34, J$5-$D$15+1), 0),0))</f>
        <v>81246.795994900604</v>
      </c>
      <c r="K43" s="29">
        <f t="array" aca="1" ref="K43" ca="1">MAX(0, J43 + K$34 - IFERROR(IF(K$5-$D$15&gt;=1, INDEX($D$34:$AC$34, K$5-$D$15+1), 0),0))</f>
        <v>93730.00138339946</v>
      </c>
      <c r="L43" s="29">
        <f t="array" aca="1" ref="L43" ca="1">MAX(0, K43 + L$34 - IFERROR(IF(L$5-$D$15&gt;=1, INDEX($D$34:$AC$34, L$5-$D$15+1), 0),0))</f>
        <v>89181.520434633436</v>
      </c>
      <c r="M43" s="29">
        <f t="array" aca="1" ref="M43" ca="1">MAX(0, L43 + M$34 - IFERROR(IF(M$5-$D$15&gt;=1, INDEX($D$34:$AC$34, M$5-$D$15+1), 0),0))</f>
        <v>87992.065764752741</v>
      </c>
      <c r="N43" s="29">
        <f t="array" aca="1" ref="N43" ca="1">MAX(0, M43 + N$34 - IFERROR(IF(N$5-$D$15&gt;=1, INDEX($D$34:$AC$34, N$5-$D$15+1), 0),0))</f>
        <v>115396.91514757498</v>
      </c>
      <c r="O43" s="29">
        <f t="array" aca="1" ref="O43" ca="1">MAX(0, N43 + O$34 - IFERROR(IF(O$5-$D$15&gt;=1, INDEX($D$34:$AC$34, O$5-$D$15+1), 0),0))</f>
        <v>160172.0569048982</v>
      </c>
      <c r="P43" s="29">
        <f t="array" aca="1" ref="P43" ca="1">MAX(0, O43 + P$34 - IFERROR(IF(P$5-$D$15&gt;=1, INDEX($D$34:$AC$34, P$5-$D$15+1), 0),0))</f>
        <v>195592.94916113734</v>
      </c>
      <c r="Q43" s="29">
        <f t="array" aca="1" ref="Q43" ca="1">MAX(0, P43 + Q$34 - IFERROR(IF(Q$5-$D$15&gt;=1, INDEX($D$34:$AC$34, Q$5-$D$15+1), 0),0))</f>
        <v>221054.46994365164</v>
      </c>
      <c r="R43" s="29">
        <f t="array" aca="1" ref="R43" ca="1">MAX(0, Q43 + R$34 - IFERROR(IF(R$5-$D$15&gt;=1, INDEX($D$34:$AC$34, R$5-$D$15+1), 0),0))</f>
        <v>214228.32397496887</v>
      </c>
      <c r="S43" s="29">
        <f t="array" aca="1" ref="S43" ca="1">MAX(0, R43 + S$34 - IFERROR(IF(S$5-$D$15&gt;=1, INDEX($D$34:$AC$34, S$5-$D$15+1), 0),0))</f>
        <v>188862.32163178315</v>
      </c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5" t="s">
        <v>982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5" t="s">
        <v>983</v>
      </c>
      <c r="B46" s="3"/>
      <c r="C46" s="3"/>
      <c r="D46" s="70">
        <f>D40*INDEX(Assumptions!$B:$B,MATCH("Legacy V1 Gbps per sat",Assumptions!$A$1:$A$257,0)) + D41*INDEX(Assumptions!$B:$B,MATCH("Legacy V1.5 Gbps per sat",Assumptions!$A$1:$A$257,0))</f>
        <v>75000</v>
      </c>
      <c r="E46" s="70">
        <f>E40*INDEX(Assumptions!$B:$B,MATCH("Legacy V1 Gbps per sat",Assumptions!$A$1:$A$257,0)) + E41*INDEX(Assumptions!$B:$B,MATCH("Legacy V1.5 Gbps per sat",Assumptions!$A$1:$A$257,0))</f>
        <v>43072</v>
      </c>
      <c r="F46" s="70">
        <f>F40*INDEX(Assumptions!$B:$B,MATCH("Legacy V1 Gbps per sat",Assumptions!$A$1:$A$257,0)) + F41*INDEX(Assumptions!$B:$B,MATCH("Legacy V1.5 Gbps per sat",Assumptions!$A$1:$A$257,0))</f>
        <v>21535.999999999996</v>
      </c>
      <c r="G46" s="70">
        <f>G40*INDEX(Assumptions!$B:$B,MATCH("Legacy V1 Gbps per sat",Assumptions!$A$1:$A$257,0)) + G41*INDEX(Assumptions!$B:$B,MATCH("Legacy V1.5 Gbps per sat",Assumptions!$A$1:$A$257,0))</f>
        <v>0</v>
      </c>
      <c r="H46" s="70">
        <f>H40*INDEX(Assumptions!$B:$B,MATCH("Legacy V1 Gbps per sat",Assumptions!$A$1:$A$257,0)) + H41*INDEX(Assumptions!$B:$B,MATCH("Legacy V1.5 Gbps per sat",Assumptions!$A$1:$A$257,0))</f>
        <v>0</v>
      </c>
      <c r="I46" s="70">
        <f>I40*INDEX(Assumptions!$B:$B,MATCH("Legacy V1 Gbps per sat",Assumptions!$A$1:$A$257,0)) + I41*INDEX(Assumptions!$B:$B,MATCH("Legacy V1.5 Gbps per sat",Assumptions!$A$1:$A$257,0))</f>
        <v>0</v>
      </c>
      <c r="J46" s="70">
        <f>J40*INDEX(Assumptions!$B:$B,MATCH("Legacy V1 Gbps per sat",Assumptions!$A$1:$A$257,0)) + J41*INDEX(Assumptions!$B:$B,MATCH("Legacy V1.5 Gbps per sat",Assumptions!$A$1:$A$257,0))</f>
        <v>0</v>
      </c>
      <c r="K46" s="70">
        <f>K40*INDEX(Assumptions!$B:$B,MATCH("Legacy V1 Gbps per sat",Assumptions!$A$1:$A$257,0)) + K41*INDEX(Assumptions!$B:$B,MATCH("Legacy V1.5 Gbps per sat",Assumptions!$A$1:$A$257,0))</f>
        <v>0</v>
      </c>
      <c r="L46" s="70">
        <f>L40*INDEX(Assumptions!$B:$B,MATCH("Legacy V1 Gbps per sat",Assumptions!$A$1:$A$257,0)) + L41*INDEX(Assumptions!$B:$B,MATCH("Legacy V1.5 Gbps per sat",Assumptions!$A$1:$A$257,0))</f>
        <v>0</v>
      </c>
      <c r="M46" s="70">
        <f>M40*INDEX(Assumptions!$B:$B,MATCH("Legacy V1 Gbps per sat",Assumptions!$A$1:$A$257,0)) + M41*INDEX(Assumptions!$B:$B,MATCH("Legacy V1.5 Gbps per sat",Assumptions!$A$1:$A$257,0))</f>
        <v>0</v>
      </c>
      <c r="N46" s="70">
        <f>N40*INDEX(Assumptions!$B:$B,MATCH("Legacy V1 Gbps per sat",Assumptions!$A$1:$A$257,0)) + N41*INDEX(Assumptions!$B:$B,MATCH("Legacy V1.5 Gbps per sat",Assumptions!$A$1:$A$257,0))</f>
        <v>0</v>
      </c>
      <c r="O46" s="70">
        <f>O40*INDEX(Assumptions!$B:$B,MATCH("Legacy V1 Gbps per sat",Assumptions!$A$1:$A$257,0)) + O41*INDEX(Assumptions!$B:$B,MATCH("Legacy V1.5 Gbps per sat",Assumptions!$A$1:$A$257,0))</f>
        <v>0</v>
      </c>
      <c r="P46" s="70">
        <f>P40*INDEX(Assumptions!$B:$B,MATCH("Legacy V1 Gbps per sat",Assumptions!$A$1:$A$257,0)) + P41*INDEX(Assumptions!$B:$B,MATCH("Legacy V1.5 Gbps per sat",Assumptions!$A$1:$A$257,0))</f>
        <v>0</v>
      </c>
      <c r="Q46" s="70">
        <f>Q40*INDEX(Assumptions!$B:$B,MATCH("Legacy V1 Gbps per sat",Assumptions!$A$1:$A$257,0)) + Q41*INDEX(Assumptions!$B:$B,MATCH("Legacy V1.5 Gbps per sat",Assumptions!$A$1:$A$257,0))</f>
        <v>0</v>
      </c>
      <c r="R46" s="70">
        <f>R40*INDEX(Assumptions!$B:$B,MATCH("Legacy V1 Gbps per sat",Assumptions!$A$1:$A$257,0)) + R41*INDEX(Assumptions!$B:$B,MATCH("Legacy V1.5 Gbps per sat",Assumptions!$A$1:$A$257,0))</f>
        <v>0</v>
      </c>
      <c r="S46" s="70">
        <f>S40*INDEX(Assumptions!$B:$B,MATCH("Legacy V1 Gbps per sat",Assumptions!$A$1:$A$257,0)) + S41*INDEX(Assumptions!$B:$B,MATCH("Legacy V1.5 Gbps per sat",Assumptions!$A$1:$A$257,0))</f>
        <v>0</v>
      </c>
    </row>
    <row r="47" spans="1:19">
      <c r="A47" s="5" t="s">
        <v>984</v>
      </c>
      <c r="B47" s="3"/>
      <c r="C47" s="3"/>
      <c r="D47" s="70">
        <f>D42*INDEX(Assumptions!$B:$B,MATCH("V2 BB Gbps per sat",Assumptions!$A$1:$A$257,0))</f>
        <v>414144</v>
      </c>
      <c r="E47" s="70">
        <f ca="1">E42*INDEX(Assumptions!$B:$B,MATCH("V2 BB Gbps per sat",Assumptions!$A$1:$A$257,0))</f>
        <v>713664</v>
      </c>
      <c r="F47" s="70">
        <f ca="1">F42*INDEX(Assumptions!$B:$B,MATCH("V2 BB Gbps per sat",Assumptions!$A$1:$A$257,0))</f>
        <v>713664</v>
      </c>
      <c r="G47" s="70">
        <f ca="1">G42*INDEX(Assumptions!$B:$B,MATCH("V2 BB Gbps per sat",Assumptions!$A$1:$A$257,0))</f>
        <v>575616</v>
      </c>
      <c r="H47" s="70">
        <f ca="1">H42*INDEX(Assumptions!$B:$B,MATCH("V2 BB Gbps per sat",Assumptions!$A$1:$A$257,0))</f>
        <v>437568</v>
      </c>
      <c r="I47" s="70">
        <f ca="1">I42*INDEX(Assumptions!$B:$B,MATCH("V2 BB Gbps per sat",Assumptions!$A$1:$A$257,0))</f>
        <v>299520</v>
      </c>
      <c r="J47" s="70">
        <f ca="1">J42*INDEX(Assumptions!$B:$B,MATCH("V2 BB Gbps per sat",Assumptions!$A$1:$A$257,0))</f>
        <v>0</v>
      </c>
      <c r="K47" s="70">
        <f ca="1">K42*INDEX(Assumptions!$B:$B,MATCH("V2 BB Gbps per sat",Assumptions!$A$1:$A$257,0))</f>
        <v>0</v>
      </c>
      <c r="L47" s="70">
        <f ca="1">L42*INDEX(Assumptions!$B:$B,MATCH("V2 BB Gbps per sat",Assumptions!$A$1:$A$257,0))</f>
        <v>0</v>
      </c>
      <c r="M47" s="70">
        <f ca="1">M42*INDEX(Assumptions!$B:$B,MATCH("V2 BB Gbps per sat",Assumptions!$A$1:$A$257,0))</f>
        <v>0</v>
      </c>
      <c r="N47" s="70">
        <f ca="1">N42*INDEX(Assumptions!$B:$B,MATCH("V2 BB Gbps per sat",Assumptions!$A$1:$A$257,0))</f>
        <v>0</v>
      </c>
      <c r="O47" s="70">
        <f ca="1">O42*INDEX(Assumptions!$B:$B,MATCH("V2 BB Gbps per sat",Assumptions!$A$1:$A$257,0))</f>
        <v>0</v>
      </c>
      <c r="P47" s="70">
        <f ca="1">P42*INDEX(Assumptions!$B:$B,MATCH("V2 BB Gbps per sat",Assumptions!$A$1:$A$257,0))</f>
        <v>0</v>
      </c>
      <c r="Q47" s="70">
        <f ca="1">Q42*INDEX(Assumptions!$B:$B,MATCH("V2 BB Gbps per sat",Assumptions!$A$1:$A$257,0))</f>
        <v>0</v>
      </c>
      <c r="R47" s="70">
        <f ca="1">R42*INDEX(Assumptions!$B:$B,MATCH("V2 BB Gbps per sat",Assumptions!$A$1:$A$257,0))</f>
        <v>0</v>
      </c>
      <c r="S47" s="70">
        <f ca="1">S42*INDEX(Assumptions!$B:$B,MATCH("V2 BB Gbps per sat",Assumptions!$A$1:$A$257,0))</f>
        <v>0</v>
      </c>
    </row>
    <row r="48" spans="1:19">
      <c r="A48" s="5" t="s">
        <v>985</v>
      </c>
      <c r="B48" s="3"/>
      <c r="C48" s="3"/>
      <c r="D48" s="70">
        <f>D43*INDEX(Assumptions!$B:$B,MATCH("V3 BB Gbps per sat",Assumptions!$A$1:$A$257,0))</f>
        <v>0</v>
      </c>
      <c r="E48" s="70">
        <f>E43*INDEX(Assumptions!$B:$B,MATCH("V3 BB Gbps per sat",Assumptions!$A$1:$A$257,0))</f>
        <v>0</v>
      </c>
      <c r="F48" s="70">
        <f ca="1">F43*INDEX(Assumptions!$B:$B,MATCH("V3 BB Gbps per sat",Assumptions!$A$1:$A$257,0))</f>
        <v>3916853.443326761</v>
      </c>
      <c r="G48" s="70">
        <f ca="1">G43*INDEX(Assumptions!$B:$B,MATCH("V3 BB Gbps per sat",Assumptions!$A$1:$A$257,0))</f>
        <v>13334209.135599311</v>
      </c>
      <c r="H48" s="70">
        <f ca="1">H43*INDEX(Assumptions!$B:$B,MATCH("V3 BB Gbps per sat",Assumptions!$A$1:$A$257,0))</f>
        <v>37268770.90701995</v>
      </c>
      <c r="I48" s="70">
        <f ca="1">I43*INDEX(Assumptions!$B:$B,MATCH("V3 BB Gbps per sat",Assumptions!$A$1:$A$257,0))</f>
        <v>52299885.926425837</v>
      </c>
      <c r="J48" s="70">
        <f ca="1">J43*INDEX(Assumptions!$B:$B,MATCH("V3 BB Gbps per sat",Assumptions!$A$1:$A$257,0))</f>
        <v>81246795.994900599</v>
      </c>
      <c r="K48" s="70">
        <f ca="1">K43*INDEX(Assumptions!$B:$B,MATCH("V3 BB Gbps per sat",Assumptions!$A$1:$A$257,0))</f>
        <v>93730001.383399457</v>
      </c>
      <c r="L48" s="70">
        <f ca="1">L43*INDEX(Assumptions!$B:$B,MATCH("V3 BB Gbps per sat",Assumptions!$A$1:$A$257,0))</f>
        <v>89181520.434633434</v>
      </c>
      <c r="M48" s="70">
        <f ca="1">M43*INDEX(Assumptions!$B:$B,MATCH("V3 BB Gbps per sat",Assumptions!$A$1:$A$257,0))</f>
        <v>87992065.764752746</v>
      </c>
      <c r="N48" s="70">
        <f ca="1">N43*INDEX(Assumptions!$B:$B,MATCH("V3 BB Gbps per sat",Assumptions!$A$1:$A$257,0))</f>
        <v>115396915.14757498</v>
      </c>
      <c r="O48" s="70">
        <f ca="1">O43*INDEX(Assumptions!$B:$B,MATCH("V3 BB Gbps per sat",Assumptions!$A$1:$A$257,0))</f>
        <v>160172056.9048982</v>
      </c>
      <c r="P48" s="70">
        <f ca="1">P43*INDEX(Assumptions!$B:$B,MATCH("V3 BB Gbps per sat",Assumptions!$A$1:$A$257,0))</f>
        <v>195592949.16113734</v>
      </c>
      <c r="Q48" s="70">
        <f ca="1">Q43*INDEX(Assumptions!$B:$B,MATCH("V3 BB Gbps per sat",Assumptions!$A$1:$A$257,0))</f>
        <v>221054469.94365165</v>
      </c>
      <c r="R48" s="70">
        <f ca="1">R43*INDEX(Assumptions!$B:$B,MATCH("V3 BB Gbps per sat",Assumptions!$A$1:$A$257,0))</f>
        <v>214228323.97496885</v>
      </c>
      <c r="S48" s="70">
        <f ca="1">S43*INDEX(Assumptions!$B:$B,MATCH("V3 BB Gbps per sat",Assumptions!$A$1:$A$257,0))</f>
        <v>188862321.63178316</v>
      </c>
    </row>
    <row r="49" spans="1:19">
      <c r="A49" s="82" t="s">
        <v>986</v>
      </c>
      <c r="B49" s="3"/>
      <c r="C49" s="3"/>
      <c r="D49" s="83">
        <f t="shared" ref="D49:S49" si="7">D46+D47+D48</f>
        <v>489144</v>
      </c>
      <c r="E49" s="29">
        <f t="shared" ca="1" si="7"/>
        <v>756736</v>
      </c>
      <c r="F49" s="29">
        <f t="shared" ca="1" si="7"/>
        <v>4652053.443326761</v>
      </c>
      <c r="G49" s="29">
        <f t="shared" ca="1" si="7"/>
        <v>13909825.135599311</v>
      </c>
      <c r="H49" s="29">
        <f t="shared" ca="1" si="7"/>
        <v>37706338.90701995</v>
      </c>
      <c r="I49" s="29">
        <f t="shared" ca="1" si="7"/>
        <v>52599405.926425837</v>
      </c>
      <c r="J49" s="29">
        <f t="shared" ca="1" si="7"/>
        <v>81246795.994900599</v>
      </c>
      <c r="K49" s="29">
        <f t="shared" ca="1" si="7"/>
        <v>93730001.383399457</v>
      </c>
      <c r="L49" s="29">
        <f t="shared" ca="1" si="7"/>
        <v>89181520.434633434</v>
      </c>
      <c r="M49" s="29">
        <f t="shared" ca="1" si="7"/>
        <v>87992065.764752746</v>
      </c>
      <c r="N49" s="29">
        <f t="shared" ca="1" si="7"/>
        <v>115396915.14757498</v>
      </c>
      <c r="O49" s="29">
        <f t="shared" ca="1" si="7"/>
        <v>160172056.9048982</v>
      </c>
      <c r="P49" s="29">
        <f t="shared" ca="1" si="7"/>
        <v>195592949.16113734</v>
      </c>
      <c r="Q49" s="29">
        <f t="shared" ca="1" si="7"/>
        <v>221054469.94365165</v>
      </c>
      <c r="R49" s="29">
        <f t="shared" ca="1" si="7"/>
        <v>214228323.97496885</v>
      </c>
      <c r="S49" s="29">
        <f t="shared" ca="1" si="7"/>
        <v>188862321.63178316</v>
      </c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5" t="s">
        <v>987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5" t="s">
        <v>988</v>
      </c>
      <c r="B52" s="3"/>
      <c r="C52" s="3"/>
      <c r="D52" s="70">
        <f>INDEX(Assumptions!$B:$B,MATCH("V2 DTC active sats end-2025",Assumptions!$A$1:$A$257,0))</f>
        <v>655</v>
      </c>
      <c r="E52" s="70">
        <f>MAX(0, D52 - IF(AND(E$4&gt;=INDEX(Assumptions!$B:$B,MATCH("V2 DTC base deorbit start year",Assumptions!$A$1:$A$257,0)),E$4&lt;=INDEX(Assumptions!$B:$B,MATCH("V2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655</v>
      </c>
      <c r="F52" s="70">
        <f>MAX(0, E52 - IF(AND(F$4&gt;=INDEX(Assumptions!$B:$B,MATCH("V2 DTC base deorbit start year",Assumptions!$A$1:$A$257,0)),F$4&lt;=INDEX(Assumptions!$B:$B,MATCH("V2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655</v>
      </c>
      <c r="G52" s="70">
        <f>MAX(0, F52 - IF(AND(G$4&gt;=INDEX(Assumptions!$B:$B,MATCH("V2 DTC base deorbit start year",Assumptions!$A$1:$A$257,0)),G$4&lt;=INDEX(Assumptions!$B:$B,MATCH("V2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655</v>
      </c>
      <c r="H52" s="70">
        <f>MAX(0, G52 - IF(AND(H$4&gt;=INDEX(Assumptions!$B:$B,MATCH("V2 DTC base deorbit start year",Assumptions!$A$1:$A$257,0)),H$4&lt;=INDEX(Assumptions!$B:$B,MATCH("V2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327.5</v>
      </c>
      <c r="I52" s="70">
        <f>MAX(0, H52 - IF(AND(I$4&gt;=INDEX(Assumptions!$B:$B,MATCH("V2 DTC base deorbit start year",Assumptions!$A$1:$A$257,0)),I$4&lt;=INDEX(Assumptions!$B:$B,MATCH("V2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J52" s="70">
        <f>MAX(0, I52 - IF(AND(J$4&gt;=INDEX(Assumptions!$B:$B,MATCH("V2 DTC base deorbit start year",Assumptions!$A$1:$A$257,0)),J$4&lt;=INDEX(Assumptions!$B:$B,MATCH("V2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K52" s="70">
        <f>MAX(0, J52 - IF(AND(K$4&gt;=INDEX(Assumptions!$B:$B,MATCH("V2 DTC base deorbit start year",Assumptions!$A$1:$A$257,0)),K$4&lt;=INDEX(Assumptions!$B:$B,MATCH("V2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L52" s="70">
        <f>MAX(0, K52 - IF(AND(L$4&gt;=INDEX(Assumptions!$B:$B,MATCH("V2 DTC base deorbit start year",Assumptions!$A$1:$A$257,0)),L$4&lt;=INDEX(Assumptions!$B:$B,MATCH("V2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M52" s="70">
        <f>MAX(0, L52 - IF(AND(M$4&gt;=INDEX(Assumptions!$B:$B,MATCH("V2 DTC base deorbit start year",Assumptions!$A$1:$A$257,0)),M$4&lt;=INDEX(Assumptions!$B:$B,MATCH("V2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N52" s="70">
        <f>MAX(0, M52 - IF(AND(N$4&gt;=INDEX(Assumptions!$B:$B,MATCH("V2 DTC base deorbit start year",Assumptions!$A$1:$A$257,0)),N$4&lt;=INDEX(Assumptions!$B:$B,MATCH("V2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O52" s="70">
        <f>MAX(0, N52 - IF(AND(O$4&gt;=INDEX(Assumptions!$B:$B,MATCH("V2 DTC base deorbit start year",Assumptions!$A$1:$A$257,0)),O$4&lt;=INDEX(Assumptions!$B:$B,MATCH("V2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P52" s="70">
        <f>MAX(0, O52 - IF(AND(P$4&gt;=INDEX(Assumptions!$B:$B,MATCH("V2 DTC base deorbit start year",Assumptions!$A$1:$A$257,0)),P$4&lt;=INDEX(Assumptions!$B:$B,MATCH("V2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Q52" s="70">
        <f>MAX(0, P52 - IF(AND(Q$4&gt;=INDEX(Assumptions!$B:$B,MATCH("V2 DTC base deorbit start year",Assumptions!$A$1:$A$257,0)),Q$4&lt;=INDEX(Assumptions!$B:$B,MATCH("V2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R52" s="70">
        <f>MAX(0, Q52 - IF(AND(R$4&gt;=INDEX(Assumptions!$B:$B,MATCH("V2 DTC base deorbit start year",Assumptions!$A$1:$A$257,0)),R$4&lt;=INDEX(Assumptions!$B:$B,MATCH("V2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  <c r="S52" s="70">
        <f>MAX(0, R52 - IF(AND(S$4&gt;=INDEX(Assumptions!$B:$B,MATCH("V2 DTC base deorbit start year",Assumptions!$A$1:$A$257,0)),S$4&lt;=INDEX(Assumptions!$B:$B,MATCH("V2 DTC base deorbit end year",Assumptions!$A$1:$A$257,0))),$D$52/(INDEX(Assumptions!$B:$B,MATCH("V2 DTC base deorbit end year",Assumptions!$A$1:$A$257,0))-INDEX(Assumptions!$B:$B,MATCH("V2 DTC base deorbit start year",Assumptions!$A$1:$A$257,0))+1),0))</f>
        <v>0</v>
      </c>
    </row>
    <row r="53" spans="1:19">
      <c r="A53" s="5" t="s">
        <v>989</v>
      </c>
      <c r="B53" s="3"/>
      <c r="C53" s="3"/>
      <c r="D53" s="29">
        <f>0</f>
        <v>0</v>
      </c>
      <c r="E53" s="29">
        <f t="array" ref="E53">MAX(0, D53 + E$35 - IFERROR(IF(E$5-$D$15&gt;=1, INDEX($D$35:$AC$35, E$5-$D$15+1), 0),0))</f>
        <v>0</v>
      </c>
      <c r="F53" s="29">
        <f t="array" aca="1" ref="F53" ca="1">MAX(0, E53 + F$35 - IFERROR(IF(F$5-$D$15&gt;=1, INDEX($D$35:$AC$35, F$5-$D$15+1), 0),0))</f>
        <v>1.8818571632319696</v>
      </c>
      <c r="G53" s="29">
        <f t="array" aca="1" ref="G53" ca="1">MAX(0, F53 + G$35 - IFERROR(IF(G$5-$D$15&gt;=1, INDEX($D$35:$AC$35, G$5-$D$15+1), 0),0))</f>
        <v>81.906129064000297</v>
      </c>
      <c r="H53" s="29">
        <f t="array" aca="1" ref="H53" ca="1">MAX(0, G53 + H$35 - IFERROR(IF(H$5-$D$15&gt;=1, INDEX($D$35:$AC$35, H$5-$D$15+1), 0),0))</f>
        <v>3170.8485516514338</v>
      </c>
      <c r="I53" s="29">
        <f t="array" aca="1" ref="I53" ca="1">MAX(0, H53 + I$35 - IFERROR(IF(I$5-$D$15&gt;=1, INDEX($D$35:$AC$35, I$5-$D$15+1), 0),0))</f>
        <v>38479.253053054854</v>
      </c>
      <c r="J53" s="29">
        <f t="array" aca="1" ref="J53" ca="1">MAX(0, I53 + J$35 - IFERROR(IF(J$5-$D$15&gt;=1, INDEX($D$35:$AC$35, J$5-$D$15+1), 0),0))</f>
        <v>63132.975776073639</v>
      </c>
      <c r="K53" s="29">
        <f t="array" aca="1" ref="K53" ca="1">MAX(0, J53 + K$35 - IFERROR(IF(K$5-$D$15&gt;=1, INDEX($D$35:$AC$35, K$5-$D$15+1), 0),0))</f>
        <v>110077.26922253017</v>
      </c>
      <c r="L53" s="29">
        <f t="array" aca="1" ref="L53" ca="1">MAX(0, K53 + L$35 - IFERROR(IF(L$5-$D$15&gt;=1, INDEX($D$35:$AC$35, L$5-$D$15+1), 0),0))</f>
        <v>131332.75275464801</v>
      </c>
      <c r="M53" s="29">
        <f t="array" aca="1" ref="M53" ca="1">MAX(0, L53 + M$35 - IFERROR(IF(M$5-$D$15&gt;=1, INDEX($D$35:$AC$35, M$5-$D$15+1), 0),0))</f>
        <v>168240.06039198977</v>
      </c>
      <c r="N53" s="29">
        <f t="array" aca="1" ref="N53" ca="1">MAX(0, M53 + N$35 - IFERROR(IF(N$5-$D$15&gt;=1, INDEX($D$35:$AC$35, N$5-$D$15+1), 0),0))</f>
        <v>178303.35393064728</v>
      </c>
      <c r="O53" s="29">
        <f t="array" aca="1" ref="O53" ca="1">MAX(0, N53 + O$35 - IFERROR(IF(O$5-$D$15&gt;=1, INDEX($D$35:$AC$35, O$5-$D$15+1), 0),0))</f>
        <v>214530.66423425553</v>
      </c>
      <c r="P53" s="29">
        <f t="array" aca="1" ref="P53" ca="1">MAX(0, O53 + P$35 - IFERROR(IF(P$5-$D$15&gt;=1, INDEX($D$35:$AC$35, P$5-$D$15+1), 0),0))</f>
        <v>205591.48093767281</v>
      </c>
      <c r="Q53" s="29">
        <f t="array" aca="1" ref="Q53" ca="1">MAX(0, P53 + Q$35 - IFERROR(IF(Q$5-$D$15&gt;=1, INDEX($D$35:$AC$35, Q$5-$D$15+1), 0),0))</f>
        <v>208332.628446496</v>
      </c>
      <c r="R53" s="29">
        <f t="array" aca="1" ref="R53" ca="1">MAX(0, Q53 + R$35 - IFERROR(IF(R$5-$D$15&gt;=1, INDEX($D$35:$AC$35, R$5-$D$15+1), 0),0))</f>
        <v>181362.94731005799</v>
      </c>
      <c r="S53" s="29">
        <f t="array" aca="1" ref="S53" ca="1">MAX(0, R53 + S$35 - IFERROR(IF(S$5-$D$15&gt;=1, INDEX($D$35:$AC$35, S$5-$D$15+1), 0),0))</f>
        <v>152518.28104891564</v>
      </c>
    </row>
    <row r="54" spans="1:19">
      <c r="A54" s="5" t="s">
        <v>990</v>
      </c>
      <c r="B54" s="3"/>
      <c r="C54" s="3"/>
      <c r="D54" s="70">
        <f>D52*INDEX(Assumptions!$B:$B,MATCH("Effective DTC Gbps per sat (revenue calibration)",Assumptions!$A$1:$A$257,0))</f>
        <v>577.71</v>
      </c>
      <c r="E54" s="70">
        <f>E52*INDEX(Assumptions!$B:$B,MATCH("Effective DTC Gbps per sat (revenue calibration)",Assumptions!$A$1:$A$257,0))</f>
        <v>577.71</v>
      </c>
      <c r="F54" s="70">
        <f>F52*INDEX(Assumptions!$B:$B,MATCH("Effective DTC Gbps per sat (revenue calibration)",Assumptions!$A$1:$A$257,0))</f>
        <v>577.71</v>
      </c>
      <c r="G54" s="70">
        <f>G52*INDEX(Assumptions!$B:$B,MATCH("Effective DTC Gbps per sat (revenue calibration)",Assumptions!$A$1:$A$257,0))</f>
        <v>577.71</v>
      </c>
      <c r="H54" s="70">
        <f>H52*INDEX(Assumptions!$B:$B,MATCH("Effective DTC Gbps per sat (revenue calibration)",Assumptions!$A$1:$A$257,0))</f>
        <v>288.85500000000002</v>
      </c>
      <c r="I54" s="70">
        <f>I52*INDEX(Assumptions!$B:$B,MATCH("Effective DTC Gbps per sat (revenue calibration)",Assumptions!$A$1:$A$257,0))</f>
        <v>0</v>
      </c>
      <c r="J54" s="70">
        <f>J52*INDEX(Assumptions!$B:$B,MATCH("Effective DTC Gbps per sat (revenue calibration)",Assumptions!$A$1:$A$257,0))</f>
        <v>0</v>
      </c>
      <c r="K54" s="70">
        <f>K52*INDEX(Assumptions!$B:$B,MATCH("Effective DTC Gbps per sat (revenue calibration)",Assumptions!$A$1:$A$257,0))</f>
        <v>0</v>
      </c>
      <c r="L54" s="70">
        <f>L52*INDEX(Assumptions!$B:$B,MATCH("Effective DTC Gbps per sat (revenue calibration)",Assumptions!$A$1:$A$257,0))</f>
        <v>0</v>
      </c>
      <c r="M54" s="70">
        <f>M52*INDEX(Assumptions!$B:$B,MATCH("Effective DTC Gbps per sat (revenue calibration)",Assumptions!$A$1:$A$257,0))</f>
        <v>0</v>
      </c>
      <c r="N54" s="70">
        <f>N52*INDEX(Assumptions!$B:$B,MATCH("Effective DTC Gbps per sat (revenue calibration)",Assumptions!$A$1:$A$257,0))</f>
        <v>0</v>
      </c>
      <c r="O54" s="70">
        <f>O52*INDEX(Assumptions!$B:$B,MATCH("Effective DTC Gbps per sat (revenue calibration)",Assumptions!$A$1:$A$257,0))</f>
        <v>0</v>
      </c>
      <c r="P54" s="70">
        <f>P52*INDEX(Assumptions!$B:$B,MATCH("Effective DTC Gbps per sat (revenue calibration)",Assumptions!$A$1:$A$257,0))</f>
        <v>0</v>
      </c>
      <c r="Q54" s="70">
        <f>Q52*INDEX(Assumptions!$B:$B,MATCH("Effective DTC Gbps per sat (revenue calibration)",Assumptions!$A$1:$A$257,0))</f>
        <v>0</v>
      </c>
      <c r="R54" s="70">
        <f>R52*INDEX(Assumptions!$B:$B,MATCH("Effective DTC Gbps per sat (revenue calibration)",Assumptions!$A$1:$A$257,0))</f>
        <v>0</v>
      </c>
      <c r="S54" s="70">
        <f>S52*INDEX(Assumptions!$B:$B,MATCH("Effective DTC Gbps per sat (revenue calibration)",Assumptions!$A$1:$A$257,0))</f>
        <v>0</v>
      </c>
    </row>
    <row r="55" spans="1:19">
      <c r="A55" s="5" t="s">
        <v>991</v>
      </c>
      <c r="B55" s="3"/>
      <c r="C55" s="3"/>
      <c r="D55" s="70">
        <f>D53*INDEX(Assumptions!$B:$B,MATCH("Effective DTC Gbps per sat (revenue calibration)",Assumptions!$A$1:$A$257,0))</f>
        <v>0</v>
      </c>
      <c r="E55" s="70">
        <f>E53*INDEX(Assumptions!$B:$B,MATCH("Effective DTC Gbps per sat (revenue calibration)",Assumptions!$A$1:$A$257,0))</f>
        <v>0</v>
      </c>
      <c r="F55" s="70">
        <f ca="1">F53*INDEX(Assumptions!$B:$B,MATCH("Effective DTC Gbps per sat (revenue calibration)",Assumptions!$A$1:$A$257,0))</f>
        <v>1.6597980179705971</v>
      </c>
      <c r="G55" s="70">
        <f ca="1">G53*INDEX(Assumptions!$B:$B,MATCH("Effective DTC Gbps per sat (revenue calibration)",Assumptions!$A$1:$A$257,0))</f>
        <v>72.241205834448266</v>
      </c>
      <c r="H55" s="70">
        <f ca="1">H53*INDEX(Assumptions!$B:$B,MATCH("Effective DTC Gbps per sat (revenue calibration)",Assumptions!$A$1:$A$257,0))</f>
        <v>2796.6884225565645</v>
      </c>
      <c r="I55" s="70">
        <f ca="1">I53*INDEX(Assumptions!$B:$B,MATCH("Effective DTC Gbps per sat (revenue calibration)",Assumptions!$A$1:$A$257,0))</f>
        <v>33938.701192794382</v>
      </c>
      <c r="J55" s="70">
        <f ca="1">J53*INDEX(Assumptions!$B:$B,MATCH("Effective DTC Gbps per sat (revenue calibration)",Assumptions!$A$1:$A$257,0))</f>
        <v>55683.284634496951</v>
      </c>
      <c r="K55" s="70">
        <f ca="1">K53*INDEX(Assumptions!$B:$B,MATCH("Effective DTC Gbps per sat (revenue calibration)",Assumptions!$A$1:$A$257,0))</f>
        <v>97088.151454271618</v>
      </c>
      <c r="L55" s="70">
        <f ca="1">L53*INDEX(Assumptions!$B:$B,MATCH("Effective DTC Gbps per sat (revenue calibration)",Assumptions!$A$1:$A$257,0))</f>
        <v>115835.48792959955</v>
      </c>
      <c r="M55" s="70">
        <f ca="1">M53*INDEX(Assumptions!$B:$B,MATCH("Effective DTC Gbps per sat (revenue calibration)",Assumptions!$A$1:$A$257,0))</f>
        <v>148387.73326573498</v>
      </c>
      <c r="N55" s="70">
        <f ca="1">N53*INDEX(Assumptions!$B:$B,MATCH("Effective DTC Gbps per sat (revenue calibration)",Assumptions!$A$1:$A$257,0))</f>
        <v>157263.55816683092</v>
      </c>
      <c r="O55" s="70">
        <f ca="1">O53*INDEX(Assumptions!$B:$B,MATCH("Effective DTC Gbps per sat (revenue calibration)",Assumptions!$A$1:$A$257,0))</f>
        <v>189216.04585461339</v>
      </c>
      <c r="P55" s="70">
        <f ca="1">P53*INDEX(Assumptions!$B:$B,MATCH("Effective DTC Gbps per sat (revenue calibration)",Assumptions!$A$1:$A$257,0))</f>
        <v>181331.68618702743</v>
      </c>
      <c r="Q55" s="70">
        <f ca="1">Q53*INDEX(Assumptions!$B:$B,MATCH("Effective DTC Gbps per sat (revenue calibration)",Assumptions!$A$1:$A$257,0))</f>
        <v>183749.37828980948</v>
      </c>
      <c r="R55" s="70">
        <f ca="1">R53*INDEX(Assumptions!$B:$B,MATCH("Effective DTC Gbps per sat (revenue calibration)",Assumptions!$A$1:$A$257,0))</f>
        <v>159962.11952747116</v>
      </c>
      <c r="S55" s="70">
        <f ca="1">S53*INDEX(Assumptions!$B:$B,MATCH("Effective DTC Gbps per sat (revenue calibration)",Assumptions!$A$1:$A$257,0))</f>
        <v>134521.12388514361</v>
      </c>
    </row>
    <row r="56" spans="1:19">
      <c r="A56" s="82" t="s">
        <v>992</v>
      </c>
      <c r="B56" s="3"/>
      <c r="C56" s="3"/>
      <c r="D56" s="83">
        <f t="shared" ref="D56:S56" si="8">D54+D55</f>
        <v>577.71</v>
      </c>
      <c r="E56" s="83">
        <f t="shared" si="8"/>
        <v>577.71</v>
      </c>
      <c r="F56" s="29">
        <f t="shared" ca="1" si="8"/>
        <v>579.36979801797065</v>
      </c>
      <c r="G56" s="29">
        <f t="shared" ca="1" si="8"/>
        <v>649.95120583444827</v>
      </c>
      <c r="H56" s="29">
        <f t="shared" ca="1" si="8"/>
        <v>3085.5434225565646</v>
      </c>
      <c r="I56" s="29">
        <f t="shared" ca="1" si="8"/>
        <v>33938.701192794382</v>
      </c>
      <c r="J56" s="29">
        <f t="shared" ca="1" si="8"/>
        <v>55683.284634496951</v>
      </c>
      <c r="K56" s="29">
        <f t="shared" ca="1" si="8"/>
        <v>97088.151454271618</v>
      </c>
      <c r="L56" s="29">
        <f t="shared" ca="1" si="8"/>
        <v>115835.48792959955</v>
      </c>
      <c r="M56" s="29">
        <f t="shared" ca="1" si="8"/>
        <v>148387.73326573498</v>
      </c>
      <c r="N56" s="29">
        <f t="shared" ca="1" si="8"/>
        <v>157263.55816683092</v>
      </c>
      <c r="O56" s="29">
        <f t="shared" ca="1" si="8"/>
        <v>189216.04585461339</v>
      </c>
      <c r="P56" s="29">
        <f t="shared" ca="1" si="8"/>
        <v>181331.68618702743</v>
      </c>
      <c r="Q56" s="29">
        <f t="shared" ca="1" si="8"/>
        <v>183749.37828980948</v>
      </c>
      <c r="R56" s="29">
        <f t="shared" ca="1" si="8"/>
        <v>159962.11952747116</v>
      </c>
      <c r="S56" s="29">
        <f t="shared" ca="1" si="8"/>
        <v>134521.12388514361</v>
      </c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13" t="s">
        <v>993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5" t="s">
        <v>994</v>
      </c>
      <c r="B59" s="3"/>
      <c r="C59" s="3"/>
      <c r="D59" s="6">
        <f t="array" ref="D59">INDEX(Assumptions!$D:$S,MATCH("Starshield active Gbps (year-row)",Assumptions!$A$1:$A$257,0),COLUMN()-COLUMN($D$59)+1)</f>
        <v>15300</v>
      </c>
      <c r="E59" s="6">
        <f t="array" ref="E59">INDEX(Assumptions!$D:$S,MATCH("Starshield active Gbps (year-row)",Assumptions!$A$1:$A$257,0),COLUMN()-COLUMN($D$59)+1)</f>
        <v>16524</v>
      </c>
      <c r="F59" s="6">
        <f t="array" ref="F59">INDEX(Assumptions!$D:$S,MATCH("Starshield active Gbps (year-row)",Assumptions!$A$1:$A$257,0),COLUMN()-COLUMN($D$59)+1)</f>
        <v>17845.920000000002</v>
      </c>
      <c r="G59" s="6">
        <f t="array" ref="G59">INDEX(Assumptions!$D:$S,MATCH("Starshield active Gbps (year-row)",Assumptions!$A$1:$A$257,0),COLUMN()-COLUMN($D$59)+1)</f>
        <v>19273.593600000004</v>
      </c>
      <c r="H59" s="6">
        <f t="array" ref="H59">INDEX(Assumptions!$D:$S,MATCH("Starshield active Gbps (year-row)",Assumptions!$A$1:$A$257,0),COLUMN()-COLUMN($D$59)+1)</f>
        <v>20815.481088000004</v>
      </c>
      <c r="I59" s="6">
        <f t="array" ref="I59">INDEX(Assumptions!$D:$S,MATCH("Starshield active Gbps (year-row)",Assumptions!$A$1:$A$257,0),COLUMN()-COLUMN($D$59)+1)</f>
        <v>22480.719575040006</v>
      </c>
      <c r="J59" s="6">
        <f t="array" ref="J59">INDEX(Assumptions!$D:$S,MATCH("Starshield active Gbps (year-row)",Assumptions!$A$1:$A$257,0),COLUMN()-COLUMN($D$59)+1)</f>
        <v>24279.177141043208</v>
      </c>
      <c r="K59" s="6">
        <f t="array" ref="K59">INDEX(Assumptions!$D:$S,MATCH("Starshield active Gbps (year-row)",Assumptions!$A$1:$A$257,0),COLUMN()-COLUMN($D$59)+1)</f>
        <v>26221.511312326667</v>
      </c>
      <c r="L59" s="6">
        <f t="array" ref="L59">INDEX(Assumptions!$D:$S,MATCH("Starshield active Gbps (year-row)",Assumptions!$A$1:$A$257,0),COLUMN()-COLUMN($D$59)+1)</f>
        <v>28319.232217312798</v>
      </c>
      <c r="M59" s="6">
        <f t="array" ref="M59">INDEX(Assumptions!$D:$S,MATCH("Starshield active Gbps (year-row)",Assumptions!$A$1:$A$257,0),COLUMN()-COLUMN($D$59)+1)</f>
        <v>30584.770794697826</v>
      </c>
      <c r="N59" s="6">
        <f t="array" ref="N59">INDEX(Assumptions!$D:$S,MATCH("Starshield active Gbps (year-row)",Assumptions!$A$1:$A$257,0),COLUMN()-COLUMN($D$59)+1)</f>
        <v>33031.552458273654</v>
      </c>
      <c r="O59" s="6">
        <f t="array" ref="O59">INDEX(Assumptions!$D:$S,MATCH("Starshield active Gbps (year-row)",Assumptions!$A$1:$A$257,0),COLUMN()-COLUMN($D$59)+1)</f>
        <v>35674.076654935547</v>
      </c>
      <c r="P59" s="6">
        <f t="array" ref="P59">INDEX(Assumptions!$D:$S,MATCH("Starshield active Gbps (year-row)",Assumptions!$A$1:$A$257,0),COLUMN()-COLUMN($D$59)+1)</f>
        <v>38528.002787330392</v>
      </c>
      <c r="Q59" s="6">
        <f t="array" ref="Q59">INDEX(Assumptions!$D:$S,MATCH("Starshield active Gbps (year-row)",Assumptions!$A$1:$A$257,0),COLUMN()-COLUMN($D$59)+1)</f>
        <v>41610.243010316823</v>
      </c>
      <c r="R59" s="6">
        <f t="array" ref="R59">INDEX(Assumptions!$D:$S,MATCH("Starshield active Gbps (year-row)",Assumptions!$A$1:$A$257,0),COLUMN()-COLUMN($D$59)+1)</f>
        <v>44939.062451142177</v>
      </c>
      <c r="S59" s="6">
        <f t="array" ref="S59">INDEX(Assumptions!$D:$S,MATCH("Starshield active Gbps (year-row)",Assumptions!$A$1:$A$257,0),COLUMN()-COLUMN($D$59)+1)</f>
        <v>48534.187447233555</v>
      </c>
    </row>
    <row r="60" spans="1:19">
      <c r="A60" s="5" t="s">
        <v>995</v>
      </c>
      <c r="B60" s="3"/>
      <c r="C60" s="3"/>
      <c r="D60" s="77">
        <f>INDEX(Assumptions!$B:$B,MATCH("Starshield $/Gbps ($/Gbps-yr)",Assumptions!$A$1:$A$257,0))</f>
        <v>164699</v>
      </c>
      <c r="E60" s="77">
        <f>INDEX(Assumptions!$B:$B,MATCH("Starshield $/Gbps ($/Gbps-yr)",Assumptions!$A$1:$A$257,0))</f>
        <v>164699</v>
      </c>
      <c r="F60" s="77">
        <f>INDEX(Assumptions!$B:$B,MATCH("Starshield $/Gbps ($/Gbps-yr)",Assumptions!$A$1:$A$257,0))</f>
        <v>164699</v>
      </c>
      <c r="G60" s="77">
        <f>INDEX(Assumptions!$B:$B,MATCH("Starshield $/Gbps ($/Gbps-yr)",Assumptions!$A$1:$A$257,0))</f>
        <v>164699</v>
      </c>
      <c r="H60" s="77">
        <f>INDEX(Assumptions!$B:$B,MATCH("Starshield $/Gbps ($/Gbps-yr)",Assumptions!$A$1:$A$257,0))</f>
        <v>164699</v>
      </c>
      <c r="I60" s="77">
        <f>INDEX(Assumptions!$B:$B,MATCH("Starshield $/Gbps ($/Gbps-yr)",Assumptions!$A$1:$A$257,0))</f>
        <v>164699</v>
      </c>
      <c r="J60" s="77">
        <f>INDEX(Assumptions!$B:$B,MATCH("Starshield $/Gbps ($/Gbps-yr)",Assumptions!$A$1:$A$257,0))</f>
        <v>164699</v>
      </c>
      <c r="K60" s="77">
        <f>INDEX(Assumptions!$B:$B,MATCH("Starshield $/Gbps ($/Gbps-yr)",Assumptions!$A$1:$A$257,0))</f>
        <v>164699</v>
      </c>
      <c r="L60" s="77">
        <f>INDEX(Assumptions!$B:$B,MATCH("Starshield $/Gbps ($/Gbps-yr)",Assumptions!$A$1:$A$257,0))</f>
        <v>164699</v>
      </c>
      <c r="M60" s="77">
        <f>INDEX(Assumptions!$B:$B,MATCH("Starshield $/Gbps ($/Gbps-yr)",Assumptions!$A$1:$A$257,0))</f>
        <v>164699</v>
      </c>
      <c r="N60" s="77">
        <f>INDEX(Assumptions!$B:$B,MATCH("Starshield $/Gbps ($/Gbps-yr)",Assumptions!$A$1:$A$257,0))</f>
        <v>164699</v>
      </c>
      <c r="O60" s="77">
        <f>INDEX(Assumptions!$B:$B,MATCH("Starshield $/Gbps ($/Gbps-yr)",Assumptions!$A$1:$A$257,0))</f>
        <v>164699</v>
      </c>
      <c r="P60" s="77">
        <f>INDEX(Assumptions!$B:$B,MATCH("Starshield $/Gbps ($/Gbps-yr)",Assumptions!$A$1:$A$257,0))</f>
        <v>164699</v>
      </c>
      <c r="Q60" s="77">
        <f>INDEX(Assumptions!$B:$B,MATCH("Starshield $/Gbps ($/Gbps-yr)",Assumptions!$A$1:$A$257,0))</f>
        <v>164699</v>
      </c>
      <c r="R60" s="77">
        <f>INDEX(Assumptions!$B:$B,MATCH("Starshield $/Gbps ($/Gbps-yr)",Assumptions!$A$1:$A$257,0))</f>
        <v>164699</v>
      </c>
      <c r="S60" s="77">
        <f>INDEX(Assumptions!$B:$B,MATCH("Starshield $/Gbps ($/Gbps-yr)",Assumptions!$A$1:$A$257,0))</f>
        <v>164699</v>
      </c>
    </row>
    <row r="61" spans="1:19" s="85" customFormat="1">
      <c r="A61" s="78" t="s">
        <v>996</v>
      </c>
      <c r="B61" s="78"/>
      <c r="C61" s="78"/>
      <c r="D61" s="84">
        <f t="shared" ref="D61:S61" si="9">D11</f>
        <v>6721.2205509599999</v>
      </c>
      <c r="E61" s="84">
        <f t="shared" ca="1" si="9"/>
        <v>9347.5764579427196</v>
      </c>
      <c r="F61" s="84">
        <f t="shared" ca="1" si="9"/>
        <v>37555.656203182523</v>
      </c>
      <c r="G61" s="84">
        <f t="shared" ca="1" si="9"/>
        <v>80517.710459057387</v>
      </c>
      <c r="H61" s="84">
        <f t="shared" ca="1" si="9"/>
        <v>141004.9251646639</v>
      </c>
      <c r="I61" s="84">
        <f t="shared" ca="1" si="9"/>
        <v>172279.31942254707</v>
      </c>
      <c r="J61" s="84">
        <f t="shared" ca="1" si="9"/>
        <v>205461.29949117481</v>
      </c>
      <c r="K61" s="84">
        <f t="shared" ca="1" si="9"/>
        <v>221249.48590536017</v>
      </c>
      <c r="L61" s="84">
        <f t="shared" ca="1" si="9"/>
        <v>224066.82891058811</v>
      </c>
      <c r="M61" s="84">
        <f t="shared" ca="1" si="9"/>
        <v>228869.55544763539</v>
      </c>
      <c r="N61" s="84">
        <f t="shared" ca="1" si="9"/>
        <v>248894.6109653106</v>
      </c>
      <c r="O61" s="84">
        <f t="shared" ca="1" si="9"/>
        <v>269722.60806762066</v>
      </c>
      <c r="P61" s="84">
        <f t="shared" ca="1" si="9"/>
        <v>284212.28690727014</v>
      </c>
      <c r="Q61" s="84">
        <f t="shared" ca="1" si="9"/>
        <v>296196.67879318225</v>
      </c>
      <c r="R61" s="84">
        <f t="shared" ca="1" si="9"/>
        <v>302326.03887434199</v>
      </c>
      <c r="S61" s="84">
        <f t="shared" ca="1" si="9"/>
        <v>304575.98769235431</v>
      </c>
    </row>
    <row r="62" spans="1:19">
      <c r="A62" s="78" t="s">
        <v>997</v>
      </c>
      <c r="B62" s="78"/>
      <c r="C62" s="78"/>
      <c r="D62" s="84">
        <f t="shared" ref="D62:S62" si="10">D12</f>
        <v>632.07519628836553</v>
      </c>
      <c r="E62" s="84">
        <f t="shared" si="10"/>
        <v>794.38307704955639</v>
      </c>
      <c r="F62" s="84">
        <f t="shared" ca="1" si="10"/>
        <v>969.01978804946725</v>
      </c>
      <c r="G62" s="84">
        <f t="shared" ca="1" si="10"/>
        <v>1291.304059984803</v>
      </c>
      <c r="H62" s="84">
        <f t="shared" ca="1" si="10"/>
        <v>7146.7256672754002</v>
      </c>
      <c r="I62" s="84">
        <f t="shared" ca="1" si="10"/>
        <v>33355.215712934631</v>
      </c>
      <c r="J62" s="84">
        <f t="shared" ca="1" si="10"/>
        <v>41028.563376820799</v>
      </c>
      <c r="K62" s="84">
        <f t="shared" ca="1" si="10"/>
        <v>49505.312909445536</v>
      </c>
      <c r="L62" s="84">
        <f t="shared" ca="1" si="10"/>
        <v>50852.957538647112</v>
      </c>
      <c r="M62" s="84">
        <f t="shared" ca="1" si="10"/>
        <v>52180.784763267351</v>
      </c>
      <c r="N62" s="84">
        <f t="shared" ca="1" si="10"/>
        <v>53485.30438234903</v>
      </c>
      <c r="O62" s="84">
        <f t="shared" ca="1" si="10"/>
        <v>54822.436991907751</v>
      </c>
      <c r="P62" s="84">
        <f t="shared" ca="1" si="10"/>
        <v>56192.997916705433</v>
      </c>
      <c r="Q62" s="84">
        <f t="shared" ca="1" si="10"/>
        <v>57597.822864623071</v>
      </c>
      <c r="R62" s="84">
        <f t="shared" ca="1" si="10"/>
        <v>59037.768436238635</v>
      </c>
      <c r="S62" s="84">
        <f t="shared" ca="1" si="10"/>
        <v>60513.712647144595</v>
      </c>
    </row>
    <row r="63" spans="1:19">
      <c r="A63" s="5" t="s">
        <v>998</v>
      </c>
      <c r="B63" s="3"/>
      <c r="C63" s="3"/>
      <c r="D63" s="80">
        <f>D$59*D$60/1000000*INDEX(Assumptions!$B:$B,MATCH("Starshield utilization (frac)",Assumptions!$A$1:$A$257,0))</f>
        <v>2519.8946999999998</v>
      </c>
      <c r="E63" s="80">
        <f>E$59*E$60/1000000*INDEX(Assumptions!$B:$B,MATCH("Starshield utilization (frac)",Assumptions!$A$1:$A$257,0))</f>
        <v>2721.4862760000001</v>
      </c>
      <c r="F63" s="80">
        <f>F$59*F$60/1000000*INDEX(Assumptions!$B:$B,MATCH("Starshield utilization (frac)",Assumptions!$A$1:$A$257,0))</f>
        <v>2939.2051780800002</v>
      </c>
      <c r="G63" s="80">
        <f>G$59*G$60/1000000*INDEX(Assumptions!$B:$B,MATCH("Starshield utilization (frac)",Assumptions!$A$1:$A$257,0))</f>
        <v>3174.3415923264006</v>
      </c>
      <c r="H63" s="80">
        <f>H$59*H$60/1000000*INDEX(Assumptions!$B:$B,MATCH("Starshield utilization (frac)",Assumptions!$A$1:$A$257,0))</f>
        <v>3428.2889197125123</v>
      </c>
      <c r="I63" s="80">
        <f>I$59*I$60/1000000*INDEX(Assumptions!$B:$B,MATCH("Starshield utilization (frac)",Assumptions!$A$1:$A$257,0))</f>
        <v>3702.5520332895139</v>
      </c>
      <c r="J63" s="80">
        <f>J$59*J$60/1000000*INDEX(Assumptions!$B:$B,MATCH("Starshield utilization (frac)",Assumptions!$A$1:$A$257,0))</f>
        <v>3998.7561959526752</v>
      </c>
      <c r="K63" s="80">
        <f>K$59*K$60/1000000*INDEX(Assumptions!$B:$B,MATCH("Starshield utilization (frac)",Assumptions!$A$1:$A$257,0))</f>
        <v>4318.6566916288903</v>
      </c>
      <c r="L63" s="80">
        <f>L$59*L$60/1000000*INDEX(Assumptions!$B:$B,MATCH("Starshield utilization (frac)",Assumptions!$A$1:$A$257,0))</f>
        <v>4664.1492269592009</v>
      </c>
      <c r="M63" s="80">
        <f>M$59*M$60/1000000*INDEX(Assumptions!$B:$B,MATCH("Starshield utilization (frac)",Assumptions!$A$1:$A$257,0))</f>
        <v>5037.2811651159373</v>
      </c>
      <c r="N63" s="80">
        <f>N$59*N$60/1000000*INDEX(Assumptions!$B:$B,MATCH("Starshield utilization (frac)",Assumptions!$A$1:$A$257,0))</f>
        <v>5440.2636583252124</v>
      </c>
      <c r="O63" s="80">
        <f>O$59*O$60/1000000*INDEX(Assumptions!$B:$B,MATCH("Starshield utilization (frac)",Assumptions!$A$1:$A$257,0))</f>
        <v>5875.4847509912297</v>
      </c>
      <c r="P63" s="80">
        <f>P$59*P$60/1000000*INDEX(Assumptions!$B:$B,MATCH("Starshield utilization (frac)",Assumptions!$A$1:$A$257,0))</f>
        <v>6345.5235310705284</v>
      </c>
      <c r="Q63" s="80">
        <f>Q$59*Q$60/1000000*INDEX(Assumptions!$B:$B,MATCH("Starshield utilization (frac)",Assumptions!$A$1:$A$257,0))</f>
        <v>6853.1654135561703</v>
      </c>
      <c r="R63" s="80">
        <f>R$59*R$60/1000000*INDEX(Assumptions!$B:$B,MATCH("Starshield utilization (frac)",Assumptions!$A$1:$A$257,0))</f>
        <v>7401.4186466406654</v>
      </c>
      <c r="S63" s="80">
        <f>S$59*S$60/1000000*INDEX(Assumptions!$B:$B,MATCH("Starshield utilization (frac)",Assumptions!$A$1:$A$257,0))</f>
        <v>7993.5321383719192</v>
      </c>
    </row>
    <row r="64" spans="1:19">
      <c r="A64" s="5" t="s">
        <v>999</v>
      </c>
      <c r="B64" s="3"/>
      <c r="C64" s="3"/>
      <c r="D64" s="80">
        <f>D$185*INDEX(Assumptions!$B:$B,MATCH("Blended kit sale price ($/kit)",Assumptions!$A$1:$A$454,0))</f>
        <v>1181.9343831111109</v>
      </c>
      <c r="E64" s="80">
        <f ca="1">E$185*INDEX(Assumptions!$B:$B,MATCH("Blended kit sale price ($/kit)",Assumptions!$A$1:$A$454,0))</f>
        <v>1611.6604231147128</v>
      </c>
      <c r="F64" s="80">
        <f ca="1">F$185*INDEX(Assumptions!$B:$B,MATCH("Blended kit sale price ($/kit)",Assumptions!$A$1:$A$454,0))</f>
        <v>13874.715574526408</v>
      </c>
      <c r="G64" s="80">
        <f ca="1">G$185*INDEX(Assumptions!$B:$B,MATCH("Blended kit sale price ($/kit)",Assumptions!$A$1:$A$454,0))</f>
        <v>24340.120126578997</v>
      </c>
      <c r="H64" s="80">
        <f ca="1">H$185*INDEX(Assumptions!$B:$B,MATCH("Blended kit sale price ($/kit)",Assumptions!$A$1:$A$454,0))</f>
        <v>38823.511844525361</v>
      </c>
      <c r="I64" s="80">
        <f ca="1">I$185*INDEX(Assumptions!$B:$B,MATCH("Blended kit sale price ($/kit)",Assumptions!$A$1:$A$454,0))</f>
        <v>30174.615115612494</v>
      </c>
      <c r="J64" s="80">
        <f ca="1">J$185*INDEX(Assumptions!$B:$B,MATCH("Blended kit sale price ($/kit)",Assumptions!$A$1:$A$454,0))</f>
        <v>36265.61974053525</v>
      </c>
      <c r="K64" s="80">
        <f ca="1">K$185*INDEX(Assumptions!$B:$B,MATCH("Blended kit sale price ($/kit)",Assumptions!$A$1:$A$454,0))</f>
        <v>30788.829977441088</v>
      </c>
      <c r="L64" s="80">
        <f ca="1">L$185*INDEX(Assumptions!$B:$B,MATCH("Blended kit sale price ($/kit)",Assumptions!$A$1:$A$454,0))</f>
        <v>25605.912650554717</v>
      </c>
      <c r="M64" s="80">
        <f ca="1">M$185*INDEX(Assumptions!$B:$B,MATCH("Blended kit sale price ($/kit)",Assumptions!$A$1:$A$454,0))</f>
        <v>22128.925559794559</v>
      </c>
      <c r="N64" s="80">
        <f ca="1">N$185*INDEX(Assumptions!$B:$B,MATCH("Blended kit sale price ($/kit)",Assumptions!$A$1:$A$454,0))</f>
        <v>30113.69197364122</v>
      </c>
      <c r="O64" s="80">
        <f ca="1">O$185*INDEX(Assumptions!$B:$B,MATCH("Blended kit sale price ($/kit)",Assumptions!$A$1:$A$454,0))</f>
        <v>32082.426806204308</v>
      </c>
      <c r="P64" s="80">
        <f ca="1">P$185*INDEX(Assumptions!$B:$B,MATCH("Blended kit sale price ($/kit)",Assumptions!$A$1:$A$454,0))</f>
        <v>29096.097997481775</v>
      </c>
      <c r="Q64" s="80">
        <f ca="1">Q$185*INDEX(Assumptions!$B:$B,MATCH("Blended kit sale price ($/kit)",Assumptions!$A$1:$A$454,0))</f>
        <v>28354.821457290622</v>
      </c>
      <c r="R64" s="80">
        <f ca="1">R$185*INDEX(Assumptions!$B:$B,MATCH("Blended kit sale price ($/kit)",Assumptions!$A$1:$A$454,0))</f>
        <v>25087.037165247675</v>
      </c>
      <c r="S64" s="80">
        <f ca="1">S$185*INDEX(Assumptions!$B:$B,MATCH("Blended kit sale price ($/kit)",Assumptions!$A$1:$A$454,0))</f>
        <v>22794.773828383524</v>
      </c>
    </row>
    <row r="65" spans="1:19" s="89" customFormat="1" ht="16.5" customHeight="1">
      <c r="A65" s="86" t="s">
        <v>1000</v>
      </c>
      <c r="B65" s="87"/>
      <c r="C65" s="87"/>
      <c r="D65" s="88">
        <f t="shared" ref="D65:S65" si="11">D61+D62+D63+D64</f>
        <v>11055.124830359477</v>
      </c>
      <c r="E65" s="88">
        <f t="shared" ca="1" si="11"/>
        <v>14475.106234106988</v>
      </c>
      <c r="F65" s="88">
        <f t="shared" ca="1" si="11"/>
        <v>55338.596743838403</v>
      </c>
      <c r="G65" s="88">
        <f t="shared" ca="1" si="11"/>
        <v>109323.47623794759</v>
      </c>
      <c r="H65" s="88">
        <f t="shared" ca="1" si="11"/>
        <v>190403.45159617718</v>
      </c>
      <c r="I65" s="88">
        <f t="shared" ca="1" si="11"/>
        <v>239511.70228438367</v>
      </c>
      <c r="J65" s="88">
        <f t="shared" ca="1" si="11"/>
        <v>286754.23880448355</v>
      </c>
      <c r="K65" s="88">
        <f t="shared" ca="1" si="11"/>
        <v>305862.28548387572</v>
      </c>
      <c r="L65" s="88">
        <f t="shared" ca="1" si="11"/>
        <v>305189.84832674917</v>
      </c>
      <c r="M65" s="88">
        <f t="shared" ca="1" si="11"/>
        <v>308216.54693581327</v>
      </c>
      <c r="N65" s="88">
        <f t="shared" ca="1" si="11"/>
        <v>337933.87097962602</v>
      </c>
      <c r="O65" s="88">
        <f t="shared" ca="1" si="11"/>
        <v>362502.95661672397</v>
      </c>
      <c r="P65" s="88">
        <f t="shared" ca="1" si="11"/>
        <v>375846.90635252785</v>
      </c>
      <c r="Q65" s="88">
        <f t="shared" ca="1" si="11"/>
        <v>389002.48852865206</v>
      </c>
      <c r="R65" s="88">
        <f t="shared" ca="1" si="11"/>
        <v>393852.26312246895</v>
      </c>
      <c r="S65" s="88">
        <f t="shared" ca="1" si="11"/>
        <v>395878.00630625436</v>
      </c>
    </row>
    <row r="66" spans="1:19">
      <c r="A66" s="5" t="s">
        <v>1001</v>
      </c>
      <c r="B66" s="3"/>
      <c r="C66" s="3"/>
      <c r="D66" s="90">
        <f t="shared" ref="D66:S66" si="12">D61+D62</f>
        <v>7353.2957472483649</v>
      </c>
      <c r="E66" s="90">
        <f t="shared" ca="1" si="12"/>
        <v>10141.959534992277</v>
      </c>
      <c r="F66" s="90">
        <f t="shared" ca="1" si="12"/>
        <v>38524.67599123199</v>
      </c>
      <c r="G66" s="90">
        <f t="shared" ca="1" si="12"/>
        <v>81809.01451904219</v>
      </c>
      <c r="H66" s="90">
        <f t="shared" ca="1" si="12"/>
        <v>148151.6508319393</v>
      </c>
      <c r="I66" s="90">
        <f t="shared" ca="1" si="12"/>
        <v>205634.53513548168</v>
      </c>
      <c r="J66" s="90">
        <f t="shared" ca="1" si="12"/>
        <v>246489.8628679956</v>
      </c>
      <c r="K66" s="90">
        <f t="shared" ca="1" si="12"/>
        <v>270754.79881480569</v>
      </c>
      <c r="L66" s="90">
        <f t="shared" ca="1" si="12"/>
        <v>274919.78644923522</v>
      </c>
      <c r="M66" s="90">
        <f t="shared" ca="1" si="12"/>
        <v>281050.34021090274</v>
      </c>
      <c r="N66" s="90">
        <f t="shared" ca="1" si="12"/>
        <v>302379.91534765961</v>
      </c>
      <c r="O66" s="90">
        <f t="shared" ca="1" si="12"/>
        <v>324545.04505952843</v>
      </c>
      <c r="P66" s="90">
        <f t="shared" ca="1" si="12"/>
        <v>340405.28482397558</v>
      </c>
      <c r="Q66" s="90">
        <f t="shared" ca="1" si="12"/>
        <v>353794.50165780529</v>
      </c>
      <c r="R66" s="90">
        <f t="shared" ca="1" si="12"/>
        <v>361363.80731058063</v>
      </c>
      <c r="S66" s="90">
        <f t="shared" ca="1" si="12"/>
        <v>365089.70033949893</v>
      </c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13" t="s">
        <v>1002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>
      <c r="A69" s="5" t="s">
        <v>1003</v>
      </c>
      <c r="B69" s="3"/>
      <c r="C69" s="3"/>
      <c r="D69" s="70">
        <f>IF(D$28=1, IFERROR(_xlfn.CEILING.MATH((D$32+D$33+D$36)/INDEX(Assumptions!$B:$B,MATCH("F9 sats per launch (V2 packing)",Assumptions!$A$1:$A$257,0))),0), 0)</f>
        <v>166</v>
      </c>
      <c r="E69" s="70">
        <f ca="1">IF(E$28=1, IFERROR(_xlfn.CEILING.MATH((E$32+E$33+E$36)/INDEX(Assumptions!$B:$B,MATCH("F9 sats per launch (V2 packing)",Assumptions!$A$1:$A$257,0))),0), 0)</f>
        <v>138</v>
      </c>
      <c r="F69" s="70">
        <f>IF(F$28=1, IFERROR(_xlfn.CEILING.MATH((F$32+F$33+F$36)/INDEX(Assumptions!$B:$B,MATCH("F9 sats per launch (V2 packing)",Assumptions!$A$1:$A$257,0))),0), 0)</f>
        <v>0</v>
      </c>
      <c r="G69" s="70">
        <f>IF(G$28=1, IFERROR(_xlfn.CEILING.MATH((G$32+G$33+G$36)/INDEX(Assumptions!$B:$B,MATCH("F9 sats per launch (V2 packing)",Assumptions!$A$1:$A$257,0))),0), 0)</f>
        <v>0</v>
      </c>
      <c r="H69" s="70">
        <f>IF(H$28=1, IFERROR(_xlfn.CEILING.MATH((H$32+H$33+H$36)/INDEX(Assumptions!$B:$B,MATCH("F9 sats per launch (V2 packing)",Assumptions!$A$1:$A$257,0))),0), 0)</f>
        <v>0</v>
      </c>
      <c r="I69" s="70">
        <f>IF(I$28=1, IFERROR(_xlfn.CEILING.MATH((I$32+I$33+I$36)/INDEX(Assumptions!$B:$B,MATCH("F9 sats per launch (V2 packing)",Assumptions!$A$1:$A$257,0))),0), 0)</f>
        <v>0</v>
      </c>
      <c r="J69" s="70">
        <f>IF(J$28=1, IFERROR(_xlfn.CEILING.MATH((J$32+J$33+J$36)/INDEX(Assumptions!$B:$B,MATCH("F9 sats per launch (V2 packing)",Assumptions!$A$1:$A$257,0))),0), 0)</f>
        <v>0</v>
      </c>
      <c r="K69" s="70">
        <f>IF(K$28=1, IFERROR(_xlfn.CEILING.MATH((K$32+K$33+K$36)/INDEX(Assumptions!$B:$B,MATCH("F9 sats per launch (V2 packing)",Assumptions!$A$1:$A$257,0))),0), 0)</f>
        <v>0</v>
      </c>
      <c r="L69" s="70">
        <f>IF(L$28=1, IFERROR(_xlfn.CEILING.MATH((L$32+L$33+L$36)/INDEX(Assumptions!$B:$B,MATCH("F9 sats per launch (V2 packing)",Assumptions!$A$1:$A$257,0))),0), 0)</f>
        <v>0</v>
      </c>
      <c r="M69" s="70">
        <f>IF(M$28=1, IFERROR(_xlfn.CEILING.MATH((M$32+M$33+M$36)/INDEX(Assumptions!$B:$B,MATCH("F9 sats per launch (V2 packing)",Assumptions!$A$1:$A$257,0))),0), 0)</f>
        <v>0</v>
      </c>
      <c r="N69" s="70">
        <f>IF(N$28=1, IFERROR(_xlfn.CEILING.MATH((N$32+N$33+N$36)/INDEX(Assumptions!$B:$B,MATCH("F9 sats per launch (V2 packing)",Assumptions!$A$1:$A$257,0))),0), 0)</f>
        <v>0</v>
      </c>
      <c r="O69" s="70">
        <f>IF(O$28=1, IFERROR(_xlfn.CEILING.MATH((O$32+O$33+O$36)/INDEX(Assumptions!$B:$B,MATCH("F9 sats per launch (V2 packing)",Assumptions!$A$1:$A$257,0))),0), 0)</f>
        <v>0</v>
      </c>
      <c r="P69" s="70">
        <f>IF(P$28=1, IFERROR(_xlfn.CEILING.MATH((P$32+P$33+P$36)/INDEX(Assumptions!$B:$B,MATCH("F9 sats per launch (V2 packing)",Assumptions!$A$1:$A$257,0))),0), 0)</f>
        <v>0</v>
      </c>
      <c r="Q69" s="70">
        <f>IF(Q$28=1, IFERROR(_xlfn.CEILING.MATH((Q$32+Q$33+Q$36)/INDEX(Assumptions!$B:$B,MATCH("F9 sats per launch (V2 packing)",Assumptions!$A$1:$A$257,0))),0), 0)</f>
        <v>0</v>
      </c>
      <c r="R69" s="70">
        <f>IF(R$28=1, IFERROR(_xlfn.CEILING.MATH((R$32+R$33+R$36)/INDEX(Assumptions!$B:$B,MATCH("F9 sats per launch (V2 packing)",Assumptions!$A$1:$A$257,0))),0), 0)</f>
        <v>0</v>
      </c>
      <c r="S69" s="70">
        <f>IF(S$28=1, IFERROR(_xlfn.CEILING.MATH((S$32+S$33+S$36)/INDEX(Assumptions!$B:$B,MATCH("F9 sats per launch (V2 packing)",Assumptions!$A$1:$A$257,0))),0), 0)</f>
        <v>0</v>
      </c>
    </row>
    <row r="70" spans="1:19">
      <c r="A70" s="5" t="s">
        <v>1004</v>
      </c>
      <c r="B70" s="3"/>
      <c r="C70" s="3"/>
      <c r="D70" s="70">
        <f t="shared" ref="D70:S70" si="13">IF(D$29=1, IFERROR(_xlfn.CEILING.MATH((D$34+D$35)/D204),0), 0)</f>
        <v>0</v>
      </c>
      <c r="E70" s="70">
        <f t="shared" si="13"/>
        <v>0</v>
      </c>
      <c r="F70" s="70">
        <f t="shared" ca="1" si="13"/>
        <v>61</v>
      </c>
      <c r="G70" s="70">
        <f t="shared" ca="1" si="13"/>
        <v>127</v>
      </c>
      <c r="H70" s="70">
        <f t="shared" ca="1" si="13"/>
        <v>311</v>
      </c>
      <c r="I70" s="70">
        <f t="shared" ca="1" si="13"/>
        <v>504</v>
      </c>
      <c r="J70" s="70">
        <f t="shared" ca="1" si="13"/>
        <v>537</v>
      </c>
      <c r="K70" s="70">
        <f t="shared" ca="1" si="13"/>
        <v>634</v>
      </c>
      <c r="L70" s="70">
        <f t="shared" ca="1" si="13"/>
        <v>263</v>
      </c>
      <c r="M70" s="70">
        <f t="shared" ca="1" si="13"/>
        <v>628</v>
      </c>
      <c r="N70" s="70">
        <f t="shared" ca="1" si="13"/>
        <v>879</v>
      </c>
      <c r="O70" s="70">
        <f t="shared" ca="1" si="13"/>
        <v>1347</v>
      </c>
      <c r="P70" s="70">
        <f t="shared" ca="1" si="13"/>
        <v>899</v>
      </c>
      <c r="Q70" s="70">
        <f t="shared" ca="1" si="13"/>
        <v>545</v>
      </c>
      <c r="R70" s="70">
        <f t="shared" ca="1" si="13"/>
        <v>290</v>
      </c>
      <c r="S70" s="70">
        <f t="shared" ca="1" si="13"/>
        <v>336</v>
      </c>
    </row>
    <row r="71" spans="1:19">
      <c r="A71" s="5" t="s">
        <v>1005</v>
      </c>
      <c r="B71" s="3"/>
      <c r="C71" s="3"/>
      <c r="D71" s="29">
        <f t="shared" ref="D71:S71" si="14">D$42+D$43+D$52+D$53</f>
        <v>4969</v>
      </c>
      <c r="E71" s="29">
        <f t="shared" ca="1" si="14"/>
        <v>8089</v>
      </c>
      <c r="F71" s="29">
        <f t="shared" ca="1" si="14"/>
        <v>12007.735300489994</v>
      </c>
      <c r="G71" s="29">
        <f t="shared" ca="1" si="14"/>
        <v>20067.115264663313</v>
      </c>
      <c r="H71" s="29">
        <f t="shared" ca="1" si="14"/>
        <v>45325.119458671383</v>
      </c>
      <c r="I71" s="29">
        <f t="shared" ca="1" si="14"/>
        <v>93899.138979480689</v>
      </c>
      <c r="J71" s="29">
        <f t="shared" ca="1" si="14"/>
        <v>144379.77177097424</v>
      </c>
      <c r="K71" s="29">
        <f t="shared" ca="1" si="14"/>
        <v>203807.27060592963</v>
      </c>
      <c r="L71" s="29">
        <f t="shared" ca="1" si="14"/>
        <v>220514.27318928146</v>
      </c>
      <c r="M71" s="29">
        <f t="shared" ca="1" si="14"/>
        <v>256232.12615674251</v>
      </c>
      <c r="N71" s="29">
        <f t="shared" ca="1" si="14"/>
        <v>293700.26907822228</v>
      </c>
      <c r="O71" s="29">
        <f t="shared" ca="1" si="14"/>
        <v>374702.7211391537</v>
      </c>
      <c r="P71" s="29">
        <f t="shared" ca="1" si="14"/>
        <v>401184.43009881012</v>
      </c>
      <c r="Q71" s="29">
        <f t="shared" ca="1" si="14"/>
        <v>429387.09839014767</v>
      </c>
      <c r="R71" s="29">
        <f t="shared" ca="1" si="14"/>
        <v>395591.27128502686</v>
      </c>
      <c r="S71" s="29">
        <f t="shared" ca="1" si="14"/>
        <v>341380.60268069879</v>
      </c>
    </row>
    <row r="72" spans="1:1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13" t="s">
        <v>1006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>
      <c r="A74" s="5" t="s">
        <v>1007</v>
      </c>
      <c r="B74" s="3"/>
      <c r="C74" s="3"/>
      <c r="D74" s="80">
        <f>D$185*INDEX(Assumptions!$B:$B,MATCH("Terminal COGS per unit ($)",Assumptions!$A$1:$A$454,0))</f>
        <v>1477.4179788888889</v>
      </c>
      <c r="E74" s="80">
        <f ca="1">E$185*INDEX(Assumptions!$B:$B,MATCH("Terminal COGS per unit ($)",Assumptions!$A$1:$A$454,0))</f>
        <v>2014.575528893391</v>
      </c>
      <c r="F74" s="80">
        <f ca="1">F$185*INDEX(Assumptions!$B:$B,MATCH("Terminal COGS per unit ($)",Assumptions!$A$1:$A$454,0))</f>
        <v>17343.394468158011</v>
      </c>
      <c r="G74" s="80">
        <f ca="1">G$185*INDEX(Assumptions!$B:$B,MATCH("Terminal COGS per unit ($)",Assumptions!$A$1:$A$454,0))</f>
        <v>30425.150158223747</v>
      </c>
      <c r="H74" s="80">
        <f ca="1">H$185*INDEX(Assumptions!$B:$B,MATCH("Terminal COGS per unit ($)",Assumptions!$A$1:$A$454,0))</f>
        <v>48529.389805656698</v>
      </c>
      <c r="I74" s="80">
        <f ca="1">I$185*INDEX(Assumptions!$B:$B,MATCH("Terminal COGS per unit ($)",Assumptions!$A$1:$A$454,0))</f>
        <v>37718.268894515619</v>
      </c>
      <c r="J74" s="80">
        <f ca="1">J$185*INDEX(Assumptions!$B:$B,MATCH("Terminal COGS per unit ($)",Assumptions!$A$1:$A$454,0))</f>
        <v>45332.024675669061</v>
      </c>
      <c r="K74" s="80">
        <f ca="1">K$185*INDEX(Assumptions!$B:$B,MATCH("Terminal COGS per unit ($)",Assumptions!$A$1:$A$454,0))</f>
        <v>38486.037471801363</v>
      </c>
      <c r="L74" s="80">
        <f ca="1">L$185*INDEX(Assumptions!$B:$B,MATCH("Terminal COGS per unit ($)",Assumptions!$A$1:$A$454,0))</f>
        <v>32007.390813193397</v>
      </c>
      <c r="M74" s="80">
        <f ca="1">M$185*INDEX(Assumptions!$B:$B,MATCH("Terminal COGS per unit ($)",Assumptions!$A$1:$A$454,0))</f>
        <v>27661.156949743199</v>
      </c>
      <c r="N74" s="80">
        <f ca="1">N$185*INDEX(Assumptions!$B:$B,MATCH("Terminal COGS per unit ($)",Assumptions!$A$1:$A$454,0))</f>
        <v>37642.11496705153</v>
      </c>
      <c r="O74" s="80">
        <f ca="1">O$185*INDEX(Assumptions!$B:$B,MATCH("Terminal COGS per unit ($)",Assumptions!$A$1:$A$454,0))</f>
        <v>40103.033507755383</v>
      </c>
      <c r="P74" s="80">
        <f ca="1">P$185*INDEX(Assumptions!$B:$B,MATCH("Terminal COGS per unit ($)",Assumptions!$A$1:$A$454,0))</f>
        <v>36370.122496852215</v>
      </c>
      <c r="Q74" s="80">
        <f ca="1">Q$185*INDEX(Assumptions!$B:$B,MATCH("Terminal COGS per unit ($)",Assumptions!$A$1:$A$454,0))</f>
        <v>35443.526821613275</v>
      </c>
      <c r="R74" s="80">
        <f ca="1">R$185*INDEX(Assumptions!$B:$B,MATCH("Terminal COGS per unit ($)",Assumptions!$A$1:$A$454,0))</f>
        <v>31358.796456559594</v>
      </c>
      <c r="S74" s="80">
        <f ca="1">S$185*INDEX(Assumptions!$B:$B,MATCH("Terminal COGS per unit ($)",Assumptions!$A$1:$A$454,0))</f>
        <v>28493.467285479404</v>
      </c>
    </row>
    <row r="75" spans="1:19">
      <c r="A75" s="5" t="s">
        <v>1008</v>
      </c>
      <c r="B75" s="3"/>
      <c r="C75" s="3"/>
      <c r="D75" s="80">
        <f>D$65*INDEX(Assumptions!$B:$B,MATCH("Ground-network ops COGS (% of revenue)",Assumptions!$A$1:$A$257,0))</f>
        <v>221.10249660718955</v>
      </c>
      <c r="E75" s="80">
        <f ca="1">E$65*INDEX(Assumptions!$B:$B,MATCH("Ground-network ops COGS (% of revenue)",Assumptions!$A$1:$A$257,0))</f>
        <v>289.50212468213977</v>
      </c>
      <c r="F75" s="80">
        <f ca="1">F$65*INDEX(Assumptions!$B:$B,MATCH("Ground-network ops COGS (% of revenue)",Assumptions!$A$1:$A$257,0))</f>
        <v>1106.771934876768</v>
      </c>
      <c r="G75" s="80">
        <f ca="1">G$65*INDEX(Assumptions!$B:$B,MATCH("Ground-network ops COGS (% of revenue)",Assumptions!$A$1:$A$257,0))</f>
        <v>2186.4695247589516</v>
      </c>
      <c r="H75" s="80">
        <f ca="1">H$65*INDEX(Assumptions!$B:$B,MATCH("Ground-network ops COGS (% of revenue)",Assumptions!$A$1:$A$257,0))</f>
        <v>3808.0690319235437</v>
      </c>
      <c r="I75" s="80">
        <f ca="1">I$65*INDEX(Assumptions!$B:$B,MATCH("Ground-network ops COGS (% of revenue)",Assumptions!$A$1:$A$257,0))</f>
        <v>4790.2340456876736</v>
      </c>
      <c r="J75" s="80">
        <f ca="1">J$65*INDEX(Assumptions!$B:$B,MATCH("Ground-network ops COGS (% of revenue)",Assumptions!$A$1:$A$257,0))</f>
        <v>5735.0847760896713</v>
      </c>
      <c r="K75" s="80">
        <f ca="1">K$65*INDEX(Assumptions!$B:$B,MATCH("Ground-network ops COGS (% of revenue)",Assumptions!$A$1:$A$257,0))</f>
        <v>6117.2457096775142</v>
      </c>
      <c r="L75" s="80">
        <f ca="1">L$65*INDEX(Assumptions!$B:$B,MATCH("Ground-network ops COGS (% of revenue)",Assumptions!$A$1:$A$257,0))</f>
        <v>6103.7969665349838</v>
      </c>
      <c r="M75" s="80">
        <f ca="1">M$65*INDEX(Assumptions!$B:$B,MATCH("Ground-network ops COGS (% of revenue)",Assumptions!$A$1:$A$257,0))</f>
        <v>6164.3309387162653</v>
      </c>
      <c r="N75" s="80">
        <f ca="1">N$65*INDEX(Assumptions!$B:$B,MATCH("Ground-network ops COGS (% of revenue)",Assumptions!$A$1:$A$257,0))</f>
        <v>6758.6774195925209</v>
      </c>
      <c r="O75" s="80">
        <f ca="1">O$65*INDEX(Assumptions!$B:$B,MATCH("Ground-network ops COGS (% of revenue)",Assumptions!$A$1:$A$257,0))</f>
        <v>7250.0591323344797</v>
      </c>
      <c r="P75" s="80">
        <f ca="1">P$65*INDEX(Assumptions!$B:$B,MATCH("Ground-network ops COGS (% of revenue)",Assumptions!$A$1:$A$257,0))</f>
        <v>7516.9381270505573</v>
      </c>
      <c r="Q75" s="80">
        <f ca="1">Q$65*INDEX(Assumptions!$B:$B,MATCH("Ground-network ops COGS (% of revenue)",Assumptions!$A$1:$A$257,0))</f>
        <v>7780.0497705730413</v>
      </c>
      <c r="R75" s="80">
        <f ca="1">R$65*INDEX(Assumptions!$B:$B,MATCH("Ground-network ops COGS (% of revenue)",Assumptions!$A$1:$A$257,0))</f>
        <v>7877.0452624493792</v>
      </c>
      <c r="S75" s="80">
        <f ca="1">S$65*INDEX(Assumptions!$B:$B,MATCH("Ground-network ops COGS (% of revenue)",Assumptions!$A$1:$A$257,0))</f>
        <v>7917.5601261250877</v>
      </c>
    </row>
    <row r="76" spans="1:19">
      <c r="A76" s="5" t="s">
        <v>1009</v>
      </c>
      <c r="B76" s="3"/>
      <c r="C76" s="3"/>
      <c r="D76" s="80">
        <f>D$65*INDEX(Assumptions!$B:$B,MATCH("Asset insurance COGS (% of revenue)",Assumptions!$A$1:$A$257,0))</f>
        <v>110.55124830359478</v>
      </c>
      <c r="E76" s="80">
        <f ca="1">E$65*INDEX(Assumptions!$B:$B,MATCH("Asset insurance COGS (% of revenue)",Assumptions!$A$1:$A$257,0))</f>
        <v>144.75106234106988</v>
      </c>
      <c r="F76" s="80">
        <f ca="1">F$65*INDEX(Assumptions!$B:$B,MATCH("Asset insurance COGS (% of revenue)",Assumptions!$A$1:$A$257,0))</f>
        <v>553.385967438384</v>
      </c>
      <c r="G76" s="80">
        <f ca="1">G$65*INDEX(Assumptions!$B:$B,MATCH("Asset insurance COGS (% of revenue)",Assumptions!$A$1:$A$257,0))</f>
        <v>1093.2347623794758</v>
      </c>
      <c r="H76" s="80">
        <f ca="1">H$65*INDEX(Assumptions!$B:$B,MATCH("Asset insurance COGS (% of revenue)",Assumptions!$A$1:$A$257,0))</f>
        <v>1904.0345159617718</v>
      </c>
      <c r="I76" s="80">
        <f ca="1">I$65*INDEX(Assumptions!$B:$B,MATCH("Asset insurance COGS (% of revenue)",Assumptions!$A$1:$A$257,0))</f>
        <v>2395.1170228438368</v>
      </c>
      <c r="J76" s="80">
        <f ca="1">J$65*INDEX(Assumptions!$B:$B,MATCH("Asset insurance COGS (% of revenue)",Assumptions!$A$1:$A$257,0))</f>
        <v>2867.5423880448357</v>
      </c>
      <c r="K76" s="80">
        <f ca="1">K$65*INDEX(Assumptions!$B:$B,MATCH("Asset insurance COGS (% of revenue)",Assumptions!$A$1:$A$257,0))</f>
        <v>3058.6228548387571</v>
      </c>
      <c r="L76" s="80">
        <f ca="1">L$65*INDEX(Assumptions!$B:$B,MATCH("Asset insurance COGS (% of revenue)",Assumptions!$A$1:$A$257,0))</f>
        <v>3051.8984832674919</v>
      </c>
      <c r="M76" s="80">
        <f ca="1">M$65*INDEX(Assumptions!$B:$B,MATCH("Asset insurance COGS (% of revenue)",Assumptions!$A$1:$A$257,0))</f>
        <v>3082.1654693581327</v>
      </c>
      <c r="N76" s="80">
        <f ca="1">N$65*INDEX(Assumptions!$B:$B,MATCH("Asset insurance COGS (% of revenue)",Assumptions!$A$1:$A$257,0))</f>
        <v>3379.3387097962604</v>
      </c>
      <c r="O76" s="80">
        <f ca="1">O$65*INDEX(Assumptions!$B:$B,MATCH("Asset insurance COGS (% of revenue)",Assumptions!$A$1:$A$257,0))</f>
        <v>3625.0295661672399</v>
      </c>
      <c r="P76" s="80">
        <f ca="1">P$65*INDEX(Assumptions!$B:$B,MATCH("Asset insurance COGS (% of revenue)",Assumptions!$A$1:$A$257,0))</f>
        <v>3758.4690635252787</v>
      </c>
      <c r="Q76" s="80">
        <f ca="1">Q$65*INDEX(Assumptions!$B:$B,MATCH("Asset insurance COGS (% of revenue)",Assumptions!$A$1:$A$257,0))</f>
        <v>3890.0248852865207</v>
      </c>
      <c r="R76" s="80">
        <f ca="1">R$65*INDEX(Assumptions!$B:$B,MATCH("Asset insurance COGS (% of revenue)",Assumptions!$A$1:$A$257,0))</f>
        <v>3938.5226312246896</v>
      </c>
      <c r="S76" s="80">
        <f ca="1">S$65*INDEX(Assumptions!$B:$B,MATCH("Asset insurance COGS (% of revenue)",Assumptions!$A$1:$A$257,0))</f>
        <v>3958.7800630625438</v>
      </c>
    </row>
    <row r="77" spans="1:19">
      <c r="A77" s="5" t="s">
        <v>1010</v>
      </c>
      <c r="B77" s="3"/>
      <c r="C77" s="3"/>
      <c r="D77" s="42">
        <f t="array" ref="D77">D$69*INDEX(Assumptions!$D:$S,MATCH("F9 variable cost per launch ($mm/launch)",Assumptions!$A$1:$A$257,0),D$5+1)+D$70*INDEX(Assumptions!$D:$S,MATCH("Starship variable cost per launch ($mm/launch)",Assumptions!$A$1:$A$257,0),D$5+1)</f>
        <v>2697.5</v>
      </c>
      <c r="E77" s="42">
        <f t="array" aca="1" ref="E77" ca="1">E$69*INDEX(Assumptions!$D:$S,MATCH("F9 variable cost per launch ($mm/launch)",Assumptions!$A$1:$A$257,0),E$5+1)+E$70*INDEX(Assumptions!$D:$S,MATCH("Starship variable cost per launch ($mm/launch)",Assumptions!$A$1:$A$257,0),E$5+1)</f>
        <v>2197.6499999999996</v>
      </c>
      <c r="F77" s="42">
        <f t="array" aca="1" ref="F77" ca="1">F$69*INDEX(Assumptions!$D:$S,MATCH("F9 variable cost per launch ($mm/launch)",Assumptions!$A$1:$A$257,0),F$5+1)+F$70*INDEX(Assumptions!$D:$S,MATCH("Starship variable cost per launch ($mm/launch)",Assumptions!$A$1:$A$257,0),F$5+1)</f>
        <v>305</v>
      </c>
      <c r="G77" s="42">
        <f t="array" aca="1" ref="G77" ca="1">G$69*INDEX(Assumptions!$D:$S,MATCH("F9 variable cost per launch ($mm/launch)",Assumptions!$A$1:$A$257,0),G$5+1)+G$70*INDEX(Assumptions!$D:$S,MATCH("Starship variable cost per launch ($mm/launch)",Assumptions!$A$1:$A$257,0),G$5+1)</f>
        <v>584.20000000000005</v>
      </c>
      <c r="H77" s="42">
        <f t="array" aca="1" ref="H77" ca="1">H$69*INDEX(Assumptions!$D:$S,MATCH("F9 variable cost per launch ($mm/launch)",Assumptions!$A$1:$A$257,0),H$5+1)+H$70*INDEX(Assumptions!$D:$S,MATCH("Starship variable cost per launch ($mm/launch)",Assumptions!$A$1:$A$257,0),H$5+1)</f>
        <v>1316.152</v>
      </c>
      <c r="I77" s="42">
        <f t="array" aca="1" ref="I77" ca="1">I$69*INDEX(Assumptions!$D:$S,MATCH("F9 variable cost per launch ($mm/launch)",Assumptions!$A$1:$A$257,0),I$5+1)+I$70*INDEX(Assumptions!$D:$S,MATCH("Starship variable cost per launch ($mm/launch)",Assumptions!$A$1:$A$257,0),I$5+1)</f>
        <v>1962.29376</v>
      </c>
      <c r="J77" s="42">
        <f t="array" aca="1" ref="J77" ca="1">J$69*INDEX(Assumptions!$D:$S,MATCH("F9 variable cost per launch ($mm/launch)",Assumptions!$A$1:$A$257,0),J$5+1)+J$70*INDEX(Assumptions!$D:$S,MATCH("Starship variable cost per launch ($mm/launch)",Assumptions!$A$1:$A$257,0),J$5+1)</f>
        <v>1923.5150976000002</v>
      </c>
      <c r="K77" s="42">
        <f t="array" aca="1" ref="K77" ca="1">K$69*INDEX(Assumptions!$D:$S,MATCH("F9 variable cost per launch ($mm/launch)",Assumptions!$A$1:$A$257,0),K$5+1)+K$70*INDEX(Assumptions!$D:$S,MATCH("Starship variable cost per launch ($mm/launch)",Assumptions!$A$1:$A$257,0),K$5+1)</f>
        <v>2089.2884285440005</v>
      </c>
      <c r="L77" s="42">
        <f t="array" aca="1" ref="L77" ca="1">L$69*INDEX(Assumptions!$D:$S,MATCH("F9 variable cost per launch ($mm/launch)",Assumptions!$A$1:$A$257,0),L$5+1)+L$70*INDEX(Assumptions!$D:$S,MATCH("Starship variable cost per launch ($mm/launch)",Assumptions!$A$1:$A$257,0),L$5+1)</f>
        <v>797.35682676736019</v>
      </c>
      <c r="M77" s="42">
        <f t="array" aca="1" ref="M77" ca="1">M$69*INDEX(Assumptions!$D:$S,MATCH("F9 variable cost per launch ($mm/launch)",Assumptions!$A$1:$A$257,0),M$5+1)+M$70*INDEX(Assumptions!$D:$S,MATCH("Starship variable cost per launch ($mm/launch)",Assumptions!$A$1:$A$257,0),M$5+1)</f>
        <v>1751.6383278825476</v>
      </c>
      <c r="N77" s="42">
        <f t="array" aca="1" ref="N77" ca="1">N$69*INDEX(Assumptions!$D:$S,MATCH("F9 variable cost per launch ($mm/launch)",Assumptions!$A$1:$A$257,0),N$5+1)+N$70*INDEX(Assumptions!$D:$S,MATCH("Starship variable cost per launch ($mm/launch)",Assumptions!$A$1:$A$257,0),N$5+1)</f>
        <v>2255.5969474395838</v>
      </c>
      <c r="O77" s="42">
        <f t="array" aca="1" ref="O77" ca="1">O$69*INDEX(Assumptions!$D:$S,MATCH("F9 variable cost per launch ($mm/launch)",Assumptions!$A$1:$A$257,0),O$5+1)+O$70*INDEX(Assumptions!$D:$S,MATCH("Starship variable cost per launch ($mm/launch)",Assumptions!$A$1:$A$257,0),O$5+1)</f>
        <v>3180.0067817349604</v>
      </c>
      <c r="P77" s="42">
        <f t="array" aca="1" ref="P77" ca="1">P$69*INDEX(Assumptions!$D:$S,MATCH("F9 variable cost per launch ($mm/launch)",Assumptions!$A$1:$A$257,0),P$5+1)+P$70*INDEX(Assumptions!$D:$S,MATCH("Starship variable cost per launch ($mm/launch)",Assumptions!$A$1:$A$257,0),P$5+1)</f>
        <v>1952.5761017352274</v>
      </c>
      <c r="Q77" s="42">
        <f t="array" aca="1" ref="Q77" ca="1">Q$69*INDEX(Assumptions!$D:$S,MATCH("F9 variable cost per launch ($mm/launch)",Assumptions!$A$1:$A$257,0),Q$5+1)+Q$70*INDEX(Assumptions!$D:$S,MATCH("Starship variable cost per launch ($mm/launch)",Assumptions!$A$1:$A$257,0),Q$5+1)</f>
        <v>1089.0118547386462</v>
      </c>
      <c r="R77" s="42">
        <f t="array" aca="1" ref="R77" ca="1">R$69*INDEX(Assumptions!$D:$S,MATCH("F9 variable cost per launch ($mm/launch)",Assumptions!$A$1:$A$257,0),R$5+1)+R$70*INDEX(Assumptions!$D:$S,MATCH("Starship variable cost per launch ($mm/launch)",Assumptions!$A$1:$A$257,0),R$5+1)</f>
        <v>533.11626209957956</v>
      </c>
      <c r="S77" s="42">
        <f t="array" aca="1" ref="S77" ca="1">S$69*INDEX(Assumptions!$D:$S,MATCH("F9 variable cost per launch ($mm/launch)",Assumptions!$A$1:$A$257,0),S$5+1)+S$70*INDEX(Assumptions!$D:$S,MATCH("Starship variable cost per launch ($mm/launch)",Assumptions!$A$1:$A$257,0),S$5+1)</f>
        <v>568.26516875938626</v>
      </c>
    </row>
    <row r="78" spans="1:19">
      <c r="A78" s="78" t="s">
        <v>1011</v>
      </c>
      <c r="B78" s="78"/>
      <c r="C78" s="78"/>
      <c r="D78" s="84">
        <f t="shared" ref="D78:S78" si="15">SUM(D75:D77)+D74</f>
        <v>4506.5717237996732</v>
      </c>
      <c r="E78" s="84">
        <f t="shared" ca="1" si="15"/>
        <v>4646.4787159166008</v>
      </c>
      <c r="F78" s="84">
        <f t="shared" ca="1" si="15"/>
        <v>19308.552370473164</v>
      </c>
      <c r="G78" s="84">
        <f t="shared" ca="1" si="15"/>
        <v>34289.054445362177</v>
      </c>
      <c r="H78" s="84">
        <f t="shared" ca="1" si="15"/>
        <v>55557.645353542015</v>
      </c>
      <c r="I78" s="84">
        <f t="shared" ca="1" si="15"/>
        <v>46865.913723047131</v>
      </c>
      <c r="J78" s="84">
        <f t="shared" ca="1" si="15"/>
        <v>55858.16693740357</v>
      </c>
      <c r="K78" s="84">
        <f t="shared" ca="1" si="15"/>
        <v>49751.194464861634</v>
      </c>
      <c r="L78" s="84">
        <f t="shared" ca="1" si="15"/>
        <v>41960.443089763234</v>
      </c>
      <c r="M78" s="84">
        <f t="shared" ca="1" si="15"/>
        <v>38659.29168570014</v>
      </c>
      <c r="N78" s="84">
        <f t="shared" ca="1" si="15"/>
        <v>50035.728043879892</v>
      </c>
      <c r="O78" s="84">
        <f t="shared" ca="1" si="15"/>
        <v>54158.128987992066</v>
      </c>
      <c r="P78" s="84">
        <f t="shared" ca="1" si="15"/>
        <v>49598.105789163281</v>
      </c>
      <c r="Q78" s="84">
        <f t="shared" ca="1" si="15"/>
        <v>48202.613332211484</v>
      </c>
      <c r="R78" s="84">
        <f t="shared" ca="1" si="15"/>
        <v>43707.480612333246</v>
      </c>
      <c r="S78" s="84">
        <f t="shared" ca="1" si="15"/>
        <v>40938.072643426422</v>
      </c>
    </row>
    <row r="79" spans="1:19">
      <c r="A79" s="78" t="s">
        <v>1012</v>
      </c>
      <c r="B79" s="78"/>
      <c r="C79" s="78"/>
      <c r="D79" s="84">
        <f t="shared" ref="D79:S79" si="16">D$65-D$78</f>
        <v>6548.5531065598034</v>
      </c>
      <c r="E79" s="84">
        <f t="shared" ca="1" si="16"/>
        <v>9828.6275181903875</v>
      </c>
      <c r="F79" s="84">
        <f t="shared" ca="1" si="16"/>
        <v>36030.044373365236</v>
      </c>
      <c r="G79" s="84">
        <f t="shared" ca="1" si="16"/>
        <v>75034.421792585403</v>
      </c>
      <c r="H79" s="84">
        <f t="shared" ca="1" si="16"/>
        <v>134845.80624263518</v>
      </c>
      <c r="I79" s="84">
        <f t="shared" ca="1" si="16"/>
        <v>192645.78856133655</v>
      </c>
      <c r="J79" s="84">
        <f t="shared" ca="1" si="16"/>
        <v>230896.07186708</v>
      </c>
      <c r="K79" s="84">
        <f t="shared" ca="1" si="16"/>
        <v>256111.09101901407</v>
      </c>
      <c r="L79" s="84">
        <f t="shared" ca="1" si="16"/>
        <v>263229.40523698594</v>
      </c>
      <c r="M79" s="84">
        <f t="shared" ca="1" si="16"/>
        <v>269557.25525011314</v>
      </c>
      <c r="N79" s="84">
        <f t="shared" ca="1" si="16"/>
        <v>287898.14293574612</v>
      </c>
      <c r="O79" s="84">
        <f t="shared" ca="1" si="16"/>
        <v>308344.8276287319</v>
      </c>
      <c r="P79" s="84">
        <f t="shared" ca="1" si="16"/>
        <v>326248.80056336458</v>
      </c>
      <c r="Q79" s="84">
        <f t="shared" ca="1" si="16"/>
        <v>340799.87519644055</v>
      </c>
      <c r="R79" s="84">
        <f t="shared" ca="1" si="16"/>
        <v>350144.78251013573</v>
      </c>
      <c r="S79" s="84">
        <f t="shared" ca="1" si="16"/>
        <v>354939.93366282794</v>
      </c>
    </row>
    <row r="80" spans="1:19">
      <c r="A80" s="5" t="s">
        <v>1013</v>
      </c>
      <c r="B80" s="3"/>
      <c r="C80" s="3"/>
      <c r="D80" s="91">
        <f t="shared" ref="D80:S80" si="17">IFERROR(D$79/D$65,0)</f>
        <v>0.59235451494642832</v>
      </c>
      <c r="E80" s="91">
        <f t="shared" ca="1" si="17"/>
        <v>0.67900209913704612</v>
      </c>
      <c r="F80" s="91">
        <f t="shared" ca="1" si="17"/>
        <v>0.65108344796214856</v>
      </c>
      <c r="G80" s="91">
        <f t="shared" ca="1" si="17"/>
        <v>0.68635232225207987</v>
      </c>
      <c r="H80" s="91">
        <f t="shared" ca="1" si="17"/>
        <v>0.70821093374203592</v>
      </c>
      <c r="I80" s="91">
        <f t="shared" ca="1" si="17"/>
        <v>0.80432724883145379</v>
      </c>
      <c r="J80" s="91">
        <f t="shared" ca="1" si="17"/>
        <v>0.80520543595001892</v>
      </c>
      <c r="K80" s="91">
        <f t="shared" ca="1" si="17"/>
        <v>0.83734119299424248</v>
      </c>
      <c r="L80" s="91">
        <f t="shared" ca="1" si="17"/>
        <v>0.86251035766812734</v>
      </c>
      <c r="M80" s="91">
        <f t="shared" ca="1" si="17"/>
        <v>0.87457100512598041</v>
      </c>
      <c r="N80" s="91">
        <f t="shared" ca="1" si="17"/>
        <v>0.85193633328664897</v>
      </c>
      <c r="O80" s="91">
        <f t="shared" ca="1" si="17"/>
        <v>0.85059948339882452</v>
      </c>
      <c r="P80" s="91">
        <f t="shared" ca="1" si="17"/>
        <v>0.86803641336176807</v>
      </c>
      <c r="Q80" s="91">
        <f t="shared" ca="1" si="17"/>
        <v>0.87608661961384571</v>
      </c>
      <c r="R80" s="91">
        <f t="shared" ca="1" si="17"/>
        <v>0.88902569642276674</v>
      </c>
      <c r="S80" s="91">
        <f t="shared" ca="1" si="17"/>
        <v>0.89658917143339256</v>
      </c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13" t="s">
        <v>1014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>
      <c r="A83" s="5" t="s">
        <v>1015</v>
      </c>
      <c r="B83" s="3"/>
      <c r="C83" s="3"/>
      <c r="D83" s="80">
        <f>D$65*MAX(INDEX(Assumptions!$B:$B,MATCH("Sales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(taper)",Assumptions!$A$1:$A$257,0)))^D$5)</f>
        <v>331.65374491078427</v>
      </c>
      <c r="E83" s="80">
        <f ca="1">E$65*MAX(INDEX(Assumptions!$B:$B,MATCH("Sales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(taper)",Assumptions!$A$1:$A$257,0)))^E$5)</f>
        <v>399.51293206135284</v>
      </c>
      <c r="F83" s="80">
        <f ca="1">F$65*MAX(INDEX(Assumptions!$B:$B,MATCH("Sales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(taper)",Assumptions!$A$1:$A$257,0)))^F$5)</f>
        <v>1405.1576485195449</v>
      </c>
      <c r="G83" s="80">
        <f ca="1">G$65*MAX(INDEX(Assumptions!$B:$B,MATCH("Sales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(taper)",Assumptions!$A$1:$A$257,0)))^G$5)</f>
        <v>2553.8663719432479</v>
      </c>
      <c r="H83" s="80">
        <f ca="1">H$65*MAX(INDEX(Assumptions!$B:$B,MATCH("Sales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(taper)",Assumptions!$A$1:$A$257,0)))^H$5)</f>
        <v>4092.110768496063</v>
      </c>
      <c r="I83" s="80">
        <f ca="1">I$65*MAX(INDEX(Assumptions!$B:$B,MATCH("Sales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(taper)",Assumptions!$A$1:$A$257,0)))^I$5)</f>
        <v>4790.2340456876736</v>
      </c>
      <c r="J83" s="80">
        <f ca="1">J$65*MAX(INDEX(Assumptions!$B:$B,MATCH("Sales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(taper)",Assumptions!$A$1:$A$257,0)))^J$5)</f>
        <v>5735.0847760896713</v>
      </c>
      <c r="K83" s="80">
        <f ca="1">K$65*MAX(INDEX(Assumptions!$B:$B,MATCH("Sales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(taper)",Assumptions!$A$1:$A$257,0)))^K$5)</f>
        <v>6117.2457096775142</v>
      </c>
      <c r="L83" s="80">
        <f ca="1">L$65*MAX(INDEX(Assumptions!$B:$B,MATCH("Sales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(taper)",Assumptions!$A$1:$A$257,0)))^L$5)</f>
        <v>6103.7969665349838</v>
      </c>
      <c r="M83" s="80">
        <f ca="1">M$65*MAX(INDEX(Assumptions!$B:$B,MATCH("Sales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(taper)",Assumptions!$A$1:$A$257,0)))^M$5)</f>
        <v>6164.3309387162653</v>
      </c>
      <c r="N83" s="80">
        <f ca="1">N$65*MAX(INDEX(Assumptions!$B:$B,MATCH("Sales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(taper)",Assumptions!$A$1:$A$257,0)))^N$5)</f>
        <v>6758.6774195925209</v>
      </c>
      <c r="O83" s="80">
        <f ca="1">O$65*MAX(INDEX(Assumptions!$B:$B,MATCH("Sales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(taper)",Assumptions!$A$1:$A$257,0)))^O$5)</f>
        <v>7250.0591323344797</v>
      </c>
      <c r="P83" s="80">
        <f ca="1">P$65*MAX(INDEX(Assumptions!$B:$B,MATCH("Sales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(taper)",Assumptions!$A$1:$A$257,0)))^P$5)</f>
        <v>7516.9381270505573</v>
      </c>
      <c r="Q83" s="80">
        <f ca="1">Q$65*MAX(INDEX(Assumptions!$B:$B,MATCH("Sales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(taper)",Assumptions!$A$1:$A$257,0)))^Q$5)</f>
        <v>7780.0497705730413</v>
      </c>
      <c r="R83" s="80">
        <f ca="1">R$65*MAX(INDEX(Assumptions!$B:$B,MATCH("Sales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(taper)",Assumptions!$A$1:$A$257,0)))^R$5)</f>
        <v>7877.0452624493792</v>
      </c>
      <c r="S83" s="80">
        <f ca="1">S$65*MAX(INDEX(Assumptions!$B:$B,MATCH("Sales &amp; Marketing: end-state % (floor)",Assumptions!$A$1:$A$257,0)), INDEX(Assumptions!$B:$B,MATCH("Sales &amp; Marketing: start % of (Starlink+Starshield+CL ext) rev",Assumptions!$A$1:$A$257,0))*(1+INDEX(Assumptions!$B:$B,MATCH("Sales &amp; Marketing: CAGR (taper)",Assumptions!$A$1:$A$257,0)))^S$5)</f>
        <v>7917.5601261250877</v>
      </c>
    </row>
    <row r="84" spans="1:19">
      <c r="A84" s="5" t="s">
        <v>1016</v>
      </c>
      <c r="B84" s="3"/>
      <c r="C84" s="3"/>
      <c r="D84" s="80">
        <f>D$66*INDEX(Assumptions!$B:$B,MATCH("Customer Service: flat % of Starlink subscription rev",Assumptions!$A$1:$A$257,0))</f>
        <v>147.06591494496729</v>
      </c>
      <c r="E84" s="80">
        <f ca="1">E$66*INDEX(Assumptions!$B:$B,MATCH("Customer Service: flat % of Starlink subscription rev",Assumptions!$A$1:$A$257,0))</f>
        <v>202.83919069984555</v>
      </c>
      <c r="F84" s="80">
        <f ca="1">F$66*INDEX(Assumptions!$B:$B,MATCH("Customer Service: flat % of Starlink subscription rev",Assumptions!$A$1:$A$257,0))</f>
        <v>770.49351982463986</v>
      </c>
      <c r="G84" s="80">
        <f ca="1">G$66*INDEX(Assumptions!$B:$B,MATCH("Customer Service: flat % of Starlink subscription rev",Assumptions!$A$1:$A$257,0))</f>
        <v>1636.1802903808439</v>
      </c>
      <c r="H84" s="80">
        <f ca="1">H$66*INDEX(Assumptions!$B:$B,MATCH("Customer Service: flat % of Starlink subscription rev",Assumptions!$A$1:$A$257,0))</f>
        <v>2963.0330166387862</v>
      </c>
      <c r="I84" s="80">
        <f ca="1">I$66*INDEX(Assumptions!$B:$B,MATCH("Customer Service: flat % of Starlink subscription rev",Assumptions!$A$1:$A$257,0))</f>
        <v>4112.690702709634</v>
      </c>
      <c r="J84" s="80">
        <f ca="1">J$66*INDEX(Assumptions!$B:$B,MATCH("Customer Service: flat % of Starlink subscription rev",Assumptions!$A$1:$A$257,0))</f>
        <v>4929.7972573599118</v>
      </c>
      <c r="K84" s="80">
        <f ca="1">K$66*INDEX(Assumptions!$B:$B,MATCH("Customer Service: flat % of Starlink subscription rev",Assumptions!$A$1:$A$257,0))</f>
        <v>5415.0959762961138</v>
      </c>
      <c r="L84" s="80">
        <f ca="1">L$66*INDEX(Assumptions!$B:$B,MATCH("Customer Service: flat % of Starlink subscription rev",Assumptions!$A$1:$A$257,0))</f>
        <v>5498.3957289847049</v>
      </c>
      <c r="M84" s="80">
        <f ca="1">M$66*INDEX(Assumptions!$B:$B,MATCH("Customer Service: flat % of Starlink subscription rev",Assumptions!$A$1:$A$257,0))</f>
        <v>5621.0068042180546</v>
      </c>
      <c r="N84" s="80">
        <f ca="1">N$66*INDEX(Assumptions!$B:$B,MATCH("Customer Service: flat % of Starlink subscription rev",Assumptions!$A$1:$A$257,0))</f>
        <v>6047.5983069531922</v>
      </c>
      <c r="O84" s="80">
        <f ca="1">O$66*INDEX(Assumptions!$B:$B,MATCH("Customer Service: flat % of Starlink subscription rev",Assumptions!$A$1:$A$257,0))</f>
        <v>6490.9009011905691</v>
      </c>
      <c r="P84" s="80">
        <f ca="1">P$66*INDEX(Assumptions!$B:$B,MATCH("Customer Service: flat % of Starlink subscription rev",Assumptions!$A$1:$A$257,0))</f>
        <v>6808.1056964795116</v>
      </c>
      <c r="Q84" s="80">
        <f ca="1">Q$66*INDEX(Assumptions!$B:$B,MATCH("Customer Service: flat % of Starlink subscription rev",Assumptions!$A$1:$A$257,0))</f>
        <v>7075.8900331561063</v>
      </c>
      <c r="R84" s="80">
        <f ca="1">R$66*INDEX(Assumptions!$B:$B,MATCH("Customer Service: flat % of Starlink subscription rev",Assumptions!$A$1:$A$257,0))</f>
        <v>7227.2761462116123</v>
      </c>
      <c r="S84" s="80">
        <f ca="1">S$66*INDEX(Assumptions!$B:$B,MATCH("Customer Service: flat % of Starlink subscription rev",Assumptions!$A$1:$A$257,0))</f>
        <v>7301.794006789979</v>
      </c>
    </row>
    <row r="85" spans="1:19">
      <c r="A85" s="5" t="s">
        <v>1017</v>
      </c>
      <c r="B85" s="3"/>
      <c r="C85" s="3"/>
      <c r="D85" s="80">
        <f>D$65*INDEX(Assumptions!$B:$B,MATCH("Network ops &amp; G&amp;A (% of revenue)",Assumptions!$A$1:$A$257,0))</f>
        <v>276.37812075898694</v>
      </c>
      <c r="E85" s="80">
        <f ca="1">E$65*INDEX(Assumptions!$B:$B,MATCH("Network ops &amp; G&amp;A (% of revenue)",Assumptions!$A$1:$A$257,0))</f>
        <v>361.87765585267471</v>
      </c>
      <c r="F85" s="80">
        <f ca="1">F$65*INDEX(Assumptions!$B:$B,MATCH("Network ops &amp; G&amp;A (% of revenue)",Assumptions!$A$1:$A$257,0))</f>
        <v>1383.4649185959602</v>
      </c>
      <c r="G85" s="80">
        <f ca="1">G$65*INDEX(Assumptions!$B:$B,MATCH("Network ops &amp; G&amp;A (% of revenue)",Assumptions!$A$1:$A$257,0))</f>
        <v>2733.0869059486899</v>
      </c>
      <c r="H85" s="80">
        <f ca="1">H$65*INDEX(Assumptions!$B:$B,MATCH("Network ops &amp; G&amp;A (% of revenue)",Assumptions!$A$1:$A$257,0))</f>
        <v>4760.0862899044296</v>
      </c>
      <c r="I85" s="80">
        <f ca="1">I$65*INDEX(Assumptions!$B:$B,MATCH("Network ops &amp; G&amp;A (% of revenue)",Assumptions!$A$1:$A$257,0))</f>
        <v>5987.7925571095921</v>
      </c>
      <c r="J85" s="80">
        <f ca="1">J$65*INDEX(Assumptions!$B:$B,MATCH("Network ops &amp; G&amp;A (% of revenue)",Assumptions!$A$1:$A$257,0))</f>
        <v>7168.8559701120894</v>
      </c>
      <c r="K85" s="80">
        <f ca="1">K$65*INDEX(Assumptions!$B:$B,MATCH("Network ops &amp; G&amp;A (% of revenue)",Assumptions!$A$1:$A$257,0))</f>
        <v>7646.5571370968937</v>
      </c>
      <c r="L85" s="80">
        <f ca="1">L$65*INDEX(Assumptions!$B:$B,MATCH("Network ops &amp; G&amp;A (% of revenue)",Assumptions!$A$1:$A$257,0))</f>
        <v>7629.7462081687299</v>
      </c>
      <c r="M85" s="80">
        <f ca="1">M$65*INDEX(Assumptions!$B:$B,MATCH("Network ops &amp; G&amp;A (% of revenue)",Assumptions!$A$1:$A$257,0))</f>
        <v>7705.4136733953319</v>
      </c>
      <c r="N85" s="80">
        <f ca="1">N$65*INDEX(Assumptions!$B:$B,MATCH("Network ops &amp; G&amp;A (% of revenue)",Assumptions!$A$1:$A$257,0))</f>
        <v>8448.3467744906502</v>
      </c>
      <c r="O85" s="80">
        <f ca="1">O$65*INDEX(Assumptions!$B:$B,MATCH("Network ops &amp; G&amp;A (% of revenue)",Assumptions!$A$1:$A$257,0))</f>
        <v>9062.5739154180992</v>
      </c>
      <c r="P85" s="80">
        <f ca="1">P$65*INDEX(Assumptions!$B:$B,MATCH("Network ops &amp; G&amp;A (% of revenue)",Assumptions!$A$1:$A$257,0))</f>
        <v>9396.1726588131969</v>
      </c>
      <c r="Q85" s="80">
        <f ca="1">Q$65*INDEX(Assumptions!$B:$B,MATCH("Network ops &amp; G&amp;A (% of revenue)",Assumptions!$A$1:$A$257,0))</f>
        <v>9725.0622132163026</v>
      </c>
      <c r="R85" s="80">
        <f ca="1">R$65*INDEX(Assumptions!$B:$B,MATCH("Network ops &amp; G&amp;A (% of revenue)",Assumptions!$A$1:$A$257,0))</f>
        <v>9846.3065780617253</v>
      </c>
      <c r="S85" s="80">
        <f ca="1">S$65*INDEX(Assumptions!$B:$B,MATCH("Network ops &amp; G&amp;A (% of revenue)",Assumptions!$A$1:$A$257,0))</f>
        <v>9896.9501576563598</v>
      </c>
    </row>
    <row r="86" spans="1:19">
      <c r="A86" s="5" t="s">
        <v>1018</v>
      </c>
      <c r="B86" s="3"/>
      <c r="C86" s="3"/>
      <c r="D86" s="80">
        <f>D$65*INDEX(Assumptions!$B:$B,MATCH("Spectrum licence OpEx (% of revenue)",Assumptions!$A$1:$A$257,0))</f>
        <v>143.71662279467319</v>
      </c>
      <c r="E86" s="80">
        <f ca="1">E$65*INDEX(Assumptions!$B:$B,MATCH("Spectrum licence OpEx (% of revenue)",Assumptions!$A$1:$A$257,0))</f>
        <v>188.17638104339085</v>
      </c>
      <c r="F86" s="80">
        <f ca="1">F$65*INDEX(Assumptions!$B:$B,MATCH("Spectrum licence OpEx (% of revenue)",Assumptions!$A$1:$A$257,0))</f>
        <v>719.40175766989921</v>
      </c>
      <c r="G86" s="80">
        <f ca="1">G$65*INDEX(Assumptions!$B:$B,MATCH("Spectrum licence OpEx (% of revenue)",Assumptions!$A$1:$A$257,0))</f>
        <v>1421.2051910933185</v>
      </c>
      <c r="H86" s="80">
        <f ca="1">H$65*INDEX(Assumptions!$B:$B,MATCH("Spectrum licence OpEx (% of revenue)",Assumptions!$A$1:$A$257,0))</f>
        <v>2475.2448707503031</v>
      </c>
      <c r="I86" s="80">
        <f ca="1">I$65*INDEX(Assumptions!$B:$B,MATCH("Spectrum licence OpEx (% of revenue)",Assumptions!$A$1:$A$257,0))</f>
        <v>3113.6521296969877</v>
      </c>
      <c r="J86" s="80">
        <f ca="1">J$65*INDEX(Assumptions!$B:$B,MATCH("Spectrum licence OpEx (% of revenue)",Assumptions!$A$1:$A$257,0))</f>
        <v>3727.8051044582862</v>
      </c>
      <c r="K86" s="80">
        <f ca="1">K$65*INDEX(Assumptions!$B:$B,MATCH("Spectrum licence OpEx (% of revenue)",Assumptions!$A$1:$A$257,0))</f>
        <v>3976.2097112903843</v>
      </c>
      <c r="L86" s="80">
        <f ca="1">L$65*INDEX(Assumptions!$B:$B,MATCH("Spectrum licence OpEx (% of revenue)",Assumptions!$A$1:$A$257,0))</f>
        <v>3967.4680282477389</v>
      </c>
      <c r="M86" s="80">
        <f ca="1">M$65*INDEX(Assumptions!$B:$B,MATCH("Spectrum licence OpEx (% of revenue)",Assumptions!$A$1:$A$257,0))</f>
        <v>4006.8151101655722</v>
      </c>
      <c r="N86" s="80">
        <f ca="1">N$65*INDEX(Assumptions!$B:$B,MATCH("Spectrum licence OpEx (% of revenue)",Assumptions!$A$1:$A$257,0))</f>
        <v>4393.1403227351384</v>
      </c>
      <c r="O86" s="80">
        <f ca="1">O$65*INDEX(Assumptions!$B:$B,MATCH("Spectrum licence OpEx (% of revenue)",Assumptions!$A$1:$A$257,0))</f>
        <v>4712.5384360174112</v>
      </c>
      <c r="P86" s="80">
        <f ca="1">P$65*INDEX(Assumptions!$B:$B,MATCH("Spectrum licence OpEx (% of revenue)",Assumptions!$A$1:$A$257,0))</f>
        <v>4886.0097825828616</v>
      </c>
      <c r="Q86" s="80">
        <f ca="1">Q$65*INDEX(Assumptions!$B:$B,MATCH("Spectrum licence OpEx (% of revenue)",Assumptions!$A$1:$A$257,0))</f>
        <v>5057.0323508724769</v>
      </c>
      <c r="R86" s="80">
        <f ca="1">R$65*INDEX(Assumptions!$B:$B,MATCH("Spectrum licence OpEx (% of revenue)",Assumptions!$A$1:$A$257,0))</f>
        <v>5120.0794205920965</v>
      </c>
      <c r="S86" s="80">
        <f ca="1">S$65*INDEX(Assumptions!$B:$B,MATCH("Spectrum licence OpEx (% of revenue)",Assumptions!$A$1:$A$257,0))</f>
        <v>5146.4140819813065</v>
      </c>
    </row>
    <row r="87" spans="1:19">
      <c r="A87" s="92" t="s">
        <v>1019</v>
      </c>
      <c r="B87" s="92"/>
      <c r="C87" s="92"/>
      <c r="D87" s="93">
        <f t="shared" ref="D87:S87" si="18">SUM(D83:D86)+D92</f>
        <v>1484.7360194184639</v>
      </c>
      <c r="E87" s="93">
        <f t="shared" ca="1" si="18"/>
        <v>1842.8687270241674</v>
      </c>
      <c r="F87" s="93">
        <f t="shared" ca="1" si="18"/>
        <v>6654.2038028230272</v>
      </c>
      <c r="G87" s="93">
        <f t="shared" ca="1" si="18"/>
        <v>12568.269910771683</v>
      </c>
      <c r="H87" s="93">
        <f t="shared" ca="1" si="18"/>
        <v>20911.43128917893</v>
      </c>
      <c r="I87" s="93">
        <f t="shared" ca="1" si="18"/>
        <v>25500.120484544892</v>
      </c>
      <c r="J87" s="93">
        <f t="shared" ca="1" si="18"/>
        <v>30164.170272154464</v>
      </c>
      <c r="K87" s="93">
        <f t="shared" ca="1" si="18"/>
        <v>32330.977098877178</v>
      </c>
      <c r="L87" s="93">
        <f t="shared" ca="1" si="18"/>
        <v>32355.10238173863</v>
      </c>
      <c r="M87" s="93">
        <f t="shared" ca="1" si="18"/>
        <v>32744.062934569622</v>
      </c>
      <c r="N87" s="93">
        <f t="shared" ca="1" si="18"/>
        <v>35785.778953160283</v>
      </c>
      <c r="O87" s="93">
        <f t="shared" ca="1" si="18"/>
        <v>38391.161083462277</v>
      </c>
      <c r="P87" s="93">
        <f t="shared" ca="1" si="18"/>
        <v>39882.633455501957</v>
      </c>
      <c r="Q87" s="93">
        <f t="shared" ca="1" si="18"/>
        <v>41308.109023677491</v>
      </c>
      <c r="R87" s="93">
        <f t="shared" ca="1" si="18"/>
        <v>41886.275300988884</v>
      </c>
      <c r="S87" s="93">
        <f t="shared" ca="1" si="18"/>
        <v>42139.058561740363</v>
      </c>
    </row>
    <row r="88" spans="1:19">
      <c r="A88" s="94" t="s">
        <v>1020</v>
      </c>
      <c r="B88" s="94"/>
      <c r="C88" s="94"/>
      <c r="D88" s="95">
        <f t="shared" ref="D88:S88" si="19">D79-D87</f>
        <v>5063.8170871413395</v>
      </c>
      <c r="E88" s="95">
        <f t="shared" ca="1" si="19"/>
        <v>7985.7587911662204</v>
      </c>
      <c r="F88" s="95">
        <f t="shared" ca="1" si="19"/>
        <v>29375.840570542208</v>
      </c>
      <c r="G88" s="95">
        <f t="shared" ca="1" si="19"/>
        <v>62466.151881813719</v>
      </c>
      <c r="H88" s="95">
        <f t="shared" ca="1" si="19"/>
        <v>113934.37495345625</v>
      </c>
      <c r="I88" s="95">
        <f t="shared" ca="1" si="19"/>
        <v>167145.66807679166</v>
      </c>
      <c r="J88" s="95">
        <f t="shared" ca="1" si="19"/>
        <v>200731.90159492553</v>
      </c>
      <c r="K88" s="95">
        <f t="shared" ca="1" si="19"/>
        <v>223780.11392013688</v>
      </c>
      <c r="L88" s="95">
        <f t="shared" ca="1" si="19"/>
        <v>230874.30285524731</v>
      </c>
      <c r="M88" s="95">
        <f t="shared" ca="1" si="19"/>
        <v>236813.19231554354</v>
      </c>
      <c r="N88" s="95">
        <f t="shared" ca="1" si="19"/>
        <v>252112.36398258584</v>
      </c>
      <c r="O88" s="95">
        <f t="shared" ca="1" si="19"/>
        <v>269953.6665452696</v>
      </c>
      <c r="P88" s="95">
        <f t="shared" ca="1" si="19"/>
        <v>286366.16710786265</v>
      </c>
      <c r="Q88" s="95">
        <f t="shared" ca="1" si="19"/>
        <v>299491.76617276308</v>
      </c>
      <c r="R88" s="95">
        <f t="shared" ca="1" si="19"/>
        <v>308258.50720914686</v>
      </c>
      <c r="S88" s="95">
        <f t="shared" ca="1" si="19"/>
        <v>312800.87510108756</v>
      </c>
    </row>
    <row r="89" spans="1:19">
      <c r="A89" s="78" t="s">
        <v>1021</v>
      </c>
      <c r="B89" s="78"/>
      <c r="C89" s="78"/>
      <c r="D89" s="96">
        <f t="shared" ref="D89:S89" si="20">IFERROR(D88/D65,0)</f>
        <v>0.45805155209420467</v>
      </c>
      <c r="E89" s="96">
        <f t="shared" ca="1" si="20"/>
        <v>0.55168913181098223</v>
      </c>
      <c r="F89" s="96">
        <f t="shared" ca="1" si="20"/>
        <v>0.53083819068493132</v>
      </c>
      <c r="G89" s="96">
        <f t="shared" ca="1" si="20"/>
        <v>0.5713882693032305</v>
      </c>
      <c r="H89" s="96">
        <f t="shared" ca="1" si="20"/>
        <v>0.59838397885295358</v>
      </c>
      <c r="I89" s="96">
        <f t="shared" ca="1" si="20"/>
        <v>0.69786013160363924</v>
      </c>
      <c r="J89" s="96">
        <f t="shared" ca="1" si="20"/>
        <v>0.70001372057063027</v>
      </c>
      <c r="K89" s="96">
        <f t="shared" ca="1" si="20"/>
        <v>0.73163683311303185</v>
      </c>
      <c r="L89" s="96">
        <f t="shared" ca="1" si="20"/>
        <v>0.75649404500526995</v>
      </c>
      <c r="M89" s="96">
        <f t="shared" ca="1" si="20"/>
        <v>0.76833380514401894</v>
      </c>
      <c r="N89" s="96">
        <f t="shared" ca="1" si="20"/>
        <v>0.74604052932529408</v>
      </c>
      <c r="O89" s="96">
        <f t="shared" ca="1" si="20"/>
        <v>0.74469369592119727</v>
      </c>
      <c r="P89" s="96">
        <f t="shared" ca="1" si="20"/>
        <v>0.76192237389141582</v>
      </c>
      <c r="Q89" s="96">
        <f t="shared" ca="1" si="20"/>
        <v>0.76989678730732325</v>
      </c>
      <c r="R89" s="96">
        <f t="shared" ca="1" si="20"/>
        <v>0.78267547522836856</v>
      </c>
      <c r="S89" s="96">
        <f t="shared" ca="1" si="20"/>
        <v>0.79014461555892124</v>
      </c>
    </row>
    <row r="90" spans="1:1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13" t="s">
        <v>1022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>
      <c r="A92" s="78" t="s">
        <v>1023</v>
      </c>
      <c r="B92" s="78"/>
      <c r="C92" s="78"/>
      <c r="D92" s="97">
        <f>D$65*MAX(INDEX(Assumptions!$B:$B,MATCH("Starlink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(taper)",Assumptions!$A$1:$A$257,0)))^D$5)</f>
        <v>585.92161600905229</v>
      </c>
      <c r="E92" s="97">
        <f ca="1">E$65*MAX(INDEX(Assumptions!$B:$B,MATCH("Starlink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(taper)",Assumptions!$A$1:$A$257,0)))^E$5)</f>
        <v>690.46256736690339</v>
      </c>
      <c r="F92" s="97">
        <f ca="1">F$65*MAX(INDEX(Assumptions!$B:$B,MATCH("Starlink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(taper)",Assumptions!$A$1:$A$257,0)))^F$5)</f>
        <v>2375.6859582129828</v>
      </c>
      <c r="G92" s="97">
        <f ca="1">G$65*MAX(INDEX(Assumptions!$B:$B,MATCH("Starlink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(taper)",Assumptions!$A$1:$A$257,0)))^G$5)</f>
        <v>4223.9311514055817</v>
      </c>
      <c r="H92" s="97">
        <f ca="1">H$65*MAX(INDEX(Assumptions!$B:$B,MATCH("Starlink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(taper)",Assumptions!$A$1:$A$257,0)))^H$5)</f>
        <v>6620.9563433893491</v>
      </c>
      <c r="I92" s="97">
        <f ca="1">I$65*MAX(INDEX(Assumptions!$B:$B,MATCH("Starlink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(taper)",Assumptions!$A$1:$A$257,0)))^I$5)</f>
        <v>7495.7510493410045</v>
      </c>
      <c r="J92" s="97">
        <f ca="1">J$65*MAX(INDEX(Assumptions!$B:$B,MATCH("Starlink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(taper)",Assumptions!$A$1:$A$257,0)))^J$5)</f>
        <v>8602.6271641345065</v>
      </c>
      <c r="K92" s="97">
        <f ca="1">K$65*MAX(INDEX(Assumptions!$B:$B,MATCH("Starlink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(taper)",Assumptions!$A$1:$A$257,0)))^K$5)</f>
        <v>9175.8685645162714</v>
      </c>
      <c r="L92" s="97">
        <f ca="1">L$65*MAX(INDEX(Assumptions!$B:$B,MATCH("Starlink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(taper)",Assumptions!$A$1:$A$257,0)))^L$5)</f>
        <v>9155.6954498024752</v>
      </c>
      <c r="M92" s="97">
        <f ca="1">M$65*MAX(INDEX(Assumptions!$B:$B,MATCH("Starlink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(taper)",Assumptions!$A$1:$A$257,0)))^M$5)</f>
        <v>9246.4964080743976</v>
      </c>
      <c r="N92" s="97">
        <f ca="1">N$65*MAX(INDEX(Assumptions!$B:$B,MATCH("Starlink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(taper)",Assumptions!$A$1:$A$257,0)))^N$5)</f>
        <v>10138.01612938878</v>
      </c>
      <c r="O92" s="97">
        <f ca="1">O$65*MAX(INDEX(Assumptions!$B:$B,MATCH("Starlink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(taper)",Assumptions!$A$1:$A$257,0)))^O$5)</f>
        <v>10875.088698501719</v>
      </c>
      <c r="P92" s="97">
        <f ca="1">P$65*MAX(INDEX(Assumptions!$B:$B,MATCH("Starlink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(taper)",Assumptions!$A$1:$A$257,0)))^P$5)</f>
        <v>11275.407190575836</v>
      </c>
      <c r="Q92" s="97">
        <f ca="1">Q$65*MAX(INDEX(Assumptions!$B:$B,MATCH("Starlink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(taper)",Assumptions!$A$1:$A$257,0)))^Q$5)</f>
        <v>11670.074655859562</v>
      </c>
      <c r="R92" s="97">
        <f ca="1">R$65*MAX(INDEX(Assumptions!$B:$B,MATCH("Starlink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(taper)",Assumptions!$A$1:$A$257,0)))^R$5)</f>
        <v>11815.567893674068</v>
      </c>
      <c r="S92" s="97">
        <f ca="1">S$65*MAX(INDEX(Assumptions!$B:$B,MATCH("Starlink R&amp;D: end-state % (floor)",Assumptions!$A$1:$A$257,0)), INDEX(Assumptions!$B:$B,MATCH("Starlink R&amp;D: start % of (Starlink+Starshield) rev",Assumptions!$A$1:$A$257,0))*(1+INDEX(Assumptions!$B:$B,MATCH("Starlink R&amp;D: CAGR (taper)",Assumptions!$A$1:$A$257,0)))^S$5)</f>
        <v>11876.340189187631</v>
      </c>
    </row>
    <row r="93" spans="1:19">
      <c r="A93" s="5" t="s">
        <v>1024</v>
      </c>
      <c r="B93" s="3"/>
      <c r="C93" s="3"/>
      <c r="D93" s="80">
        <f>(D$40*INDEX(Assumptions!$B:$B,MATCH("Legacy V1 sat mass (kg)",Assumptions!$A$1:$A$257,0)) + D$41*INDEX(Assumptions!$B:$B,MATCH("Legacy V1.5 sat mass (kg)",Assumptions!$A$1:$A$257,0)) + D$42*INDEX(Assumptions!$B:$B,MATCH("V2 BB sat mass (kg)",Assumptions!$A$1:$A$257,0)) + D$43*INDEX(Assumptions!$B:$B,MATCH("V3 BB sat mass (kg)",Assumptions!$A$1:$A$257,0)) + D$52*INDEX(Assumptions!$B:$B,MATCH("V2 DTC sat mass (kg)",Assumptions!$A$1:$A$257,0)) + D$53*INDEX(Assumptions!$B:$B,MATCH("V3 DTC sat mass (kg)",Assumptions!$A$1:$A$257,0)) + D$135*INDEX(Assumptions!$B:$B,MATCH("Starshield sat mass (kg)",Assumptions!$A$1:$A$257,0)))*INDEX(Assumptions!$B:$B,MATCH("Satellite Dep per kg: base year ($/kg/yr)",Assumptions!$A$1:$A$257,0))/1000000</f>
        <v>550.58483760000001</v>
      </c>
      <c r="E93" s="80">
        <f ca="1">(E$40*INDEX(Assumptions!$B:$B,MATCH("Legacy V1 sat mass (kg)",Assumptions!$A$1:$A$257,0)) + E$41*INDEX(Assumptions!$B:$B,MATCH("Legacy V1.5 sat mass (kg)",Assumptions!$A$1:$A$257,0)) + E$42*INDEX(Assumptions!$B:$B,MATCH("V2 BB sat mass (kg)",Assumptions!$A$1:$A$257,0)) + E$43*INDEX(Assumptions!$B:$B,MATCH("V3 BB sat mass (kg)",Assumptions!$A$1:$A$257,0)) + E$52*INDEX(Assumptions!$B:$B,MATCH("V2 DTC sat mass (kg)",Assumptions!$A$1:$A$257,0)) + E$53*INDEX(Assumptions!$B:$B,MATCH("V3 DTC sat mass (kg)",Assumptions!$A$1:$A$257,0)) + E$135*INDEX(Assumptions!$B:$B,MATCH("Starshield sat mass (kg)",Assumptions!$A$1:$A$257,0)))*INDEX(Assumptions!$B:$B,MATCH("Satellite Dep per kg: base year ($/kg/yr)",Assumptions!$A$1:$A$257,0))/1000000</f>
        <v>717.28501040000015</v>
      </c>
      <c r="F93" s="80">
        <f ca="1">(F$40*INDEX(Assumptions!$B:$B,MATCH("Legacy V1 sat mass (kg)",Assumptions!$A$1:$A$257,0)) + F$41*INDEX(Assumptions!$B:$B,MATCH("Legacy V1.5 sat mass (kg)",Assumptions!$A$1:$A$257,0)) + F$42*INDEX(Assumptions!$B:$B,MATCH("V2 BB sat mass (kg)",Assumptions!$A$1:$A$257,0)) + F$43*INDEX(Assumptions!$B:$B,MATCH("V3 BB sat mass (kg)",Assumptions!$A$1:$A$257,0)) + F$52*INDEX(Assumptions!$B:$B,MATCH("V2 DTC sat mass (kg)",Assumptions!$A$1:$A$257,0)) + F$53*INDEX(Assumptions!$B:$B,MATCH("V3 DTC sat mass (kg)",Assumptions!$A$1:$A$257,0)) + F$135*INDEX(Assumptions!$B:$B,MATCH("Starshield sat mass (kg)",Assumptions!$A$1:$A$257,0)))*INDEX(Assumptions!$B:$B,MATCH("Satellite Dep per kg: base year ($/kg/yr)",Assumptions!$A$1:$A$257,0))/1000000</f>
        <v>1691.3848046062224</v>
      </c>
      <c r="G93" s="80">
        <f ca="1">(G$40*INDEX(Assumptions!$B:$B,MATCH("Legacy V1 sat mass (kg)",Assumptions!$A$1:$A$257,0)) + G$41*INDEX(Assumptions!$B:$B,MATCH("Legacy V1.5 sat mass (kg)",Assumptions!$A$1:$A$257,0)) + G$42*INDEX(Assumptions!$B:$B,MATCH("V2 BB sat mass (kg)",Assumptions!$A$1:$A$257,0)) + G$43*INDEX(Assumptions!$B:$B,MATCH("V3 BB sat mass (kg)",Assumptions!$A$1:$A$257,0)) + G$52*INDEX(Assumptions!$B:$B,MATCH("V2 DTC sat mass (kg)",Assumptions!$A$1:$A$257,0)) + G$53*INDEX(Assumptions!$B:$B,MATCH("V3 DTC sat mass (kg)",Assumptions!$A$1:$A$257,0)) + G$135*INDEX(Assumptions!$B:$B,MATCH("Starshield sat mass (kg)",Assumptions!$A$1:$A$257,0)))*INDEX(Assumptions!$B:$B,MATCH("Satellite Dep per kg: base year ($/kg/yr)",Assumptions!$A$1:$A$257,0))/1000000</f>
        <v>3996.0451841772697</v>
      </c>
      <c r="H93" s="80">
        <f ca="1">(H$40*INDEX(Assumptions!$B:$B,MATCH("Legacy V1 sat mass (kg)",Assumptions!$A$1:$A$257,0)) + H$41*INDEX(Assumptions!$B:$B,MATCH("Legacy V1.5 sat mass (kg)",Assumptions!$A$1:$A$257,0)) + H$42*INDEX(Assumptions!$B:$B,MATCH("V2 BB sat mass (kg)",Assumptions!$A$1:$A$257,0)) + H$43*INDEX(Assumptions!$B:$B,MATCH("V3 BB sat mass (kg)",Assumptions!$A$1:$A$257,0)) + H$52*INDEX(Assumptions!$B:$B,MATCH("V2 DTC sat mass (kg)",Assumptions!$A$1:$A$257,0)) + H$53*INDEX(Assumptions!$B:$B,MATCH("V3 DTC sat mass (kg)",Assumptions!$A$1:$A$257,0)) + H$135*INDEX(Assumptions!$B:$B,MATCH("Starshield sat mass (kg)",Assumptions!$A$1:$A$257,0)))*INDEX(Assumptions!$B:$B,MATCH("Satellite Dep per kg: base year ($/kg/yr)",Assumptions!$A$1:$A$257,0))/1000000</f>
        <v>10826.546934553749</v>
      </c>
      <c r="I93" s="80">
        <f ca="1">(I$40*INDEX(Assumptions!$B:$B,MATCH("Legacy V1 sat mass (kg)",Assumptions!$A$1:$A$257,0)) + I$41*INDEX(Assumptions!$B:$B,MATCH("Legacy V1.5 sat mass (kg)",Assumptions!$A$1:$A$257,0)) + I$42*INDEX(Assumptions!$B:$B,MATCH("V2 BB sat mass (kg)",Assumptions!$A$1:$A$257,0)) + I$43*INDEX(Assumptions!$B:$B,MATCH("V3 BB sat mass (kg)",Assumptions!$A$1:$A$257,0)) + I$52*INDEX(Assumptions!$B:$B,MATCH("V2 DTC sat mass (kg)",Assumptions!$A$1:$A$257,0)) + I$53*INDEX(Assumptions!$B:$B,MATCH("V3 DTC sat mass (kg)",Assumptions!$A$1:$A$257,0)) + I$135*INDEX(Assumptions!$B:$B,MATCH("Starshield sat mass (kg)",Assumptions!$A$1:$A$257,0)))*INDEX(Assumptions!$B:$B,MATCH("Satellite Dep per kg: base year ($/kg/yr)",Assumptions!$A$1:$A$257,0))/1000000</f>
        <v>23663.254233114229</v>
      </c>
      <c r="J93" s="80">
        <f ca="1">(J$40*INDEX(Assumptions!$B:$B,MATCH("Legacy V1 sat mass (kg)",Assumptions!$A$1:$A$257,0)) + J$41*INDEX(Assumptions!$B:$B,MATCH("Legacy V1.5 sat mass (kg)",Assumptions!$A$1:$A$257,0)) + J$42*INDEX(Assumptions!$B:$B,MATCH("V2 BB sat mass (kg)",Assumptions!$A$1:$A$257,0)) + J$43*INDEX(Assumptions!$B:$B,MATCH("V3 BB sat mass (kg)",Assumptions!$A$1:$A$257,0)) + J$52*INDEX(Assumptions!$B:$B,MATCH("V2 DTC sat mass (kg)",Assumptions!$A$1:$A$257,0)) + J$53*INDEX(Assumptions!$B:$B,MATCH("V3 DTC sat mass (kg)",Assumptions!$A$1:$A$257,0)) + J$135*INDEX(Assumptions!$B:$B,MATCH("Starshield sat mass (kg)",Assumptions!$A$1:$A$257,0)))*INDEX(Assumptions!$B:$B,MATCH("Satellite Dep per kg: base year ($/kg/yr)",Assumptions!$A$1:$A$257,0))/1000000</f>
        <v>37239.710040202976</v>
      </c>
      <c r="K93" s="80">
        <f ca="1">(K$40*INDEX(Assumptions!$B:$B,MATCH("Legacy V1 sat mass (kg)",Assumptions!$A$1:$A$257,0)) + K$41*INDEX(Assumptions!$B:$B,MATCH("Legacy V1.5 sat mass (kg)",Assumptions!$A$1:$A$257,0)) + K$42*INDEX(Assumptions!$B:$B,MATCH("V2 BB sat mass (kg)",Assumptions!$A$1:$A$257,0)) + K$43*INDEX(Assumptions!$B:$B,MATCH("V3 BB sat mass (kg)",Assumptions!$A$1:$A$257,0)) + K$52*INDEX(Assumptions!$B:$B,MATCH("V2 DTC sat mass (kg)",Assumptions!$A$1:$A$257,0)) + K$53*INDEX(Assumptions!$B:$B,MATCH("V3 DTC sat mass (kg)",Assumptions!$A$1:$A$257,0)) + K$135*INDEX(Assumptions!$B:$B,MATCH("Starshield sat mass (kg)",Assumptions!$A$1:$A$257,0)))*INDEX(Assumptions!$B:$B,MATCH("Satellite Dep per kg: base year ($/kg/yr)",Assumptions!$A$1:$A$257,0))/1000000</f>
        <v>52548.233740087468</v>
      </c>
      <c r="L93" s="80">
        <f ca="1">(L$40*INDEX(Assumptions!$B:$B,MATCH("Legacy V1 sat mass (kg)",Assumptions!$A$1:$A$257,0)) + L$41*INDEX(Assumptions!$B:$B,MATCH("Legacy V1.5 sat mass (kg)",Assumptions!$A$1:$A$257,0)) + L$42*INDEX(Assumptions!$B:$B,MATCH("V2 BB sat mass (kg)",Assumptions!$A$1:$A$257,0)) + L$43*INDEX(Assumptions!$B:$B,MATCH("V3 BB sat mass (kg)",Assumptions!$A$1:$A$257,0)) + L$52*INDEX(Assumptions!$B:$B,MATCH("V2 DTC sat mass (kg)",Assumptions!$A$1:$A$257,0)) + L$53*INDEX(Assumptions!$B:$B,MATCH("V3 DTC sat mass (kg)",Assumptions!$A$1:$A$257,0)) + L$135*INDEX(Assumptions!$B:$B,MATCH("Starshield sat mass (kg)",Assumptions!$A$1:$A$257,0)))*INDEX(Assumptions!$B:$B,MATCH("Satellite Dep per kg: base year ($/kg/yr)",Assumptions!$A$1:$A$257,0))/1000000</f>
        <v>56851.957605558906</v>
      </c>
      <c r="M93" s="80">
        <f ca="1">(M$40*INDEX(Assumptions!$B:$B,MATCH("Legacy V1 sat mass (kg)",Assumptions!$A$1:$A$257,0)) + M$41*INDEX(Assumptions!$B:$B,MATCH("Legacy V1.5 sat mass (kg)",Assumptions!$A$1:$A$257,0)) + M$42*INDEX(Assumptions!$B:$B,MATCH("V2 BB sat mass (kg)",Assumptions!$A$1:$A$257,0)) + M$43*INDEX(Assumptions!$B:$B,MATCH("V3 BB sat mass (kg)",Assumptions!$A$1:$A$257,0)) + M$52*INDEX(Assumptions!$B:$B,MATCH("V2 DTC sat mass (kg)",Assumptions!$A$1:$A$257,0)) + M$53*INDEX(Assumptions!$B:$B,MATCH("V3 DTC sat mass (kg)",Assumptions!$A$1:$A$257,0)) + M$135*INDEX(Assumptions!$B:$B,MATCH("Starshield sat mass (kg)",Assumptions!$A$1:$A$257,0)))*INDEX(Assumptions!$B:$B,MATCH("Satellite Dep per kg: base year ($/kg/yr)",Assumptions!$A$1:$A$257,0))/1000000</f>
        <v>66052.876529976871</v>
      </c>
      <c r="N93" s="80">
        <f ca="1">(N$40*INDEX(Assumptions!$B:$B,MATCH("Legacy V1 sat mass (kg)",Assumptions!$A$1:$A$257,0)) + N$41*INDEX(Assumptions!$B:$B,MATCH("Legacy V1.5 sat mass (kg)",Assumptions!$A$1:$A$257,0)) + N$42*INDEX(Assumptions!$B:$B,MATCH("V2 BB sat mass (kg)",Assumptions!$A$1:$A$257,0)) + N$43*INDEX(Assumptions!$B:$B,MATCH("V3 BB sat mass (kg)",Assumptions!$A$1:$A$257,0)) + N$52*INDEX(Assumptions!$B:$B,MATCH("V2 DTC sat mass (kg)",Assumptions!$A$1:$A$257,0)) + N$53*INDEX(Assumptions!$B:$B,MATCH("V3 DTC sat mass (kg)",Assumptions!$A$1:$A$257,0)) + N$135*INDEX(Assumptions!$B:$B,MATCH("Starshield sat mass (kg)",Assumptions!$A$1:$A$257,0)))*INDEX(Assumptions!$B:$B,MATCH("Satellite Dep per kg: base year ($/kg/yr)",Assumptions!$A$1:$A$257,0))/1000000</f>
        <v>75704.670146550066</v>
      </c>
      <c r="O93" s="80">
        <f ca="1">(O$40*INDEX(Assumptions!$B:$B,MATCH("Legacy V1 sat mass (kg)",Assumptions!$A$1:$A$257,0)) + O$41*INDEX(Assumptions!$B:$B,MATCH("Legacy V1.5 sat mass (kg)",Assumptions!$A$1:$A$257,0)) + O$42*INDEX(Assumptions!$B:$B,MATCH("V2 BB sat mass (kg)",Assumptions!$A$1:$A$257,0)) + O$43*INDEX(Assumptions!$B:$B,MATCH("V3 BB sat mass (kg)",Assumptions!$A$1:$A$257,0)) + O$52*INDEX(Assumptions!$B:$B,MATCH("V2 DTC sat mass (kg)",Assumptions!$A$1:$A$257,0)) + O$53*INDEX(Assumptions!$B:$B,MATCH("V3 DTC sat mass (kg)",Assumptions!$A$1:$A$257,0)) + O$135*INDEX(Assumptions!$B:$B,MATCH("Starshield sat mass (kg)",Assumptions!$A$1:$A$257,0)))*INDEX(Assumptions!$B:$B,MATCH("Satellite Dep per kg: base year ($/kg/yr)",Assumptions!$A$1:$A$257,0))/1000000</f>
        <v>96570.901797446</v>
      </c>
      <c r="P93" s="80">
        <f ca="1">(P$40*INDEX(Assumptions!$B:$B,MATCH("Legacy V1 sat mass (kg)",Assumptions!$A$1:$A$257,0)) + P$41*INDEX(Assumptions!$B:$B,MATCH("Legacy V1.5 sat mass (kg)",Assumptions!$A$1:$A$257,0)) + P$42*INDEX(Assumptions!$B:$B,MATCH("V2 BB sat mass (kg)",Assumptions!$A$1:$A$257,0)) + P$43*INDEX(Assumptions!$B:$B,MATCH("V3 BB sat mass (kg)",Assumptions!$A$1:$A$257,0)) + P$52*INDEX(Assumptions!$B:$B,MATCH("V2 DTC sat mass (kg)",Assumptions!$A$1:$A$257,0)) + P$53*INDEX(Assumptions!$B:$B,MATCH("V3 DTC sat mass (kg)",Assumptions!$A$1:$A$257,0)) + P$135*INDEX(Assumptions!$B:$B,MATCH("Starshield sat mass (kg)",Assumptions!$A$1:$A$257,0)))*INDEX(Assumptions!$B:$B,MATCH("Satellite Dep per kg: base year ($/kg/yr)",Assumptions!$A$1:$A$257,0))/1000000</f>
        <v>103392.59002545351</v>
      </c>
      <c r="Q93" s="80">
        <f ca="1">(Q$40*INDEX(Assumptions!$B:$B,MATCH("Legacy V1 sat mass (kg)",Assumptions!$A$1:$A$257,0)) + Q$41*INDEX(Assumptions!$B:$B,MATCH("Legacy V1.5 sat mass (kg)",Assumptions!$A$1:$A$257,0)) + Q$42*INDEX(Assumptions!$B:$B,MATCH("V2 BB sat mass (kg)",Assumptions!$A$1:$A$257,0)) + Q$43*INDEX(Assumptions!$B:$B,MATCH("V3 BB sat mass (kg)",Assumptions!$A$1:$A$257,0)) + Q$52*INDEX(Assumptions!$B:$B,MATCH("V2 DTC sat mass (kg)",Assumptions!$A$1:$A$257,0)) + Q$53*INDEX(Assumptions!$B:$B,MATCH("V3 DTC sat mass (kg)",Assumptions!$A$1:$A$257,0)) + Q$135*INDEX(Assumptions!$B:$B,MATCH("Starshield sat mass (kg)",Assumptions!$A$1:$A$257,0)))*INDEX(Assumptions!$B:$B,MATCH("Satellite Dep per kg: base year ($/kg/yr)",Assumptions!$A$1:$A$257,0))/1000000</f>
        <v>110657.59737730205</v>
      </c>
      <c r="R93" s="80">
        <f ca="1">(R$40*INDEX(Assumptions!$B:$B,MATCH("Legacy V1 sat mass (kg)",Assumptions!$A$1:$A$257,0)) + R$41*INDEX(Assumptions!$B:$B,MATCH("Legacy V1.5 sat mass (kg)",Assumptions!$A$1:$A$257,0)) + R$42*INDEX(Assumptions!$B:$B,MATCH("V2 BB sat mass (kg)",Assumptions!$A$1:$A$257,0)) + R$43*INDEX(Assumptions!$B:$B,MATCH("V3 BB sat mass (kg)",Assumptions!$A$1:$A$257,0)) + R$52*INDEX(Assumptions!$B:$B,MATCH("V2 DTC sat mass (kg)",Assumptions!$A$1:$A$257,0)) + R$53*INDEX(Assumptions!$B:$B,MATCH("V3 DTC sat mass (kg)",Assumptions!$A$1:$A$257,0)) + R$135*INDEX(Assumptions!$B:$B,MATCH("Starshield sat mass (kg)",Assumptions!$A$1:$A$257,0)))*INDEX(Assumptions!$B:$B,MATCH("Satellite Dep per kg: base year ($/kg/yr)",Assumptions!$A$1:$A$257,0))/1000000</f>
        <v>101951.79231502292</v>
      </c>
      <c r="S93" s="80">
        <f ca="1">(S$40*INDEX(Assumptions!$B:$B,MATCH("Legacy V1 sat mass (kg)",Assumptions!$A$1:$A$257,0)) + S$41*INDEX(Assumptions!$B:$B,MATCH("Legacy V1.5 sat mass (kg)",Assumptions!$A$1:$A$257,0)) + S$42*INDEX(Assumptions!$B:$B,MATCH("V2 BB sat mass (kg)",Assumptions!$A$1:$A$257,0)) + S$43*INDEX(Assumptions!$B:$B,MATCH("V3 BB sat mass (kg)",Assumptions!$A$1:$A$257,0)) + S$52*INDEX(Assumptions!$B:$B,MATCH("V2 DTC sat mass (kg)",Assumptions!$A$1:$A$257,0)) + S$53*INDEX(Assumptions!$B:$B,MATCH("V3 DTC sat mass (kg)",Assumptions!$A$1:$A$257,0)) + S$135*INDEX(Assumptions!$B:$B,MATCH("Starshield sat mass (kg)",Assumptions!$A$1:$A$257,0)))*INDEX(Assumptions!$B:$B,MATCH("Satellite Dep per kg: base year ($/kg/yr)",Assumptions!$A$1:$A$257,0))/1000000</f>
        <v>87987.12408254802</v>
      </c>
    </row>
    <row r="94" spans="1:19">
      <c r="A94" s="5" t="s">
        <v>1025</v>
      </c>
      <c r="B94" s="3"/>
      <c r="C94" s="3"/>
      <c r="D94" s="80">
        <f ca="1">MIN(SUM($D$103:D103), SUM($D$103:D103)/IFERROR(INDEX(Assumptions!$B:$B,MATCH("F9 booster economic life (years)",Assumptions!$A$1:$A$257,0)),8))</f>
        <v>25.538461538461537</v>
      </c>
      <c r="E94" s="80">
        <f ca="1">MIN(SUM($D$103:E103), SUM($D$103:E103)/IFERROR(INDEX(Assumptions!$B:$B,MATCH("F9 booster economic life (years)",Assumptions!$A$1:$A$257,0)),8))</f>
        <v>43.814137214137212</v>
      </c>
      <c r="F94" s="80">
        <f ca="1">MIN(SUM($D$103:F103), SUM($D$103:F103)/IFERROR(INDEX(Assumptions!$B:$B,MATCH("F9 booster economic life (years)",Assumptions!$A$1:$A$257,0)),8))</f>
        <v>198.66393709654906</v>
      </c>
      <c r="G94" s="80">
        <f ca="1">MIN(SUM($D$103:G103), SUM($D$103:G103)/IFERROR(INDEX(Assumptions!$B:$B,MATCH("F9 booster economic life (years)",Assumptions!$A$1:$A$257,0)),8))</f>
        <v>425.24616124215595</v>
      </c>
      <c r="H94" s="80">
        <f ca="1">MIN(SUM($D$103:H103), SUM($D$103:H103)/IFERROR(INDEX(Assumptions!$B:$B,MATCH("F9 booster economic life (years)",Assumptions!$A$1:$A$257,0)),8))</f>
        <v>709.81505302687992</v>
      </c>
      <c r="I94" s="80">
        <f ca="1">MIN(SUM($D$103:I103), SUM($D$103:I103)/IFERROR(INDEX(Assumptions!$B:$B,MATCH("F9 booster economic life (years)",Assumptions!$A$1:$A$257,0)),8))</f>
        <v>997.85349267839047</v>
      </c>
      <c r="J94" s="80">
        <f ca="1">MIN(SUM($D$103:J103), SUM($D$103:J103)/IFERROR(INDEX(Assumptions!$B:$B,MATCH("F9 booster economic life (years)",Assumptions!$A$1:$A$257,0)),8))</f>
        <v>1334.3461732308238</v>
      </c>
      <c r="K94" s="80">
        <f ca="1">MIN(SUM($D$103:K103), SUM($D$103:K103)/IFERROR(INDEX(Assumptions!$B:$B,MATCH("F9 booster economic life (years)",Assumptions!$A$1:$A$257,0)),8))</f>
        <v>1435.9841460557097</v>
      </c>
      <c r="L94" s="80">
        <f ca="1">MIN(SUM($D$103:L103), SUM($D$103:L103)/IFERROR(INDEX(Assumptions!$B:$B,MATCH("F9 booster economic life (years)",Assumptions!$A$1:$A$257,0)),8))</f>
        <v>1480.8054614058865</v>
      </c>
      <c r="M94" s="80">
        <f ca="1">MIN(SUM($D$103:M103), SUM($D$103:M103)/IFERROR(INDEX(Assumptions!$B:$B,MATCH("F9 booster economic life (years)",Assumptions!$A$1:$A$257,0)),8))</f>
        <v>1528.3910659287087</v>
      </c>
      <c r="N94" s="80">
        <f ca="1">MIN(SUM($D$103:N103), SUM($D$103:N103)/IFERROR(INDEX(Assumptions!$B:$B,MATCH("F9 booster economic life (years)",Assumptions!$A$1:$A$257,0)),8))</f>
        <v>1584.6304470611401</v>
      </c>
      <c r="O94" s="80">
        <f ca="1">MIN(SUM($D$103:O103), SUM($D$103:O103)/IFERROR(INDEX(Assumptions!$B:$B,MATCH("F9 booster economic life (years)",Assumptions!$A$1:$A$257,0)),8))</f>
        <v>1662.7938345635421</v>
      </c>
      <c r="P94" s="80">
        <f ca="1">MIN(SUM($D$103:P103), SUM($D$103:P103)/IFERROR(INDEX(Assumptions!$B:$B,MATCH("F9 booster economic life (years)",Assumptions!$A$1:$A$257,0)),8))</f>
        <v>1679.9013286946185</v>
      </c>
      <c r="Q94" s="80">
        <f ca="1">MIN(SUM($D$103:Q103), SUM($D$103:Q103)/IFERROR(INDEX(Assumptions!$B:$B,MATCH("F9 booster economic life (years)",Assumptions!$A$1:$A$257,0)),8))</f>
        <v>1697.0286273238455</v>
      </c>
      <c r="R94" s="80">
        <f ca="1">MIN(SUM($D$103:R103), SUM($D$103:R103)/IFERROR(INDEX(Assumptions!$B:$B,MATCH("F9 booster economic life (years)",Assumptions!$A$1:$A$257,0)),8))</f>
        <v>1713.1389335121032</v>
      </c>
      <c r="S94" s="80">
        <f ca="1">MIN(SUM($D$103:S103), SUM($D$103:S103)/IFERROR(INDEX(Assumptions!$B:$B,MATCH("F9 booster economic life (years)",Assumptions!$A$1:$A$257,0)),8))</f>
        <v>1759.6618079132875</v>
      </c>
    </row>
    <row r="95" spans="1:19">
      <c r="A95" s="5" t="s">
        <v>1026</v>
      </c>
      <c r="B95" s="3"/>
      <c r="C95" s="3"/>
      <c r="D95" s="6">
        <f t="array" aca="1" ref="D95" ca="1">IFERROR((D$69+D$70)/((D$69+D$70)+(INDEX('Customer Launch'!$D:$S,MATCH("F9 customer launches per year",'Customer Launch'!$A$1:$A$153,0),D$5+1)+INDEX('Customer Launch'!$D:$S,MATCH("Starship customer launches per year",'Customer Launch'!$A$1:$A$153,0),D$5+1))),0)</f>
        <v>0.85128205128205126</v>
      </c>
      <c r="E95" s="6">
        <f t="array" aca="1" ref="E95" ca="1">IFERROR((E$69+E$70)/((E$69+E$70)+(INDEX('Customer Launch'!$D:$S,MATCH("F9 customer launches per year",'Customer Launch'!$A$1:$A$153,0),E$5+1)+INDEX('Customer Launch'!$D:$S,MATCH("Starship customer launches per year",'Customer Launch'!$A$1:$A$153,0),E$5+1))),0)</f>
        <v>0.6216216216216216</v>
      </c>
      <c r="F95" s="6">
        <f t="array" aca="1" ref="F95" ca="1">IFERROR((F$69+F$70)/((F$69+F$70)+(INDEX('Customer Launch'!$D:$S,MATCH("F9 customer launches per year",'Customer Launch'!$A$1:$A$153,0),F$5+1)+INDEX('Customer Launch'!$D:$S,MATCH("Starship customer launches per year",'Customer Launch'!$A$1:$A$153,0),F$5+1))),0)</f>
        <v>0.2335399991542273</v>
      </c>
      <c r="G95" s="6">
        <f t="array" aca="1" ref="G95" ca="1">IFERROR((G$69+G$70)/((G$69+G$70)+(INDEX('Customer Launch'!$D:$S,MATCH("F9 customer launches per year",'Customer Launch'!$A$1:$A$153,0),G$5+1)+INDEX('Customer Launch'!$D:$S,MATCH("Starship customer launches per year",'Customer Launch'!$A$1:$A$153,0),G$5+1))),0)</f>
        <v>0.36681861023467277</v>
      </c>
      <c r="H95" s="6">
        <f t="array" aca="1" ref="H95" ca="1">IFERROR((H$69+H$70)/((H$69+H$70)+(INDEX('Customer Launch'!$D:$S,MATCH("F9 customer launches per year",'Customer Launch'!$A$1:$A$153,0),H$5+1)+INDEX('Customer Launch'!$D:$S,MATCH("Starship customer launches per year",'Customer Launch'!$A$1:$A$153,0),H$5+1))),0)</f>
        <v>0.56069938191723401</v>
      </c>
      <c r="I95" s="6">
        <f t="array" aca="1" ref="I95" ca="1">IFERROR((I$69+I$70)/((I$69+I$70)+(INDEX('Customer Launch'!$D:$S,MATCH("F9 customer launches per year",'Customer Launch'!$A$1:$A$153,0),I$5+1)+INDEX('Customer Launch'!$D:$S,MATCH("Starship customer launches per year",'Customer Launch'!$A$1:$A$153,0),I$5+1))),0)</f>
        <v>0.65116279069767447</v>
      </c>
      <c r="J95" s="6">
        <f t="array" aca="1" ref="J95" ca="1">IFERROR((J$69+J$70)/((J$69+J$70)+(INDEX('Customer Launch'!$D:$S,MATCH("F9 customer launches per year",'Customer Launch'!$A$1:$A$153,0),J$5+1)+INDEX('Customer Launch'!$D:$S,MATCH("Starship customer launches per year",'Customer Launch'!$A$1:$A$153,0),J$5+1))),0)</f>
        <v>0.66791044776119401</v>
      </c>
      <c r="K95" s="6">
        <f t="array" aca="1" ref="K95" ca="1">IFERROR((K$69+K$70)/((K$69+K$70)+(INDEX('Customer Launch'!$D:$S,MATCH("F9 customer launches per year",'Customer Launch'!$A$1:$A$153,0),K$5+1)+INDEX('Customer Launch'!$D:$S,MATCH("Starship customer launches per year",'Customer Launch'!$A$1:$A$153,0),K$5+1))),0)</f>
        <v>0.65269819908587923</v>
      </c>
      <c r="L95" s="6">
        <f t="array" aca="1" ref="L95" ca="1">IFERROR((L$69+L$70)/((L$69+L$70)+(INDEX('Customer Launch'!$D:$S,MATCH("F9 customer launches per year",'Customer Launch'!$A$1:$A$153,0),L$5+1)+INDEX('Customer Launch'!$D:$S,MATCH("Starship customer launches per year",'Customer Launch'!$A$1:$A$153,0),L$5+1))),0)</f>
        <v>0.42120196115068959</v>
      </c>
      <c r="M95" s="6">
        <f t="array" aca="1" ref="M95" ca="1">IFERROR((M$69+M$70)/((M$69+M$70)+(INDEX('Customer Launch'!$D:$S,MATCH("F9 customer launches per year",'Customer Launch'!$A$1:$A$153,0),M$5+1)+INDEX('Customer Launch'!$D:$S,MATCH("Starship customer launches per year",'Customer Launch'!$A$1:$A$153,0),M$5+1))),0)</f>
        <v>0.61854237415210889</v>
      </c>
      <c r="N95" s="6">
        <f t="array" aca="1" ref="N95" ca="1">IFERROR((N$69+N$70)/((N$69+N$70)+(INDEX('Customer Launch'!$D:$S,MATCH("F9 customer launches per year",'Customer Launch'!$A$1:$A$153,0),N$5+1)+INDEX('Customer Launch'!$D:$S,MATCH("Starship customer launches per year",'Customer Launch'!$A$1:$A$153,0),N$5+1))),0)</f>
        <v>0.67920574833290381</v>
      </c>
      <c r="O95" s="6">
        <f t="array" aca="1" ref="O95" ca="1">IFERROR((O$69+O$70)/((O$69+O$70)+(INDEX('Customer Launch'!$D:$S,MATCH("F9 customer launches per year",'Customer Launch'!$A$1:$A$153,0),O$5+1)+INDEX('Customer Launch'!$D:$S,MATCH("Starship customer launches per year",'Customer Launch'!$A$1:$A$153,0),O$5+1))),0)</f>
        <v>0.75160396673945618</v>
      </c>
      <c r="P95" s="6">
        <f t="array" aca="1" ref="P95" ca="1">IFERROR((P$69+P$70)/((P$69+P$70)+(INDEX('Customer Launch'!$D:$S,MATCH("F9 customer launches per year",'Customer Launch'!$A$1:$A$153,0),P$5+1)+INDEX('Customer Launch'!$D:$S,MATCH("Starship customer launches per year",'Customer Launch'!$A$1:$A$153,0),P$5+1))),0)</f>
        <v>0.65311182727409955</v>
      </c>
      <c r="Q95" s="6">
        <f t="array" aca="1" ref="Q95" ca="1">IFERROR((Q$69+Q$70)/((Q$69+Q$70)+(INDEX('Customer Launch'!$D:$S,MATCH("F9 customer launches per year",'Customer Launch'!$A$1:$A$153,0),Q$5+1)+INDEX('Customer Launch'!$D:$S,MATCH("Starship customer launches per year",'Customer Launch'!$A$1:$A$153,0),Q$5+1))),0)</f>
        <v>0.51546224022967857</v>
      </c>
      <c r="R95" s="6">
        <f t="array" aca="1" ref="R95" ca="1">IFERROR((R$69+R$70)/((R$69+R$70)+(INDEX('Customer Launch'!$D:$S,MATCH("F9 customer launches per year",'Customer Launch'!$A$1:$A$153,0),R$5+1)+INDEX('Customer Launch'!$D:$S,MATCH("Starship customer launches per year",'Customer Launch'!$A$1:$A$153,0),R$5+1))),0)</f>
        <v>0.34531347147251884</v>
      </c>
      <c r="S95" s="6">
        <f t="array" aca="1" ref="S95" ca="1">IFERROR((S$69+S$70)/((S$69+S$70)+(INDEX('Customer Launch'!$D:$S,MATCH("F9 customer launches per year",'Customer Launch'!$A$1:$A$153,0),S$5+1)+INDEX('Customer Launch'!$D:$S,MATCH("Starship customer launches per year",'Customer Launch'!$A$1:$A$153,0),S$5+1))),0)</f>
        <v>0.98245614035087714</v>
      </c>
    </row>
    <row r="96" spans="1:19">
      <c r="A96" s="5" t="s">
        <v>1027</v>
      </c>
      <c r="B96" s="3"/>
      <c r="C96" s="3"/>
      <c r="D96" s="42">
        <f t="array" aca="1" ref="D96" ca="1">INDEX('Facilities Build'!$D:$AC,MATCH("Sat-mfg facility D&amp;A ($mm)*",'Facilities Build'!$A$1:$A$74,0),D$5+1)+INDEX('Facilities Build'!$D:$AC,MATCH("Launch/vehicle facility D&amp;A total ($mm)*",'Facilities Build'!$A$1:$A$74,0),D$5+1)*D$95</f>
        <v>26.260439560439558</v>
      </c>
      <c r="E96" s="42">
        <f t="array" aca="1" ref="E96" ca="1">INDEX('Facilities Build'!$D:$AC,MATCH("Sat-mfg facility D&amp;A ($mm)*",'Facilities Build'!$A$1:$A$74,0),E$5+1)+INDEX('Facilities Build'!$D:$AC,MATCH("Launch/vehicle facility D&amp;A total ($mm)*",'Facilities Build'!$A$1:$A$74,0),E$5+1)*E$95</f>
        <v>43.292790185620468</v>
      </c>
      <c r="F96" s="42">
        <f t="array" aca="1" ref="F96" ca="1">INDEX('Facilities Build'!$D:$AC,MATCH("Sat-mfg facility D&amp;A ($mm)*",'Facilities Build'!$A$1:$A$74,0),F$5+1)+INDEX('Facilities Build'!$D:$AC,MATCH("Launch/vehicle facility D&amp;A total ($mm)*",'Facilities Build'!$A$1:$A$74,0),F$5+1)*F$95</f>
        <v>54.346919174891404</v>
      </c>
      <c r="G96" s="42">
        <f t="array" aca="1" ref="G96" ca="1">INDEX('Facilities Build'!$D:$AC,MATCH("Sat-mfg facility D&amp;A ($mm)*",'Facilities Build'!$A$1:$A$74,0),G$5+1)+INDEX('Facilities Build'!$D:$AC,MATCH("Launch/vehicle facility D&amp;A total ($mm)*",'Facilities Build'!$A$1:$A$74,0),G$5+1)*G$95</f>
        <v>102.76811851351877</v>
      </c>
      <c r="H96" s="42">
        <f t="array" aca="1" ref="H96" ca="1">INDEX('Facilities Build'!$D:$AC,MATCH("Sat-mfg facility D&amp;A ($mm)*",'Facilities Build'!$A$1:$A$74,0),H$5+1)+INDEX('Facilities Build'!$D:$AC,MATCH("Launch/vehicle facility D&amp;A total ($mm)*",'Facilities Build'!$A$1:$A$74,0),H$5+1)*H$95</f>
        <v>217.9379200980176</v>
      </c>
      <c r="I96" s="42">
        <f t="array" aca="1" ref="I96" ca="1">INDEX('Facilities Build'!$D:$AC,MATCH("Sat-mfg facility D&amp;A ($mm)*",'Facilities Build'!$A$1:$A$74,0),I$5+1)+INDEX('Facilities Build'!$D:$AC,MATCH("Launch/vehicle facility D&amp;A total ($mm)*",'Facilities Build'!$A$1:$A$74,0),I$5+1)*I$95</f>
        <v>348.61531992204158</v>
      </c>
      <c r="J96" s="42">
        <f t="array" aca="1" ref="J96" ca="1">INDEX('Facilities Build'!$D:$AC,MATCH("Sat-mfg facility D&amp;A ($mm)*",'Facilities Build'!$A$1:$A$74,0),J$5+1)+INDEX('Facilities Build'!$D:$AC,MATCH("Launch/vehicle facility D&amp;A total ($mm)*",'Facilities Build'!$A$1:$A$74,0),J$5+1)*J$95</f>
        <v>381.27795270295405</v>
      </c>
      <c r="K96" s="42">
        <f t="array" aca="1" ref="K96" ca="1">INDEX('Facilities Build'!$D:$AC,MATCH("Sat-mfg facility D&amp;A ($mm)*",'Facilities Build'!$A$1:$A$74,0),K$5+1)+INDEX('Facilities Build'!$D:$AC,MATCH("Launch/vehicle facility D&amp;A total ($mm)*",'Facilities Build'!$A$1:$A$74,0),K$5+1)*K$95</f>
        <v>455.77419226188772</v>
      </c>
      <c r="L96" s="42">
        <f t="array" aca="1" ref="L96" ca="1">INDEX('Facilities Build'!$D:$AC,MATCH("Sat-mfg facility D&amp;A ($mm)*",'Facilities Build'!$A$1:$A$74,0),L$5+1)+INDEX('Facilities Build'!$D:$AC,MATCH("Launch/vehicle facility D&amp;A total ($mm)*",'Facilities Build'!$A$1:$A$74,0),L$5+1)*L$95</f>
        <v>414.12734210356325</v>
      </c>
      <c r="M96" s="42">
        <f t="array" aca="1" ref="M96" ca="1">INDEX('Facilities Build'!$D:$AC,MATCH("Sat-mfg facility D&amp;A ($mm)*",'Facilities Build'!$A$1:$A$74,0),M$5+1)+INDEX('Facilities Build'!$D:$AC,MATCH("Launch/vehicle facility D&amp;A total ($mm)*",'Facilities Build'!$A$1:$A$74,0),M$5+1)*M$95</f>
        <v>480.11648302760113</v>
      </c>
      <c r="N96" s="42">
        <f t="array" aca="1" ref="N96" ca="1">INDEX('Facilities Build'!$D:$AC,MATCH("Sat-mfg facility D&amp;A ($mm)*",'Facilities Build'!$A$1:$A$74,0),N$5+1)+INDEX('Facilities Build'!$D:$AC,MATCH("Launch/vehicle facility D&amp;A total ($mm)*",'Facilities Build'!$A$1:$A$74,0),N$5+1)*N$95</f>
        <v>618.56552675995863</v>
      </c>
      <c r="O96" s="42">
        <f t="array" aca="1" ref="O96" ca="1">INDEX('Facilities Build'!$D:$AC,MATCH("Sat-mfg facility D&amp;A ($mm)*",'Facilities Build'!$A$1:$A$74,0),O$5+1)+INDEX('Facilities Build'!$D:$AC,MATCH("Launch/vehicle facility D&amp;A total ($mm)*",'Facilities Build'!$A$1:$A$74,0),O$5+1)*O$95</f>
        <v>872.03859517657054</v>
      </c>
      <c r="P96" s="42">
        <f t="array" aca="1" ref="P96" ca="1">INDEX('Facilities Build'!$D:$AC,MATCH("Sat-mfg facility D&amp;A ($mm)*",'Facilities Build'!$A$1:$A$74,0),P$5+1)+INDEX('Facilities Build'!$D:$AC,MATCH("Launch/vehicle facility D&amp;A total ($mm)*",'Facilities Build'!$A$1:$A$74,0),P$5+1)*P$95</f>
        <v>850.86627739949176</v>
      </c>
      <c r="Q96" s="42">
        <f t="array" aca="1" ref="Q96" ca="1">INDEX('Facilities Build'!$D:$AC,MATCH("Sat-mfg facility D&amp;A ($mm)*",'Facilities Build'!$A$1:$A$74,0),Q$5+1)+INDEX('Facilities Build'!$D:$AC,MATCH("Launch/vehicle facility D&amp;A total ($mm)*",'Facilities Build'!$A$1:$A$74,0),Q$5+1)*Q$95</f>
        <v>812.16979467130864</v>
      </c>
      <c r="R96" s="42">
        <f t="array" aca="1" ref="R96" ca="1">INDEX('Facilities Build'!$D:$AC,MATCH("Sat-mfg facility D&amp;A ($mm)*",'Facilities Build'!$A$1:$A$74,0),R$5+1)+INDEX('Facilities Build'!$D:$AC,MATCH("Launch/vehicle facility D&amp;A total ($mm)*",'Facilities Build'!$A$1:$A$74,0),R$5+1)*R$95</f>
        <v>756.76513145256104</v>
      </c>
      <c r="S96" s="42">
        <f t="array" aca="1" ref="S96" ca="1">INDEX('Facilities Build'!$D:$AC,MATCH("Sat-mfg facility D&amp;A ($mm)*",'Facilities Build'!$A$1:$A$74,0),S$5+1)+INDEX('Facilities Build'!$D:$AC,MATCH("Launch/vehicle facility D&amp;A total ($mm)*",'Facilities Build'!$A$1:$A$74,0),S$5+1)*S$95</f>
        <v>1019.5859641826121</v>
      </c>
    </row>
    <row r="97" spans="1:19">
      <c r="A97" s="78" t="s">
        <v>1028</v>
      </c>
      <c r="B97" s="78"/>
      <c r="C97" s="78"/>
      <c r="D97" s="84">
        <f t="shared" ref="D97:S97" ca="1" si="21">D93+D94+D96</f>
        <v>602.38373869890108</v>
      </c>
      <c r="E97" s="84">
        <f t="shared" ca="1" si="21"/>
        <v>804.39193779975778</v>
      </c>
      <c r="F97" s="84">
        <f t="shared" ca="1" si="21"/>
        <v>1944.3956608776627</v>
      </c>
      <c r="G97" s="84">
        <f t="shared" ca="1" si="21"/>
        <v>4524.0594639329447</v>
      </c>
      <c r="H97" s="84">
        <f t="shared" ca="1" si="21"/>
        <v>11754.299907678647</v>
      </c>
      <c r="I97" s="84">
        <f t="shared" ca="1" si="21"/>
        <v>25009.723045714662</v>
      </c>
      <c r="J97" s="84">
        <f t="shared" ca="1" si="21"/>
        <v>38955.334166136752</v>
      </c>
      <c r="K97" s="84">
        <f t="shared" ca="1" si="21"/>
        <v>54439.992078405063</v>
      </c>
      <c r="L97" s="84">
        <f t="shared" ca="1" si="21"/>
        <v>58746.890409068357</v>
      </c>
      <c r="M97" s="84">
        <f t="shared" ca="1" si="21"/>
        <v>68061.384078933173</v>
      </c>
      <c r="N97" s="84">
        <f t="shared" ca="1" si="21"/>
        <v>77907.866120371167</v>
      </c>
      <c r="O97" s="84">
        <f t="shared" ca="1" si="21"/>
        <v>99105.734227186113</v>
      </c>
      <c r="P97" s="84">
        <f t="shared" ca="1" si="21"/>
        <v>105923.35763154761</v>
      </c>
      <c r="Q97" s="84">
        <f t="shared" ca="1" si="21"/>
        <v>113166.79579929721</v>
      </c>
      <c r="R97" s="84">
        <f t="shared" ca="1" si="21"/>
        <v>104421.69637998758</v>
      </c>
      <c r="S97" s="84">
        <f t="shared" ca="1" si="21"/>
        <v>90766.37185464392</v>
      </c>
    </row>
    <row r="98" spans="1:19">
      <c r="A98" s="78" t="s">
        <v>1029</v>
      </c>
      <c r="B98" s="78"/>
      <c r="C98" s="78"/>
      <c r="D98" s="84">
        <f t="shared" ref="D98:S98" ca="1" si="22">D88-D97</f>
        <v>4461.4333484424387</v>
      </c>
      <c r="E98" s="84">
        <f t="shared" ca="1" si="22"/>
        <v>7181.3668533664622</v>
      </c>
      <c r="F98" s="84">
        <f t="shared" ca="1" si="22"/>
        <v>27431.444909664544</v>
      </c>
      <c r="G98" s="84">
        <f t="shared" ca="1" si="22"/>
        <v>57942.092417880776</v>
      </c>
      <c r="H98" s="84">
        <f t="shared" ca="1" si="22"/>
        <v>102180.0750457776</v>
      </c>
      <c r="I98" s="84">
        <f t="shared" ca="1" si="22"/>
        <v>142135.94503107699</v>
      </c>
      <c r="J98" s="84">
        <f t="shared" ca="1" si="22"/>
        <v>161776.56742878878</v>
      </c>
      <c r="K98" s="84">
        <f t="shared" ca="1" si="22"/>
        <v>169340.12184173183</v>
      </c>
      <c r="L98" s="84">
        <f t="shared" ca="1" si="22"/>
        <v>172127.41244617896</v>
      </c>
      <c r="M98" s="84">
        <f t="shared" ca="1" si="22"/>
        <v>168751.80823661038</v>
      </c>
      <c r="N98" s="84">
        <f t="shared" ca="1" si="22"/>
        <v>174204.49786221469</v>
      </c>
      <c r="O98" s="84">
        <f t="shared" ca="1" si="22"/>
        <v>170847.93231808348</v>
      </c>
      <c r="P98" s="84">
        <f t="shared" ca="1" si="22"/>
        <v>180442.80947631504</v>
      </c>
      <c r="Q98" s="84">
        <f t="shared" ca="1" si="22"/>
        <v>186324.97037346585</v>
      </c>
      <c r="R98" s="84">
        <f t="shared" ca="1" si="22"/>
        <v>203836.81082915928</v>
      </c>
      <c r="S98" s="84">
        <f t="shared" ca="1" si="22"/>
        <v>222034.50324644364</v>
      </c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13" t="s">
        <v>1030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>
      <c r="A101" s="5" t="s">
        <v>1031</v>
      </c>
      <c r="B101" s="3"/>
      <c r="C101" s="3"/>
      <c r="D101" s="80">
        <f>D$143/1000000*(D32*INDEX(Assumptions!$B:$B,MATCH("V2 BB sat mass (kg)",Assumptions!$A$1:$A$257,0)) + D33*INDEX(Assumptions!$B:$B,MATCH("V2 DTC sat mass (kg)",Assumptions!$A$1:$A$257,0)) + D34*INDEX(Assumptions!$B:$B,MATCH("V3 BB sat mass (kg)",Assumptions!$A$1:$A$257,0)) + D35*INDEX(Assumptions!$B:$B,MATCH("V3 DTC sat mass (kg)",Assumptions!$A$1:$A$257,0)) + D36*INDEX(Assumptions!$B:$B,MATCH("Starshield sat mass (kg)",Assumptions!$A$1:$A$257,0)))</f>
        <v>1674.816</v>
      </c>
      <c r="E101" s="80">
        <f ca="1">E$143/1000000*(E32*INDEX(Assumptions!$B:$B,MATCH("V2 BB sat mass (kg)",Assumptions!$A$1:$A$257,0)) + E33*INDEX(Assumptions!$B:$B,MATCH("V2 DTC sat mass (kg)",Assumptions!$A$1:$A$257,0)) + E34*INDEX(Assumptions!$B:$B,MATCH("V3 BB sat mass (kg)",Assumptions!$A$1:$A$257,0)) + E35*INDEX(Assumptions!$B:$B,MATCH("V3 DTC sat mass (kg)",Assumptions!$A$1:$A$257,0)) + E36*INDEX(Assumptions!$B:$B,MATCH("Starshield sat mass (kg)",Assumptions!$A$1:$A$257,0)))</f>
        <v>1405.7159999999999</v>
      </c>
      <c r="F101" s="80">
        <f ca="1">F$143/1000000*(F32*INDEX(Assumptions!$B:$B,MATCH("V2 BB sat mass (kg)",Assumptions!$A$1:$A$257,0)) + F33*INDEX(Assumptions!$B:$B,MATCH("V2 DTC sat mass (kg)",Assumptions!$A$1:$A$257,0)) + F34*INDEX(Assumptions!$B:$B,MATCH("V3 BB sat mass (kg)",Assumptions!$A$1:$A$257,0)) + F35*INDEX(Assumptions!$B:$B,MATCH("V3 DTC sat mass (kg)",Assumptions!$A$1:$A$257,0)) + F36*INDEX(Assumptions!$B:$B,MATCH("Starshield sat mass (kg)",Assumptions!$A$1:$A$257,0)))</f>
        <v>5104.3212461441062</v>
      </c>
      <c r="G101" s="80">
        <f ca="1">G$143/1000000*(G32*INDEX(Assumptions!$B:$B,MATCH("V2 BB sat mass (kg)",Assumptions!$A$1:$A$257,0)) + G33*INDEX(Assumptions!$B:$B,MATCH("V2 DTC sat mass (kg)",Assumptions!$A$1:$A$257,0)) + G34*INDEX(Assumptions!$B:$B,MATCH("V3 BB sat mass (kg)",Assumptions!$A$1:$A$257,0)) + G35*INDEX(Assumptions!$B:$B,MATCH("V3 DTC sat mass (kg)",Assumptions!$A$1:$A$257,0)) + G36*INDEX(Assumptions!$B:$B,MATCH("Starshield sat mass (kg)",Assumptions!$A$1:$A$257,0)))</f>
        <v>11652.749684358765</v>
      </c>
      <c r="H101" s="80">
        <f ca="1">H$143/1000000*(H32*INDEX(Assumptions!$B:$B,MATCH("V2 BB sat mass (kg)",Assumptions!$A$1:$A$257,0)) + H33*INDEX(Assumptions!$B:$B,MATCH("V2 DTC sat mass (kg)",Assumptions!$A$1:$A$257,0)) + H34*INDEX(Assumptions!$B:$B,MATCH("V3 BB sat mass (kg)",Assumptions!$A$1:$A$257,0)) + H35*INDEX(Assumptions!$B:$B,MATCH("V3 DTC sat mass (kg)",Assumptions!$A$1:$A$257,0)) + H36*INDEX(Assumptions!$B:$B,MATCH("Starshield sat mass (kg)",Assumptions!$A$1:$A$257,0)))</f>
        <v>31260.957169870435</v>
      </c>
      <c r="I101" s="80">
        <f ca="1">I$143/1000000*(I32*INDEX(Assumptions!$B:$B,MATCH("V2 BB sat mass (kg)",Assumptions!$A$1:$A$257,0)) + I33*INDEX(Assumptions!$B:$B,MATCH("V2 DTC sat mass (kg)",Assumptions!$A$1:$A$257,0)) + I34*INDEX(Assumptions!$B:$B,MATCH("V3 BB sat mass (kg)",Assumptions!$A$1:$A$257,0)) + I35*INDEX(Assumptions!$B:$B,MATCH("V3 DTC sat mass (kg)",Assumptions!$A$1:$A$257,0)) + I36*INDEX(Assumptions!$B:$B,MATCH("Starshield sat mass (kg)",Assumptions!$A$1:$A$257,0)))</f>
        <v>54534.613061777571</v>
      </c>
      <c r="J101" s="80">
        <f ca="1">J$143/1000000*(J32*INDEX(Assumptions!$B:$B,MATCH("V2 BB sat mass (kg)",Assumptions!$A$1:$A$257,0)) + J33*INDEX(Assumptions!$B:$B,MATCH("V2 DTC sat mass (kg)",Assumptions!$A$1:$A$257,0)) + J34*INDEX(Assumptions!$B:$B,MATCH("V3 BB sat mass (kg)",Assumptions!$A$1:$A$257,0)) + J35*INDEX(Assumptions!$B:$B,MATCH("V3 DTC sat mass (kg)",Assumptions!$A$1:$A$257,0)) + J36*INDEX(Assumptions!$B:$B,MATCH("Starshield sat mass (kg)",Assumptions!$A$1:$A$257,0)))</f>
        <v>55027.371419536561</v>
      </c>
      <c r="K101" s="80">
        <f ca="1">K$143/1000000*(K32*INDEX(Assumptions!$B:$B,MATCH("V2 BB sat mass (kg)",Assumptions!$A$1:$A$257,0)) + K33*INDEX(Assumptions!$B:$B,MATCH("V2 DTC sat mass (kg)",Assumptions!$A$1:$A$257,0)) + K34*INDEX(Assumptions!$B:$B,MATCH("V3 BB sat mass (kg)",Assumptions!$A$1:$A$257,0)) + K35*INDEX(Assumptions!$B:$B,MATCH("V3 DTC sat mass (kg)",Assumptions!$A$1:$A$257,0)) + K36*INDEX(Assumptions!$B:$B,MATCH("Starshield sat mass (kg)",Assumptions!$A$1:$A$257,0)))</f>
        <v>62928.742163011746</v>
      </c>
      <c r="L101" s="80">
        <f ca="1">L$143/1000000*(L32*INDEX(Assumptions!$B:$B,MATCH("V2 BB sat mass (kg)",Assumptions!$A$1:$A$257,0)) + L33*INDEX(Assumptions!$B:$B,MATCH("V2 DTC sat mass (kg)",Assumptions!$A$1:$A$257,0)) + L34*INDEX(Assumptions!$B:$B,MATCH("V3 BB sat mass (kg)",Assumptions!$A$1:$A$257,0)) + L35*INDEX(Assumptions!$B:$B,MATCH("V3 DTC sat mass (kg)",Assumptions!$A$1:$A$257,0)) + L36*INDEX(Assumptions!$B:$B,MATCH("Starshield sat mass (kg)",Assumptions!$A$1:$A$257,0)))</f>
        <v>25471.082831700071</v>
      </c>
      <c r="M101" s="80">
        <f ca="1">M$143/1000000*(M32*INDEX(Assumptions!$B:$B,MATCH("V2 BB sat mass (kg)",Assumptions!$A$1:$A$257,0)) + M33*INDEX(Assumptions!$B:$B,MATCH("V2 DTC sat mass (kg)",Assumptions!$A$1:$A$257,0)) + M34*INDEX(Assumptions!$B:$B,MATCH("V3 BB sat mass (kg)",Assumptions!$A$1:$A$257,0)) + M35*INDEX(Assumptions!$B:$B,MATCH("V3 DTC sat mass (kg)",Assumptions!$A$1:$A$257,0)) + M36*INDEX(Assumptions!$B:$B,MATCH("Starshield sat mass (kg)",Assumptions!$A$1:$A$257,0)))</f>
        <v>60222.124817495147</v>
      </c>
      <c r="N101" s="80">
        <f ca="1">N$143/1000000*(N32*INDEX(Assumptions!$B:$B,MATCH("V2 BB sat mass (kg)",Assumptions!$A$1:$A$257,0)) + N33*INDEX(Assumptions!$B:$B,MATCH("V2 DTC sat mass (kg)",Assumptions!$A$1:$A$257,0)) + N34*INDEX(Assumptions!$B:$B,MATCH("V3 BB sat mass (kg)",Assumptions!$A$1:$A$257,0)) + N35*INDEX(Assumptions!$B:$B,MATCH("V3 DTC sat mass (kg)",Assumptions!$A$1:$A$257,0)) + N36*INDEX(Assumptions!$B:$B,MATCH("Starshield sat mass (kg)",Assumptions!$A$1:$A$257,0)))</f>
        <v>82781.286343910091</v>
      </c>
      <c r="O101" s="80">
        <f ca="1">O$143/1000000*(O32*INDEX(Assumptions!$B:$B,MATCH("V2 BB sat mass (kg)",Assumptions!$A$1:$A$257,0)) + O33*INDEX(Assumptions!$B:$B,MATCH("V2 DTC sat mass (kg)",Assumptions!$A$1:$A$257,0)) + O34*INDEX(Assumptions!$B:$B,MATCH("V3 BB sat mass (kg)",Assumptions!$A$1:$A$257,0)) + O35*INDEX(Assumptions!$B:$B,MATCH("V3 DTC sat mass (kg)",Assumptions!$A$1:$A$257,0)) + O36*INDEX(Assumptions!$B:$B,MATCH("Starshield sat mass (kg)",Assumptions!$A$1:$A$257,0)))</f>
        <v>124444.24878881891</v>
      </c>
      <c r="P101" s="80">
        <f ca="1">P$143/1000000*(P32*INDEX(Assumptions!$B:$B,MATCH("V2 BB sat mass (kg)",Assumptions!$A$1:$A$257,0)) + P33*INDEX(Assumptions!$B:$B,MATCH("V2 DTC sat mass (kg)",Assumptions!$A$1:$A$257,0)) + P34*INDEX(Assumptions!$B:$B,MATCH("V3 BB sat mass (kg)",Assumptions!$A$1:$A$257,0)) + P35*INDEX(Assumptions!$B:$B,MATCH("V3 DTC sat mass (kg)",Assumptions!$A$1:$A$257,0)) + P36*INDEX(Assumptions!$B:$B,MATCH("Starshield sat mass (kg)",Assumptions!$A$1:$A$257,0)))</f>
        <v>81307.154101789958</v>
      </c>
      <c r="Q101" s="80">
        <f ca="1">Q$143/1000000*(Q32*INDEX(Assumptions!$B:$B,MATCH("V2 BB sat mass (kg)",Assumptions!$A$1:$A$257,0)) + Q33*INDEX(Assumptions!$B:$B,MATCH("V2 DTC sat mass (kg)",Assumptions!$A$1:$A$257,0)) + Q34*INDEX(Assumptions!$B:$B,MATCH("V3 BB sat mass (kg)",Assumptions!$A$1:$A$257,0)) + Q35*INDEX(Assumptions!$B:$B,MATCH("V3 DTC sat mass (kg)",Assumptions!$A$1:$A$257,0)) + Q36*INDEX(Assumptions!$B:$B,MATCH("Starshield sat mass (kg)",Assumptions!$A$1:$A$257,0)))</f>
        <v>48739.870202558894</v>
      </c>
      <c r="R101" s="80">
        <f ca="1">R$143/1000000*(R32*INDEX(Assumptions!$B:$B,MATCH("V2 BB sat mass (kg)",Assumptions!$A$1:$A$257,0)) + R33*INDEX(Assumptions!$B:$B,MATCH("V2 DTC sat mass (kg)",Assumptions!$A$1:$A$257,0)) + R34*INDEX(Assumptions!$B:$B,MATCH("V3 BB sat mass (kg)",Assumptions!$A$1:$A$257,0)) + R35*INDEX(Assumptions!$B:$B,MATCH("V3 DTC sat mass (kg)",Assumptions!$A$1:$A$257,0)) + R36*INDEX(Assumptions!$B:$B,MATCH("Starshield sat mass (kg)",Assumptions!$A$1:$A$257,0)))</f>
        <v>25845.085050788239</v>
      </c>
      <c r="S101" s="80">
        <f ca="1">S$143/1000000*(S32*INDEX(Assumptions!$B:$B,MATCH("V2 BB sat mass (kg)",Assumptions!$A$1:$A$257,0)) + S33*INDEX(Assumptions!$B:$B,MATCH("V2 DTC sat mass (kg)",Assumptions!$A$1:$A$257,0)) + S34*INDEX(Assumptions!$B:$B,MATCH("V3 BB sat mass (kg)",Assumptions!$A$1:$A$257,0)) + S35*INDEX(Assumptions!$B:$B,MATCH("V3 DTC sat mass (kg)",Assumptions!$A$1:$A$257,0)) + S36*INDEX(Assumptions!$B:$B,MATCH("Starshield sat mass (kg)",Assumptions!$A$1:$A$257,0)))</f>
        <v>29878.412721881938</v>
      </c>
    </row>
    <row r="102" spans="1:19">
      <c r="A102" s="82" t="s">
        <v>1032</v>
      </c>
      <c r="B102" s="3"/>
      <c r="C102" s="3"/>
      <c r="D102" s="42">
        <f t="array" ref="D102">IFERROR(INDEX('Facilities Build'!$D:$AC,MATCH("Sat-mfg facility CapEx total ($mm)*",'Facilities Build'!$A$1:$A$74,0),D$5+1),0)</f>
        <v>107.35164835164835</v>
      </c>
      <c r="E102" s="42">
        <f t="array" aca="1" ref="E102" ca="1">IFERROR(INDEX('Facilities Build'!$D:$AC,MATCH("Sat-mfg facility CapEx total ($mm)*",'Facilities Build'!$A$1:$A$74,0),E$5+1),0)</f>
        <v>144.66641652302212</v>
      </c>
      <c r="F102" s="42">
        <f t="array" aca="1" ref="F102" ca="1">IFERROR(INDEX('Facilities Build'!$D:$AC,MATCH("Sat-mfg facility CapEx total ($mm)*",'Facilities Build'!$A$1:$A$74,0),F$5+1),0)</f>
        <v>553.84353421409583</v>
      </c>
      <c r="G102" s="42">
        <f t="array" aca="1" ref="G102" ca="1">IFERROR(INDEX('Facilities Build'!$D:$AC,MATCH("Sat-mfg facility CapEx total ($mm)*",'Facilities Build'!$A$1:$A$74,0),G$5+1),0)</f>
        <v>903.66444178746156</v>
      </c>
      <c r="H102" s="42">
        <f t="array" aca="1" ref="H102" ca="1">IFERROR(INDEX('Facilities Build'!$D:$AC,MATCH("Sat-mfg facility CapEx total ($mm)*",'Facilities Build'!$A$1:$A$74,0),H$5+1),0)</f>
        <v>2274.0321365075974</v>
      </c>
      <c r="I102" s="42">
        <f t="array" aca="1" ref="I102" ca="1">IFERROR(INDEX('Facilities Build'!$D:$AC,MATCH("Sat-mfg facility CapEx total ($mm)*",'Facilities Build'!$A$1:$A$74,0),I$5+1),0)</f>
        <v>2839.580879807304</v>
      </c>
      <c r="J102" s="42">
        <f t="array" aca="1" ref="J102" ca="1">IFERROR(INDEX('Facilities Build'!$D:$AC,MATCH("Sat-mfg facility CapEx total ($mm)*",'Facilities Build'!$A$1:$A$74,0),J$5+1),0)</f>
        <v>510.51625559871917</v>
      </c>
      <c r="K102" s="42">
        <f t="array" aca="1" ref="K102" ca="1">IFERROR(INDEX('Facilities Build'!$D:$AC,MATCH("Sat-mfg facility CapEx total ($mm)*",'Facilities Build'!$A$1:$A$74,0),K$5+1),0)</f>
        <v>1234.8194399019594</v>
      </c>
      <c r="L102" s="42">
        <f t="array" aca="1" ref="L102" ca="1">IFERROR(INDEX('Facilities Build'!$D:$AC,MATCH("Sat-mfg facility CapEx total ($mm)*",'Facilities Build'!$A$1:$A$74,0),L$5+1),0)</f>
        <v>79.944693314918652</v>
      </c>
      <c r="M102" s="42">
        <f t="array" aca="1" ref="M102" ca="1">IFERROR(INDEX('Facilities Build'!$D:$AC,MATCH("Sat-mfg facility CapEx total ($mm)*",'Facilities Build'!$A$1:$A$74,0),M$5+1),0)</f>
        <v>82.911728094771178</v>
      </c>
      <c r="N102" s="42">
        <f t="array" aca="1" ref="N102" ca="1">IFERROR(INDEX('Facilities Build'!$D:$AC,MATCH("Sat-mfg facility CapEx total ($mm)*",'Facilities Build'!$A$1:$A$74,0),N$5+1),0)</f>
        <v>2966.1993081460205</v>
      </c>
      <c r="O102" s="42">
        <f t="array" aca="1" ref="O102" ca="1">IFERROR(INDEX('Facilities Build'!$D:$AC,MATCH("Sat-mfg facility CapEx total ($mm)*",'Facilities Build'!$A$1:$A$74,0),O$5+1),0)</f>
        <v>5580.3229418515721</v>
      </c>
      <c r="P102" s="42">
        <f t="array" aca="1" ref="P102" ca="1">IFERROR(INDEX('Facilities Build'!$D:$AC,MATCH("Sat-mfg facility CapEx total ($mm)*",'Facilities Build'!$A$1:$A$74,0),P$5+1),0)</f>
        <v>102.54994418899095</v>
      </c>
      <c r="Q102" s="42">
        <f t="array" aca="1" ref="Q102" ca="1">IFERROR(INDEX('Facilities Build'!$D:$AC,MATCH("Sat-mfg facility CapEx total ($mm)*",'Facilities Build'!$A$1:$A$74,0),Q$5+1),0)</f>
        <v>94.925698833422985</v>
      </c>
      <c r="R102" s="42">
        <f t="array" aca="1" ref="R102" ca="1">IFERROR(INDEX('Facilities Build'!$D:$AC,MATCH("Sat-mfg facility CapEx total ($mm)*",'Facilities Build'!$A$1:$A$74,0),R$5+1),0)</f>
        <v>81.399208903105077</v>
      </c>
      <c r="S102" s="42">
        <f t="array" aca="1" ref="S102" ca="1">IFERROR(INDEX('Facilities Build'!$D:$AC,MATCH("Sat-mfg facility CapEx total ($mm)*",'Facilities Build'!$A$1:$A$74,0),S$5+1),0)</f>
        <v>74.051316332080589</v>
      </c>
    </row>
    <row r="103" spans="1:19">
      <c r="A103" s="5" t="s">
        <v>1033</v>
      </c>
      <c r="B103" s="3"/>
      <c r="C103" s="3"/>
      <c r="D103" s="42">
        <f t="array" aca="1" ref="D103" ca="1">IFERROR(D69/INDEX('Vehicle Build'!$D:$AC,MATCH("Memo: Total F9 launches (internal + customer)",'Vehicle Build'!$A$1:$A$119,0),D$5+1),0)*INDEX('Vehicle Build'!$D:$AC,MATCH("F9 boosters built per year",'Vehicle Build'!$A$1:$A$119,0),D$5+1)*INDEX(Assumptions!$B:$B,MATCH("F9 booster (1st stage) mfg cost ($mm/unit)",Assumptions!$A$1:$A$257,0))*(1-INDEX(Assumptions!$B:$B,MATCH("F9 Wright's Law mfg learning rate",Assumptions!$A$1:$A$257,0)))^D$5+IFERROR(D70/INDEX('Vehicle Build'!$D:$AC,MATCH("Starship launches per year",'Vehicle Build'!$A$1:$A$119,0),D$5+1),0)*INDEX('Vehicle Build'!$D:$AC,MATCH("Total Starship build CapEx ($mm)",'Vehicle Build'!$A$1:$A$119,0),D$5+1)</f>
        <v>204.30769230769229</v>
      </c>
      <c r="E103" s="42">
        <f t="array" aca="1" ref="E103" ca="1">IFERROR(E69/INDEX('Vehicle Build'!$D:$AC,MATCH("Memo: Total F9 launches (internal + customer)",'Vehicle Build'!$A$1:$A$119,0),E$5+1),0)*INDEX('Vehicle Build'!$D:$AC,MATCH("F9 boosters built per year",'Vehicle Build'!$A$1:$A$119,0),E$5+1)*INDEX(Assumptions!$B:$B,MATCH("F9 booster (1st stage) mfg cost ($mm/unit)",Assumptions!$A$1:$A$257,0))*(1-INDEX(Assumptions!$B:$B,MATCH("F9 Wright's Law mfg learning rate",Assumptions!$A$1:$A$257,0)))^E$5+IFERROR(E70/INDEX('Vehicle Build'!$D:$AC,MATCH("Starship launches per year",'Vehicle Build'!$A$1:$A$119,0),E$5+1),0)*INDEX('Vehicle Build'!$D:$AC,MATCH("Total Starship build CapEx ($mm)",'Vehicle Build'!$A$1:$A$119,0),E$5+1)</f>
        <v>146.2054054054054</v>
      </c>
      <c r="F103" s="42">
        <f t="array" aca="1" ref="F103" ca="1">IFERROR(F69/INDEX('Vehicle Build'!$D:$AC,MATCH("Memo: Total F9 launches (internal + customer)",'Vehicle Build'!$A$1:$A$119,0),F$5+1),0)*INDEX('Vehicle Build'!$D:$AC,MATCH("F9 boosters built per year",'Vehicle Build'!$A$1:$A$119,0),F$5+1)*INDEX(Assumptions!$B:$B,MATCH("F9 booster (1st stage) mfg cost ($mm/unit)",Assumptions!$A$1:$A$257,0))*(1-INDEX(Assumptions!$B:$B,MATCH("F9 Wright's Law mfg learning rate",Assumptions!$A$1:$A$257,0)))^F$5+IFERROR(F70/INDEX('Vehicle Build'!$D:$AC,MATCH("Starship launches per year",'Vehicle Build'!$A$1:$A$119,0),F$5+1),0)*INDEX('Vehicle Build'!$D:$AC,MATCH("Total Starship build CapEx ($mm)",'Vehicle Build'!$A$1:$A$119,0),F$5+1)</f>
        <v>1238.7983990592948</v>
      </c>
      <c r="G103" s="42">
        <f t="array" aca="1" ref="G103" ca="1">IFERROR(G69/INDEX('Vehicle Build'!$D:$AC,MATCH("Memo: Total F9 launches (internal + customer)",'Vehicle Build'!$A$1:$A$119,0),G$5+1),0)*INDEX('Vehicle Build'!$D:$AC,MATCH("F9 boosters built per year",'Vehicle Build'!$A$1:$A$119,0),G$5+1)*INDEX(Assumptions!$B:$B,MATCH("F9 booster (1st stage) mfg cost ($mm/unit)",Assumptions!$A$1:$A$257,0))*(1-INDEX(Assumptions!$B:$B,MATCH("F9 Wright's Law mfg learning rate",Assumptions!$A$1:$A$257,0)))^G$5+IFERROR(G70/INDEX('Vehicle Build'!$D:$AC,MATCH("Starship launches per year",'Vehicle Build'!$A$1:$A$119,0),G$5+1),0)*INDEX('Vehicle Build'!$D:$AC,MATCH("Total Starship build CapEx ($mm)",'Vehicle Build'!$A$1:$A$119,0),G$5+1)</f>
        <v>1812.6577931648553</v>
      </c>
      <c r="H103" s="42">
        <f t="array" aca="1" ref="H103" ca="1">IFERROR(H69/INDEX('Vehicle Build'!$D:$AC,MATCH("Memo: Total F9 launches (internal + customer)",'Vehicle Build'!$A$1:$A$119,0),H$5+1),0)*INDEX('Vehicle Build'!$D:$AC,MATCH("F9 boosters built per year",'Vehicle Build'!$A$1:$A$119,0),H$5+1)*INDEX(Assumptions!$B:$B,MATCH("F9 booster (1st stage) mfg cost ($mm/unit)",Assumptions!$A$1:$A$257,0))*(1-INDEX(Assumptions!$B:$B,MATCH("F9 Wright's Law mfg learning rate",Assumptions!$A$1:$A$257,0)))^H$5+IFERROR(H70/INDEX('Vehicle Build'!$D:$AC,MATCH("Starship launches per year",'Vehicle Build'!$A$1:$A$119,0),H$5+1),0)*INDEX('Vehicle Build'!$D:$AC,MATCH("Total Starship build CapEx ($mm)",'Vehicle Build'!$A$1:$A$119,0),H$5+1)</f>
        <v>2276.5511342777913</v>
      </c>
      <c r="I103" s="42">
        <f t="array" aca="1" ref="I103" ca="1">IFERROR(I69/INDEX('Vehicle Build'!$D:$AC,MATCH("Memo: Total F9 launches (internal + customer)",'Vehicle Build'!$A$1:$A$119,0),I$5+1),0)*INDEX('Vehicle Build'!$D:$AC,MATCH("F9 boosters built per year",'Vehicle Build'!$A$1:$A$119,0),I$5+1)*INDEX(Assumptions!$B:$B,MATCH("F9 booster (1st stage) mfg cost ($mm/unit)",Assumptions!$A$1:$A$257,0))*(1-INDEX(Assumptions!$B:$B,MATCH("F9 Wright's Law mfg learning rate",Assumptions!$A$1:$A$257,0)))^I$5+IFERROR(I70/INDEX('Vehicle Build'!$D:$AC,MATCH("Starship launches per year",'Vehicle Build'!$A$1:$A$119,0),I$5+1),0)*INDEX('Vehicle Build'!$D:$AC,MATCH("Total Starship build CapEx ($mm)",'Vehicle Build'!$A$1:$A$119,0),I$5+1)</f>
        <v>2304.3075172120848</v>
      </c>
      <c r="J103" s="42">
        <f t="array" aca="1" ref="J103" ca="1">IFERROR(J69/INDEX('Vehicle Build'!$D:$AC,MATCH("Memo: Total F9 launches (internal + customer)",'Vehicle Build'!$A$1:$A$119,0),J$5+1),0)*INDEX('Vehicle Build'!$D:$AC,MATCH("F9 boosters built per year",'Vehicle Build'!$A$1:$A$119,0),J$5+1)*INDEX(Assumptions!$B:$B,MATCH("F9 booster (1st stage) mfg cost ($mm/unit)",Assumptions!$A$1:$A$257,0))*(1-INDEX(Assumptions!$B:$B,MATCH("F9 Wright's Law mfg learning rate",Assumptions!$A$1:$A$257,0)))^J$5+IFERROR(J70/INDEX('Vehicle Build'!$D:$AC,MATCH("Starship launches per year",'Vehicle Build'!$A$1:$A$119,0),J$5+1),0)*INDEX('Vehicle Build'!$D:$AC,MATCH("Total Starship build CapEx ($mm)",'Vehicle Build'!$A$1:$A$119,0),J$5+1)</f>
        <v>2691.9414444194667</v>
      </c>
      <c r="K103" s="42">
        <f t="array" aca="1" ref="K103" ca="1">IFERROR(K69/INDEX('Vehicle Build'!$D:$AC,MATCH("Memo: Total F9 launches (internal + customer)",'Vehicle Build'!$A$1:$A$119,0),K$5+1),0)*INDEX('Vehicle Build'!$D:$AC,MATCH("F9 boosters built per year",'Vehicle Build'!$A$1:$A$119,0),K$5+1)*INDEX(Assumptions!$B:$B,MATCH("F9 booster (1st stage) mfg cost ($mm/unit)",Assumptions!$A$1:$A$257,0))*(1-INDEX(Assumptions!$B:$B,MATCH("F9 Wright's Law mfg learning rate",Assumptions!$A$1:$A$257,0)))^K$5+IFERROR(K70/INDEX('Vehicle Build'!$D:$AC,MATCH("Starship launches per year",'Vehicle Build'!$A$1:$A$119,0),K$5+1),0)*INDEX('Vehicle Build'!$D:$AC,MATCH("Total Starship build CapEx ($mm)",'Vehicle Build'!$A$1:$A$119,0),K$5+1)</f>
        <v>813.10378259908805</v>
      </c>
      <c r="L103" s="42">
        <f t="array" aca="1" ref="L103" ca="1">IFERROR(L69/INDEX('Vehicle Build'!$D:$AC,MATCH("Memo: Total F9 launches (internal + customer)",'Vehicle Build'!$A$1:$A$119,0),L$5+1),0)*INDEX('Vehicle Build'!$D:$AC,MATCH("F9 boosters built per year",'Vehicle Build'!$A$1:$A$119,0),L$5+1)*INDEX(Assumptions!$B:$B,MATCH("F9 booster (1st stage) mfg cost ($mm/unit)",Assumptions!$A$1:$A$257,0))*(1-INDEX(Assumptions!$B:$B,MATCH("F9 Wright's Law mfg learning rate",Assumptions!$A$1:$A$257,0)))^L$5+IFERROR(L70/INDEX('Vehicle Build'!$D:$AC,MATCH("Starship launches per year",'Vehicle Build'!$A$1:$A$119,0),L$5+1),0)*INDEX('Vehicle Build'!$D:$AC,MATCH("Total Starship build CapEx ($mm)",'Vehicle Build'!$A$1:$A$119,0),L$5+1)</f>
        <v>358.57052280141312</v>
      </c>
      <c r="M103" s="42">
        <f t="array" aca="1" ref="M103" ca="1">IFERROR(M69/INDEX('Vehicle Build'!$D:$AC,MATCH("Memo: Total F9 launches (internal + customer)",'Vehicle Build'!$A$1:$A$119,0),M$5+1),0)*INDEX('Vehicle Build'!$D:$AC,MATCH("F9 boosters built per year",'Vehicle Build'!$A$1:$A$119,0),M$5+1)*INDEX(Assumptions!$B:$B,MATCH("F9 booster (1st stage) mfg cost ($mm/unit)",Assumptions!$A$1:$A$257,0))*(1-INDEX(Assumptions!$B:$B,MATCH("F9 Wright's Law mfg learning rate",Assumptions!$A$1:$A$257,0)))^M$5+IFERROR(M70/INDEX('Vehicle Build'!$D:$AC,MATCH("Starship launches per year",'Vehicle Build'!$A$1:$A$119,0),M$5+1),0)*INDEX('Vehicle Build'!$D:$AC,MATCH("Total Starship build CapEx ($mm)",'Vehicle Build'!$A$1:$A$119,0),M$5+1)</f>
        <v>380.68483618257761</v>
      </c>
      <c r="N103" s="42">
        <f t="array" aca="1" ref="N103" ca="1">IFERROR(N69/INDEX('Vehicle Build'!$D:$AC,MATCH("Memo: Total F9 launches (internal + customer)",'Vehicle Build'!$A$1:$A$119,0),N$5+1),0)*INDEX('Vehicle Build'!$D:$AC,MATCH("F9 boosters built per year",'Vehicle Build'!$A$1:$A$119,0),N$5+1)*INDEX(Assumptions!$B:$B,MATCH("F9 booster (1st stage) mfg cost ($mm/unit)",Assumptions!$A$1:$A$257,0))*(1-INDEX(Assumptions!$B:$B,MATCH("F9 Wright's Law mfg learning rate",Assumptions!$A$1:$A$257,0)))^N$5+IFERROR(N70/INDEX('Vehicle Build'!$D:$AC,MATCH("Starship launches per year",'Vehicle Build'!$A$1:$A$119,0),N$5+1),0)*INDEX('Vehicle Build'!$D:$AC,MATCH("Total Starship build CapEx ($mm)",'Vehicle Build'!$A$1:$A$119,0),N$5+1)</f>
        <v>449.91504905945135</v>
      </c>
      <c r="O103" s="42">
        <f t="array" aca="1" ref="O103" ca="1">IFERROR(O69/INDEX('Vehicle Build'!$D:$AC,MATCH("Memo: Total F9 launches (internal + customer)",'Vehicle Build'!$A$1:$A$119,0),O$5+1),0)*INDEX('Vehicle Build'!$D:$AC,MATCH("F9 boosters built per year",'Vehicle Build'!$A$1:$A$119,0),O$5+1)*INDEX(Assumptions!$B:$B,MATCH("F9 booster (1st stage) mfg cost ($mm/unit)",Assumptions!$A$1:$A$257,0))*(1-INDEX(Assumptions!$B:$B,MATCH("F9 Wright's Law mfg learning rate",Assumptions!$A$1:$A$257,0)))^O$5+IFERROR(O70/INDEX('Vehicle Build'!$D:$AC,MATCH("Starship launches per year",'Vehicle Build'!$A$1:$A$119,0),O$5+1),0)*INDEX('Vehicle Build'!$D:$AC,MATCH("Total Starship build CapEx ($mm)",'Vehicle Build'!$A$1:$A$119,0),O$5+1)</f>
        <v>625.30710001921636</v>
      </c>
      <c r="P103" s="42">
        <f t="array" aca="1" ref="P103" ca="1">IFERROR(P69/INDEX('Vehicle Build'!$D:$AC,MATCH("Memo: Total F9 launches (internal + customer)",'Vehicle Build'!$A$1:$A$119,0),P$5+1),0)*INDEX('Vehicle Build'!$D:$AC,MATCH("F9 boosters built per year",'Vehicle Build'!$A$1:$A$119,0),P$5+1)*INDEX(Assumptions!$B:$B,MATCH("F9 booster (1st stage) mfg cost ($mm/unit)",Assumptions!$A$1:$A$257,0))*(1-INDEX(Assumptions!$B:$B,MATCH("F9 Wright's Law mfg learning rate",Assumptions!$A$1:$A$257,0)))^P$5+IFERROR(P70/INDEX('Vehicle Build'!$D:$AC,MATCH("Starship launches per year",'Vehicle Build'!$A$1:$A$119,0),P$5+1),0)*INDEX('Vehicle Build'!$D:$AC,MATCH("Total Starship build CapEx ($mm)",'Vehicle Build'!$A$1:$A$119,0),P$5+1)</f>
        <v>136.85995304861135</v>
      </c>
      <c r="Q103" s="42">
        <f t="array" aca="1" ref="Q103" ca="1">IFERROR(Q69/INDEX('Vehicle Build'!$D:$AC,MATCH("Memo: Total F9 launches (internal + customer)",'Vehicle Build'!$A$1:$A$119,0),Q$5+1),0)*INDEX('Vehicle Build'!$D:$AC,MATCH("F9 boosters built per year",'Vehicle Build'!$A$1:$A$119,0),Q$5+1)*INDEX(Assumptions!$B:$B,MATCH("F9 booster (1st stage) mfg cost ($mm/unit)",Assumptions!$A$1:$A$257,0))*(1-INDEX(Assumptions!$B:$B,MATCH("F9 Wright's Law mfg learning rate",Assumptions!$A$1:$A$257,0)))^Q$5+IFERROR(Q70/INDEX('Vehicle Build'!$D:$AC,MATCH("Starship launches per year",'Vehicle Build'!$A$1:$A$119,0),Q$5+1),0)*INDEX('Vehicle Build'!$D:$AC,MATCH("Total Starship build CapEx ($mm)",'Vehicle Build'!$A$1:$A$119,0),Q$5+1)</f>
        <v>137.01838903381616</v>
      </c>
      <c r="R103" s="42">
        <f t="array" aca="1" ref="R103" ca="1">IFERROR(R69/INDEX('Vehicle Build'!$D:$AC,MATCH("Memo: Total F9 launches (internal + customer)",'Vehicle Build'!$A$1:$A$119,0),R$5+1),0)*INDEX('Vehicle Build'!$D:$AC,MATCH("F9 boosters built per year",'Vehicle Build'!$A$1:$A$119,0),R$5+1)*INDEX(Assumptions!$B:$B,MATCH("F9 booster (1st stage) mfg cost ($mm/unit)",Assumptions!$A$1:$A$257,0))*(1-INDEX(Assumptions!$B:$B,MATCH("F9 Wright's Law mfg learning rate",Assumptions!$A$1:$A$257,0)))^R$5+IFERROR(R70/INDEX('Vehicle Build'!$D:$AC,MATCH("Starship launches per year",'Vehicle Build'!$A$1:$A$119,0),R$5+1),0)*INDEX('Vehicle Build'!$D:$AC,MATCH("Total Starship build CapEx ($mm)",'Vehicle Build'!$A$1:$A$119,0),R$5+1)</f>
        <v>128.8824495060615</v>
      </c>
      <c r="S103" s="42">
        <f t="array" aca="1" ref="S103" ca="1">IFERROR(S69/INDEX('Vehicle Build'!$D:$AC,MATCH("Memo: Total F9 launches (internal + customer)",'Vehicle Build'!$A$1:$A$119,0),S$5+1),0)*INDEX('Vehicle Build'!$D:$AC,MATCH("F9 boosters built per year",'Vehicle Build'!$A$1:$A$119,0),S$5+1)*INDEX(Assumptions!$B:$B,MATCH("F9 booster (1st stage) mfg cost ($mm/unit)",Assumptions!$A$1:$A$257,0))*(1-INDEX(Assumptions!$B:$B,MATCH("F9 Wright's Law mfg learning rate",Assumptions!$A$1:$A$257,0)))^S$5+IFERROR(S70/INDEX('Vehicle Build'!$D:$AC,MATCH("Starship launches per year",'Vehicle Build'!$A$1:$A$119,0),S$5+1),0)*INDEX('Vehicle Build'!$D:$AC,MATCH("Total Starship build CapEx ($mm)",'Vehicle Build'!$A$1:$A$119,0),S$5+1)</f>
        <v>372.1829952094738</v>
      </c>
    </row>
    <row r="104" spans="1:19">
      <c r="A104" s="82" t="s">
        <v>1034</v>
      </c>
      <c r="B104" s="3"/>
      <c r="C104" s="3"/>
      <c r="D104" s="80">
        <f>(D32+D33+D34+D35+D36)*INDEX(Assumptions!$B:$B,MATCH("Working capital per sat ($mm/sat): ΔWC T0",Assumptions!$A$1:$A$257,0))</f>
        <v>21.504000000000001</v>
      </c>
      <c r="E104" s="80">
        <f ca="1">(E32+E33+E34+E35+E36)*INDEX(Assumptions!$B:$B,MATCH("Working capital per sat ($mm/sat): ΔWC T0",Assumptions!$A$1:$A$257,0))</f>
        <v>17.904</v>
      </c>
      <c r="F104" s="80">
        <f ca="1">(F32+F33+F34+F35+F36)*INDEX(Assumptions!$B:$B,MATCH("Working capital per sat ($mm/sat): ΔWC T0",Assumptions!$A$1:$A$257,0))</f>
        <v>21.897676502449965</v>
      </c>
      <c r="G104" s="80">
        <f ca="1">(G32+G33+G34+G35+G36)*INDEX(Assumptions!$B:$B,MATCH("Working capital per sat ($mm/sat): ΔWC T0",Assumptions!$A$1:$A$257,0))</f>
        <v>49.790899820866578</v>
      </c>
      <c r="H104" s="80">
        <f ca="1">(H32+H33+H34+H35+H36)*INDEX(Assumptions!$B:$B,MATCH("Working capital per sat ($mm/sat): ΔWC T0",Assumptions!$A$1:$A$257,0))</f>
        <v>137.42152097004038</v>
      </c>
      <c r="I104" s="80">
        <f ca="1">(I32+I33+I34+I35+I36)*INDEX(Assumptions!$B:$B,MATCH("Working capital per sat ($mm/sat): ΔWC T0",Assumptions!$A$1:$A$257,0))</f>
        <v>254.00159760404657</v>
      </c>
      <c r="J104" s="80">
        <f ca="1">(J32+J33+J34+J35+J36)*INDEX(Assumptions!$B:$B,MATCH("Working capital per sat ($mm/sat): ΔWC T0",Assumptions!$A$1:$A$257,0))</f>
        <v>270.30716395746776</v>
      </c>
      <c r="K104" s="80">
        <f ca="1">(K32+K33+K34+K35+K36)*INDEX(Assumptions!$B:$B,MATCH("Working capital per sat ($mm/sat): ΔWC T0",Assumptions!$A$1:$A$257,0))</f>
        <v>319.03517067722703</v>
      </c>
      <c r="L104" s="80">
        <f ca="1">(L32+L33+L34+L35+L36)*INDEX(Assumptions!$B:$B,MATCH("Working capital per sat ($mm/sat): ΔWC T0",Assumptions!$A$1:$A$257,0))</f>
        <v>133.32591273762574</v>
      </c>
      <c r="M104" s="80">
        <f ca="1">(M32+M33+M34+M35+M36)*INDEX(Assumptions!$B:$B,MATCH("Working capital per sat ($mm/sat): ΔWC T0",Assumptions!$A$1:$A$257,0))</f>
        <v>316.01078580734577</v>
      </c>
      <c r="N104" s="80">
        <f ca="1">(N32+N33+N34+N35+N36)*INDEX(Assumptions!$B:$B,MATCH("Working capital per sat ($mm/sat): ΔWC T0",Assumptions!$A$1:$A$257,0))</f>
        <v>441.34231221144535</v>
      </c>
      <c r="O104" s="80">
        <f ca="1">(O32+O33+O34+O35+O36)*INDEX(Assumptions!$B:$B,MATCH("Working capital per sat ($mm/sat): ΔWC T0",Assumptions!$A$1:$A$257,0))</f>
        <v>675.31942426212515</v>
      </c>
      <c r="P104" s="80">
        <f ca="1">(P32+P33+P34+P35+P36)*INDEX(Assumptions!$B:$B,MATCH("Working capital per sat ($mm/sat): ΔWC T0",Assumptions!$A$1:$A$257,0))</f>
        <v>451.44371547550901</v>
      </c>
      <c r="Q104" s="80">
        <f ca="1">(Q32+Q33+Q34+Q35+Q36)*INDEX(Assumptions!$B:$B,MATCH("Working capital per sat ($mm/sat): ΔWC T0",Assumptions!$A$1:$A$257,0))</f>
        <v>274.33925419431324</v>
      </c>
      <c r="R104" s="80">
        <f ca="1">(R32+R33+R34+R35+R36)*INDEX(Assumptions!$B:$B,MATCH("Working capital per sat ($mm/sat): ΔWC T0",Assumptions!$A$1:$A$257,0))</f>
        <v>147.03165028174178</v>
      </c>
      <c r="S104" s="80">
        <f ca="1">(S32+S33+S34+S35+S36)*INDEX(Assumptions!$B:$B,MATCH("Working capital per sat ($mm/sat): ΔWC T0",Assumptions!$A$1:$A$257,0))</f>
        <v>170.28896918980507</v>
      </c>
    </row>
    <row r="105" spans="1:19">
      <c r="A105" s="78" t="s">
        <v>1035</v>
      </c>
      <c r="B105" s="78"/>
      <c r="C105" s="78"/>
      <c r="D105" s="84">
        <f t="shared" ref="D105:S105" ca="1" si="23">SUM(D101:D104)</f>
        <v>2007.9793406593408</v>
      </c>
      <c r="E105" s="84">
        <f t="shared" ca="1" si="23"/>
        <v>1714.4918219284275</v>
      </c>
      <c r="F105" s="84">
        <f t="shared" ca="1" si="23"/>
        <v>6918.8608559199465</v>
      </c>
      <c r="G105" s="84">
        <f t="shared" ca="1" si="23"/>
        <v>14418.862819131948</v>
      </c>
      <c r="H105" s="84">
        <f t="shared" ca="1" si="23"/>
        <v>35948.961961625864</v>
      </c>
      <c r="I105" s="84">
        <f t="shared" ca="1" si="23"/>
        <v>59932.503056401009</v>
      </c>
      <c r="J105" s="84">
        <f t="shared" ca="1" si="23"/>
        <v>58500.13628351222</v>
      </c>
      <c r="K105" s="84">
        <f t="shared" ca="1" si="23"/>
        <v>65295.700556190015</v>
      </c>
      <c r="L105" s="84">
        <f t="shared" ca="1" si="23"/>
        <v>26042.923960554028</v>
      </c>
      <c r="M105" s="84">
        <f t="shared" ca="1" si="23"/>
        <v>61001.732167579838</v>
      </c>
      <c r="N105" s="84">
        <f t="shared" ca="1" si="23"/>
        <v>86638.74301332701</v>
      </c>
      <c r="O105" s="84">
        <f t="shared" ca="1" si="23"/>
        <v>131325.19825495183</v>
      </c>
      <c r="P105" s="84">
        <f t="shared" ca="1" si="23"/>
        <v>81998.007714503066</v>
      </c>
      <c r="Q105" s="84">
        <f t="shared" ca="1" si="23"/>
        <v>49246.153544620443</v>
      </c>
      <c r="R105" s="84">
        <f t="shared" ca="1" si="23"/>
        <v>26202.398359479146</v>
      </c>
      <c r="S105" s="84">
        <f t="shared" ca="1" si="23"/>
        <v>30494.936002613296</v>
      </c>
    </row>
    <row r="106" spans="1:19">
      <c r="A106" s="98" t="s">
        <v>1036</v>
      </c>
      <c r="B106" s="20"/>
      <c r="C106" s="20"/>
      <c r="D106" s="84">
        <f t="shared" ref="D106:S106" ca="1" si="24">D98+D97-D105</f>
        <v>3055.8377464819987</v>
      </c>
      <c r="E106" s="99">
        <f t="shared" ca="1" si="24"/>
        <v>6271.2669692377931</v>
      </c>
      <c r="F106" s="99">
        <f t="shared" ca="1" si="24"/>
        <v>22456.979714622263</v>
      </c>
      <c r="G106" s="99">
        <f t="shared" ca="1" si="24"/>
        <v>48047.289062681768</v>
      </c>
      <c r="H106" s="99">
        <f t="shared" ca="1" si="24"/>
        <v>77985.412991830381</v>
      </c>
      <c r="I106" s="99">
        <f t="shared" ca="1" si="24"/>
        <v>107213.16502039065</v>
      </c>
      <c r="J106" s="99">
        <f t="shared" ca="1" si="24"/>
        <v>142231.7653114133</v>
      </c>
      <c r="K106" s="99">
        <f t="shared" ca="1" si="24"/>
        <v>158484.41336394686</v>
      </c>
      <c r="L106" s="99">
        <f t="shared" ca="1" si="24"/>
        <v>204831.37889469328</v>
      </c>
      <c r="M106" s="99">
        <f t="shared" ca="1" si="24"/>
        <v>175811.46014796369</v>
      </c>
      <c r="N106" s="99">
        <f t="shared" ca="1" si="24"/>
        <v>165473.62096925883</v>
      </c>
      <c r="O106" s="99">
        <f t="shared" ca="1" si="24"/>
        <v>138628.46829031777</v>
      </c>
      <c r="P106" s="99">
        <f t="shared" ca="1" si="24"/>
        <v>204368.15939335959</v>
      </c>
      <c r="Q106" s="99">
        <f t="shared" ca="1" si="24"/>
        <v>250245.61262814264</v>
      </c>
      <c r="R106" s="99">
        <f t="shared" ca="1" si="24"/>
        <v>282056.10884966771</v>
      </c>
      <c r="S106" s="99">
        <f t="shared" ca="1" si="24"/>
        <v>282305.93909847428</v>
      </c>
    </row>
    <row r="107" spans="1:1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13" t="s">
        <v>1037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>
      <c r="A109" s="5" t="s">
        <v>1038</v>
      </c>
      <c r="B109" s="3"/>
      <c r="C109" s="3"/>
      <c r="D109" s="18">
        <f t="array" ref="D109">INDEX('Demand Curves'!$D:$AC,MATCH("Memo: Average $/Gbps BB from curve",'Demand Curves'!$A$1:$A$167,0),COLUMN()-COLUMN($D109)+1)</f>
        <v>13740.780937637996</v>
      </c>
      <c r="E109" s="18">
        <f t="array" aca="1" ref="E109" ca="1">INDEX('Demand Curves'!$D:$AC,MATCH("Memo: Average $/Gbps BB from curve",'Demand Curves'!$A$1:$A$167,0),COLUMN()-COLUMN($D109)+1)</f>
        <v>12352.493416386587</v>
      </c>
      <c r="F109" s="18">
        <f t="array" aca="1" ref="F109" ca="1">INDEX('Demand Curves'!$D:$AC,MATCH("Memo: Average $/Gbps BB from curve",'Demand Curves'!$A$1:$A$167,0),COLUMN()-COLUMN($D109)+1)</f>
        <v>8072.9201976505774</v>
      </c>
      <c r="G109" s="18">
        <f t="array" aca="1" ref="G109" ca="1">INDEX('Demand Curves'!$D:$AC,MATCH("Memo: Average $/Gbps BB from curve",'Demand Curves'!$A$1:$A$167,0),COLUMN()-COLUMN($D109)+1)</f>
        <v>5788.549437116144</v>
      </c>
      <c r="H109" s="18">
        <f t="array" aca="1" ref="H109" ca="1">INDEX('Demand Curves'!$D:$AC,MATCH("Memo: Average $/Gbps BB from curve",'Demand Curves'!$A$1:$A$167,0),COLUMN()-COLUMN($D109)+1)</f>
        <v>3739.5549197276328</v>
      </c>
      <c r="I109" s="18">
        <f t="array" aca="1" ref="I109" ca="1">INDEX('Demand Curves'!$D:$AC,MATCH("Memo: Average $/Gbps BB from curve",'Demand Curves'!$A$1:$A$167,0),COLUMN()-COLUMN($D109)+1)</f>
        <v>3275.3092242814528</v>
      </c>
      <c r="J109" s="18">
        <f t="array" aca="1" ref="J109" ca="1">INDEX('Demand Curves'!$D:$AC,MATCH("Memo: Average $/Gbps BB from curve",'Demand Curves'!$A$1:$A$167,0),COLUMN()-COLUMN($D109)+1)</f>
        <v>2528.8541778813092</v>
      </c>
      <c r="K109" s="18">
        <f t="array" aca="1" ref="K109" ca="1">INDEX('Demand Curves'!$D:$AC,MATCH("Memo: Average $/Gbps BB from curve",'Demand Curves'!$A$1:$A$167,0),COLUMN()-COLUMN($D109)+1)</f>
        <v>2360.4980544099908</v>
      </c>
      <c r="L109" s="18">
        <f t="array" aca="1" ref="L109" ca="1">INDEX('Demand Curves'!$D:$AC,MATCH("Memo: Average $/Gbps BB from curve",'Demand Curves'!$A$1:$A$167,0),COLUMN()-COLUMN($D109)+1)</f>
        <v>2512.480475984039</v>
      </c>
      <c r="M109" s="18">
        <f t="array" aca="1" ref="M109" ca="1">INDEX('Demand Curves'!$D:$AC,MATCH("Memo: Average $/Gbps BB from curve",'Demand Curves'!$A$1:$A$167,0),COLUMN()-COLUMN($D109)+1)</f>
        <v>2601.0249158091065</v>
      </c>
      <c r="N109" s="18">
        <f t="array" aca="1" ref="N109" ca="1">INDEX('Demand Curves'!$D:$AC,MATCH("Memo: Average $/Gbps BB from curve",'Demand Curves'!$A$1:$A$167,0),COLUMN()-COLUMN($D109)+1)</f>
        <v>2156.8567118714786</v>
      </c>
      <c r="O109" s="18">
        <f t="array" aca="1" ref="O109" ca="1">INDEX('Demand Curves'!$D:$AC,MATCH("Memo: Average $/Gbps BB from curve",'Demand Curves'!$A$1:$A$167,0),COLUMN()-COLUMN($D109)+1)</f>
        <v>1683.9554494063086</v>
      </c>
      <c r="P109" s="18">
        <f t="array" aca="1" ref="P109" ca="1">INDEX('Demand Curves'!$D:$AC,MATCH("Memo: Average $/Gbps BB from curve",'Demand Curves'!$A$1:$A$167,0),COLUMN()-COLUMN($D109)+1)</f>
        <v>1453.0804312026842</v>
      </c>
      <c r="Q109" s="18">
        <f t="array" aca="1" ref="Q109" ca="1">INDEX('Demand Curves'!$D:$AC,MATCH("Memo: Average $/Gbps BB from curve",'Demand Curves'!$A$1:$A$167,0),COLUMN()-COLUMN($D109)+1)</f>
        <v>1339.9262130672357</v>
      </c>
      <c r="R109" s="18">
        <f t="array" aca="1" ref="R109" ca="1">INDEX('Demand Curves'!$D:$AC,MATCH("Memo: Average $/Gbps BB from curve",'Demand Curves'!$A$1:$A$167,0),COLUMN()-COLUMN($D109)+1)</f>
        <v>1411.2328064969913</v>
      </c>
      <c r="S109" s="18">
        <f t="array" aca="1" ref="S109" ca="1">INDEX('Demand Curves'!$D:$AC,MATCH("Memo: Average $/Gbps BB from curve",'Demand Curves'!$A$1:$A$167,0),COLUMN()-COLUMN($D109)+1)</f>
        <v>1612.687936168513</v>
      </c>
    </row>
    <row r="110" spans="1:19">
      <c r="A110" s="82" t="s">
        <v>1039</v>
      </c>
      <c r="B110" s="3"/>
      <c r="C110" s="3"/>
      <c r="D110" s="18">
        <f t="array" ref="D110">INDEX('Demand Curves'!$D:$AC,MATCH("Memo: Average $/Gbps DTC from curve",'Demand Curves'!$A$1:$A$167,0),COLUMN()-COLUMN($D110)+1)</f>
        <v>1094104.6481597435</v>
      </c>
      <c r="E110" s="18">
        <f t="array" ref="E110">INDEX('Demand Curves'!$D:$AC,MATCH("Memo: Average $/Gbps DTC from curve",'Demand Curves'!$A$1:$A$167,0),COLUMN()-COLUMN($D110)+1)</f>
        <v>1375055.0917407633</v>
      </c>
      <c r="F110" s="18">
        <f t="array" aca="1" ref="F110" ca="1">INDEX('Demand Curves'!$D:$AC,MATCH("Memo: Average $/Gbps DTC from curve",'Demand Curves'!$A$1:$A$167,0),COLUMN()-COLUMN($D110)+1)</f>
        <v>1672541.0806094704</v>
      </c>
      <c r="G110" s="18">
        <f t="array" aca="1" ref="G110" ca="1">INDEX('Demand Curves'!$D:$AC,MATCH("Memo: Average $/Gbps DTC from curve",'Demand Curves'!$A$1:$A$167,0),COLUMN()-COLUMN($D110)+1)</f>
        <v>1986770.7735489858</v>
      </c>
      <c r="H110" s="18">
        <f t="array" aca="1" ref="H110" ca="1">INDEX('Demand Curves'!$D:$AC,MATCH("Memo: Average $/Gbps DTC from curve",'Demand Curves'!$A$1:$A$167,0),COLUMN()-COLUMN($D110)+1)</f>
        <v>2316196.7564708241</v>
      </c>
      <c r="I110" s="18">
        <f t="array" aca="1" ref="I110" ca="1">INDEX('Demand Curves'!$D:$AC,MATCH("Memo: Average $/Gbps DTC from curve",'Demand Curves'!$A$1:$A$167,0),COLUMN()-COLUMN($D110)+1)</f>
        <v>982807.66619367176</v>
      </c>
      <c r="J110" s="18">
        <f t="array" aca="1" ref="J110" ca="1">INDEX('Demand Curves'!$D:$AC,MATCH("Memo: Average $/Gbps DTC from curve",'Demand Curves'!$A$1:$A$167,0),COLUMN()-COLUMN($D110)+1)</f>
        <v>736820.10043284611</v>
      </c>
      <c r="K110" s="18">
        <f t="array" aca="1" ref="K110" ca="1">INDEX('Demand Curves'!$D:$AC,MATCH("Memo: Average $/Gbps DTC from curve",'Demand Curves'!$A$1:$A$167,0),COLUMN()-COLUMN($D110)+1)</f>
        <v>509900.66416871134</v>
      </c>
      <c r="L110" s="18">
        <f t="array" aca="1" ref="L110" ca="1">INDEX('Demand Curves'!$D:$AC,MATCH("Memo: Average $/Gbps DTC from curve",'Demand Curves'!$A$1:$A$167,0),COLUMN()-COLUMN($D110)+1)</f>
        <v>439010.17250908137</v>
      </c>
      <c r="M110" s="18">
        <f t="array" aca="1" ref="M110" ca="1">INDEX('Demand Curves'!$D:$AC,MATCH("Memo: Average $/Gbps DTC from curve",'Demand Curves'!$A$1:$A$167,0),COLUMN()-COLUMN($D110)+1)</f>
        <v>351651.60633474478</v>
      </c>
      <c r="N110" s="18">
        <f t="array" aca="1" ref="N110" ca="1">INDEX('Demand Curves'!$D:$AC,MATCH("Memo: Average $/Gbps DTC from curve",'Demand Curves'!$A$1:$A$167,0),COLUMN()-COLUMN($D110)+1)</f>
        <v>340099.7981084077</v>
      </c>
      <c r="O110" s="18">
        <f t="array" aca="1" ref="O110" ca="1">INDEX('Demand Curves'!$D:$AC,MATCH("Memo: Average $/Gbps DTC from curve",'Demand Curves'!$A$1:$A$167,0),COLUMN()-COLUMN($D110)+1)</f>
        <v>289734.60862844205</v>
      </c>
      <c r="P110" s="18">
        <f t="array" aca="1" ref="P110" ca="1">INDEX('Demand Curves'!$D:$AC,MATCH("Memo: Average $/Gbps DTC from curve",'Demand Curves'!$A$1:$A$167,0),COLUMN()-COLUMN($D110)+1)</f>
        <v>309890.67105871049</v>
      </c>
      <c r="Q110" s="18">
        <f t="array" aca="1" ref="Q110" ca="1">INDEX('Demand Curves'!$D:$AC,MATCH("Memo: Average $/Gbps DTC from curve",'Demand Curves'!$A$1:$A$167,0),COLUMN()-COLUMN($D110)+1)</f>
        <v>313458.5999729468</v>
      </c>
      <c r="R110" s="18">
        <f t="array" aca="1" ref="R110" ca="1">INDEX('Demand Curves'!$D:$AC,MATCH("Memo: Average $/Gbps DTC from curve",'Demand Curves'!$A$1:$A$167,0),COLUMN()-COLUMN($D110)+1)</f>
        <v>369073.43195149244</v>
      </c>
      <c r="S110" s="18">
        <f t="array" aca="1" ref="S110" ca="1">INDEX('Demand Curves'!$D:$AC,MATCH("Memo: Average $/Gbps DTC from curve",'Demand Curves'!$A$1:$A$167,0),COLUMN()-COLUMN($D110)+1)</f>
        <v>449845.42872844427</v>
      </c>
    </row>
    <row r="111" spans="1:1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82" t="s">
        <v>1040</v>
      </c>
      <c r="B112" s="3"/>
      <c r="C112" s="3"/>
      <c r="D112" s="77">
        <f>IFERROR(D$109*INDEX(Assumptions!$B:$B,MATCH("V2 BB Gbps per sat",Assumptions!$A$1:$A$257,0))*D$21/1000000*(1-(D$87+D$75+D$76)/D$65) - INDEX(Assumptions!$B:$B,MATCH("Bandwidth/peering cost per Gbps ($mm/Gbps-yr)",Assumptions!$A$1:$A$257,0))*INDEX(Assumptions!$B:$B,MATCH("V2 BB Gbps per sat",Assumptions!$A$1:$A$257,0))*D$21, 0)</f>
        <v>0.63726633046814418</v>
      </c>
      <c r="E112" s="77">
        <f ca="1">IFERROR(E$109*INDEX(Assumptions!$B:$B,MATCH("V2 BB Gbps per sat",Assumptions!$A$1:$A$257,0))*E$21/1000000*(1-(E$87+E$75+E$76)/E$65) - INDEX(Assumptions!$B:$B,MATCH("Bandwidth/peering cost per Gbps ($mm/Gbps-yr)",Assumptions!$A$1:$A$257,0))*INDEX(Assumptions!$B:$B,MATCH("V2 BB Gbps per sat",Assumptions!$A$1:$A$257,0))*E$21, 0)</f>
        <v>0.56510402075763855</v>
      </c>
      <c r="F112" s="77">
        <f ca="1">IFERROR(F$109*INDEX(Assumptions!$B:$B,MATCH("V2 BB Gbps per sat",Assumptions!$A$1:$A$257,0))*F$21/1000000*(1-(F$87+F$75+F$76)/F$65) - INDEX(Assumptions!$B:$B,MATCH("Bandwidth/peering cost per Gbps ($mm/Gbps-yr)",Assumptions!$A$1:$A$257,0))*INDEX(Assumptions!$B:$B,MATCH("V2 BB Gbps per sat",Assumptions!$A$1:$A$257,0))*F$21, 0)</f>
        <v>0.32659214955871541</v>
      </c>
      <c r="G112" s="77">
        <f ca="1">IFERROR(G$109*INDEX(Assumptions!$B:$B,MATCH("V2 BB Gbps per sat",Assumptions!$A$1:$A$257,0))*G$21/1000000*(1-(G$87+G$75+G$76)/G$65) - INDEX(Assumptions!$B:$B,MATCH("Bandwidth/peering cost per Gbps ($mm/Gbps-yr)",Assumptions!$A$1:$A$257,0))*INDEX(Assumptions!$B:$B,MATCH("V2 BB Gbps per sat",Assumptions!$A$1:$A$257,0))*G$21, 0)</f>
        <v>0.19820087952114288</v>
      </c>
      <c r="H112" s="77">
        <f ca="1">IFERROR(H$109*INDEX(Assumptions!$B:$B,MATCH("V2 BB Gbps per sat",Assumptions!$A$1:$A$257,0))*H$21/1000000*(1-(H$87+H$75+H$76)/H$65) - INDEX(Assumptions!$B:$B,MATCH("Bandwidth/peering cost per Gbps ($mm/Gbps-yr)",Assumptions!$A$1:$A$257,0))*INDEX(Assumptions!$B:$B,MATCH("V2 BB Gbps per sat",Assumptions!$A$1:$A$257,0))*H$21, 0)</f>
        <v>8.1759843826861606E-2</v>
      </c>
      <c r="I112" s="77">
        <f ca="1">IFERROR(I$109*INDEX(Assumptions!$B:$B,MATCH("V2 BB Gbps per sat",Assumptions!$A$1:$A$257,0))*I$21/1000000*(1-(I$87+I$75+I$76)/I$65) - INDEX(Assumptions!$B:$B,MATCH("Bandwidth/peering cost per Gbps ($mm/Gbps-yr)",Assumptions!$A$1:$A$257,0))*INDEX(Assumptions!$B:$B,MATCH("V2 BB Gbps per sat",Assumptions!$A$1:$A$257,0))*I$21, 0)</f>
        <v>5.5664260943027066E-2</v>
      </c>
      <c r="J112" s="77">
        <f ca="1">IFERROR(J$109*INDEX(Assumptions!$B:$B,MATCH("V2 BB Gbps per sat",Assumptions!$A$1:$A$257,0))*J$21/1000000*(1-(J$87+J$75+J$76)/J$65) - INDEX(Assumptions!$B:$B,MATCH("Bandwidth/peering cost per Gbps ($mm/Gbps-yr)",Assumptions!$A$1:$A$257,0))*INDEX(Assumptions!$B:$B,MATCH("V2 BB Gbps per sat",Assumptions!$A$1:$A$257,0))*J$21, 0)</f>
        <v>1.256465573188234E-2</v>
      </c>
      <c r="K112" s="77">
        <f ca="1">IFERROR(K$109*INDEX(Assumptions!$B:$B,MATCH("V2 BB Gbps per sat",Assumptions!$A$1:$A$257,0))*K$21/1000000*(1-(K$87+K$75+K$76)/K$65) - INDEX(Assumptions!$B:$B,MATCH("Bandwidth/peering cost per Gbps ($mm/Gbps-yr)",Assumptions!$A$1:$A$257,0))*INDEX(Assumptions!$B:$B,MATCH("V2 BB Gbps per sat",Assumptions!$A$1:$A$257,0))*K$21, 0)</f>
        <v>2.6993014900615619E-3</v>
      </c>
      <c r="L112" s="77">
        <f ca="1">IFERROR(L$109*INDEX(Assumptions!$B:$B,MATCH("V2 BB Gbps per sat",Assumptions!$A$1:$A$257,0))*L$21/1000000*(1-(L$87+L$75+L$76)/L$65) - INDEX(Assumptions!$B:$B,MATCH("Bandwidth/peering cost per Gbps ($mm/Gbps-yr)",Assumptions!$A$1:$A$257,0))*INDEX(Assumptions!$B:$B,MATCH("V2 BB Gbps per sat",Assumptions!$A$1:$A$257,0))*L$21, 0)</f>
        <v>1.1473872211419711E-2</v>
      </c>
      <c r="M112" s="77">
        <f ca="1">IFERROR(M$109*INDEX(Assumptions!$B:$B,MATCH("V2 BB Gbps per sat",Assumptions!$A$1:$A$257,0))*M$21/1000000*(1-(M$87+M$75+M$76)/M$65) - INDEX(Assumptions!$B:$B,MATCH("Bandwidth/peering cost per Gbps ($mm/Gbps-yr)",Assumptions!$A$1:$A$257,0))*INDEX(Assumptions!$B:$B,MATCH("V2 BB Gbps per sat",Assumptions!$A$1:$A$257,0))*M$21, 0)</f>
        <v>1.6576127513968281E-2</v>
      </c>
      <c r="N112" s="77">
        <f ca="1">IFERROR(N$109*INDEX(Assumptions!$B:$B,MATCH("V2 BB Gbps per sat",Assumptions!$A$1:$A$257,0))*N$21/1000000*(1-(N$87+N$75+N$76)/N$65) - INDEX(Assumptions!$B:$B,MATCH("Bandwidth/peering cost per Gbps ($mm/Gbps-yr)",Assumptions!$A$1:$A$257,0))*INDEX(Assumptions!$B:$B,MATCH("V2 BB Gbps per sat",Assumptions!$A$1:$A$257,0))*N$21, 0)</f>
        <v>-9.1560715691921535E-3</v>
      </c>
      <c r="O112" s="77">
        <f ca="1">IFERROR(O$109*INDEX(Assumptions!$B:$B,MATCH("V2 BB Gbps per sat",Assumptions!$A$1:$A$257,0))*O$21/1000000*(1-(O$87+O$75+O$76)/O$65) - INDEX(Assumptions!$B:$B,MATCH("Bandwidth/peering cost per Gbps ($mm/Gbps-yr)",Assumptions!$A$1:$A$257,0))*INDEX(Assumptions!$B:$B,MATCH("V2 BB Gbps per sat",Assumptions!$A$1:$A$257,0))*O$21, 0)</f>
        <v>-3.6617538183911807E-2</v>
      </c>
      <c r="P112" s="77">
        <f ca="1">IFERROR(P$109*INDEX(Assumptions!$B:$B,MATCH("V2 BB Gbps per sat",Assumptions!$A$1:$A$257,0))*P$21/1000000*(1-(P$87+P$75+P$76)/P$65) - INDEX(Assumptions!$B:$B,MATCH("Bandwidth/peering cost per Gbps ($mm/Gbps-yr)",Assumptions!$A$1:$A$257,0))*INDEX(Assumptions!$B:$B,MATCH("V2 BB Gbps per sat",Assumptions!$A$1:$A$257,0))*P$21, 0)</f>
        <v>-5.0044123312756247E-2</v>
      </c>
      <c r="Q112" s="77">
        <f ca="1">IFERROR(Q$109*INDEX(Assumptions!$B:$B,MATCH("V2 BB Gbps per sat",Assumptions!$A$1:$A$257,0))*Q$21/1000000*(1-(Q$87+Q$75+Q$76)/Q$65) - INDEX(Assumptions!$B:$B,MATCH("Bandwidth/peering cost per Gbps ($mm/Gbps-yr)",Assumptions!$A$1:$A$257,0))*INDEX(Assumptions!$B:$B,MATCH("V2 BB Gbps per sat",Assumptions!$A$1:$A$257,0))*Q$21, 0)</f>
        <v>-5.6619905206603524E-2</v>
      </c>
      <c r="R112" s="77">
        <f ca="1">IFERROR(R$109*INDEX(Assumptions!$B:$B,MATCH("V2 BB Gbps per sat",Assumptions!$A$1:$A$257,0))*R$21/1000000*(1-(R$87+R$75+R$76)/R$65) - INDEX(Assumptions!$B:$B,MATCH("Bandwidth/peering cost per Gbps ($mm/Gbps-yr)",Assumptions!$A$1:$A$257,0))*INDEX(Assumptions!$B:$B,MATCH("V2 BB Gbps per sat",Assumptions!$A$1:$A$257,0))*R$21, 0)</f>
        <v>-5.2495907441084677E-2</v>
      </c>
      <c r="S112" s="77">
        <f ca="1">IFERROR(S$109*INDEX(Assumptions!$B:$B,MATCH("V2 BB Gbps per sat",Assumptions!$A$1:$A$257,0))*S$21/1000000*(1-(S$87+S$75+S$76)/S$65) - INDEX(Assumptions!$B:$B,MATCH("Bandwidth/peering cost per Gbps ($mm/Gbps-yr)",Assumptions!$A$1:$A$257,0))*INDEX(Assumptions!$B:$B,MATCH("V2 BB Gbps per sat",Assumptions!$A$1:$A$257,0))*S$21, 0)</f>
        <v>-4.0814225964699094E-2</v>
      </c>
    </row>
    <row r="113" spans="1:19">
      <c r="A113" s="5" t="s">
        <v>1041</v>
      </c>
      <c r="B113" s="3"/>
      <c r="C113" s="3"/>
      <c r="D113" s="70">
        <f>D$143*INDEX(Assumptions!$B:$B,MATCH("V2 BB sat mass (kg)",Assumptions!$A$1:$A$257,0))/1000000 + IFERROR(D$13/INDEX(Assumptions!$B:$B,MATCH("F9 sats per launch (V2 packing)",Assumptions!$A$1:$A$257,0)),0) + INDEX(Assumptions!$B:$B,MATCH("Working capital per sat ($mm/sat): ΔWC T0",Assumptions!$A$1:$A$257,0))</f>
        <v>1.1479807692307693</v>
      </c>
      <c r="E113" s="70">
        <f>E$143*INDEX(Assumptions!$B:$B,MATCH("V2 BB sat mass (kg)",Assumptions!$A$1:$A$257,0))/1000000 + IFERROR(E$13/INDEX(Assumptions!$B:$B,MATCH("F9 sats per launch (V2 packing)",Assumptions!$A$1:$A$257,0)),0) + IFERROR(SUM($D$102:D102)/D142,0) + INDEX(Assumptions!$B:$B,MATCH("Working capital per sat ($mm/sat): ΔWC T0",Assumptions!$A$1:$A$257,0))</f>
        <v>1.1605523122710624</v>
      </c>
      <c r="F113" s="70">
        <f ca="1">F$143*INDEX(Assumptions!$B:$B,MATCH("V2 BB sat mass (kg)",Assumptions!$A$1:$A$257,0))/1000000 + IFERROR(F$13/INDEX(Assumptions!$B:$B,MATCH("F9 sats per launch (V2 packing)",Assumptions!$A$1:$A$257,0)),0) + IFERROR(SUM($D$102:E102)/E142,0) + INDEX(Assumptions!$B:$B,MATCH("Working capital per sat ($mm/sat): ΔWC T0",Assumptions!$A$1:$A$257,0))</f>
        <v>1.1376371629121576</v>
      </c>
      <c r="G113" s="70">
        <f ca="1">G$143*INDEX(Assumptions!$B:$B,MATCH("V2 BB sat mass (kg)",Assumptions!$A$1:$A$257,0))/1000000 + IFERROR(G$13/INDEX(Assumptions!$B:$B,MATCH("F9 sats per launch (V2 packing)",Assumptions!$A$1:$A$257,0)),0) + IFERROR(SUM($D$102:F102)/F142,0) + INDEX(Assumptions!$B:$B,MATCH("Working capital per sat ($mm/sat): ΔWC T0",Assumptions!$A$1:$A$257,0))</f>
        <v>1.1491074846570413</v>
      </c>
      <c r="H113" s="70">
        <f ca="1">H$143*INDEX(Assumptions!$B:$B,MATCH("V2 BB sat mass (kg)",Assumptions!$A$1:$A$257,0))/1000000 + IFERROR(H$13/INDEX(Assumptions!$B:$B,MATCH("F9 sats per launch (V2 packing)",Assumptions!$A$1:$A$257,0)),0) + IFERROR(SUM($D$102:G102)/G142,0) + INDEX(Assumptions!$B:$B,MATCH("Working capital per sat ($mm/sat): ΔWC T0",Assumptions!$A$1:$A$257,0))</f>
        <v>1.128727225874959</v>
      </c>
      <c r="I113" s="70">
        <f ca="1">I$143*INDEX(Assumptions!$B:$B,MATCH("V2 BB sat mass (kg)",Assumptions!$A$1:$A$257,0))/1000000 + IFERROR(I$13/INDEX(Assumptions!$B:$B,MATCH("F9 sats per launch (V2 packing)",Assumptions!$A$1:$A$257,0)),0) + IFERROR(SUM($D$102:H102)/H142,0) + INDEX(Assumptions!$B:$B,MATCH("Working capital per sat ($mm/sat): ΔWC T0",Assumptions!$A$1:$A$257,0))</f>
        <v>1.0946725165534847</v>
      </c>
      <c r="J113" s="70">
        <f ca="1">J$143*INDEX(Assumptions!$B:$B,MATCH("V2 BB sat mass (kg)",Assumptions!$A$1:$A$257,0))/1000000 + IFERROR(J$13/INDEX(Assumptions!$B:$B,MATCH("F9 sats per launch (V2 packing)",Assumptions!$A$1:$A$257,0)),0) + IFERROR(SUM($D$102:I102)/I142,0) + INDEX(Assumptions!$B:$B,MATCH("Working capital per sat ($mm/sat): ΔWC T0",Assumptions!$A$1:$A$257,0))</f>
        <v>1.0503739439128088</v>
      </c>
      <c r="K113" s="70">
        <f ca="1">K$143*INDEX(Assumptions!$B:$B,MATCH("V2 BB sat mass (kg)",Assumptions!$A$1:$A$257,0))/1000000 + IFERROR(K$13/INDEX(Assumptions!$B:$B,MATCH("F9 sats per launch (V2 packing)",Assumptions!$A$1:$A$257,0)),0) + IFERROR(SUM($D$102:J102)/J142,0) + INDEX(Assumptions!$B:$B,MATCH("Working capital per sat ($mm/sat): ΔWC T0",Assumptions!$A$1:$A$257,0))</f>
        <v>1.0060424792428209</v>
      </c>
      <c r="L113" s="70">
        <f ca="1">L$143*INDEX(Assumptions!$B:$B,MATCH("V2 BB sat mass (kg)",Assumptions!$A$1:$A$257,0))/1000000 + IFERROR(L$13/INDEX(Assumptions!$B:$B,MATCH("F9 sats per launch (V2 packing)",Assumptions!$A$1:$A$257,0)),0) + IFERROR(SUM($D$102:K102)/K142,0) + INDEX(Assumptions!$B:$B,MATCH("Working capital per sat ($mm/sat): ΔWC T0",Assumptions!$A$1:$A$257,0))</f>
        <v>0.97683744043620524</v>
      </c>
      <c r="M113" s="70">
        <f ca="1">M$143*INDEX(Assumptions!$B:$B,MATCH("V2 BB sat mass (kg)",Assumptions!$A$1:$A$257,0))/1000000 + IFERROR(M$13/INDEX(Assumptions!$B:$B,MATCH("F9 sats per launch (V2 packing)",Assumptions!$A$1:$A$257,0)),0) + IFERROR(SUM($D$102:L102)/L142,0) + INDEX(Assumptions!$B:$B,MATCH("Working capital per sat ($mm/sat): ΔWC T0",Assumptions!$A$1:$A$257,0))</f>
        <v>0.95739582868829931</v>
      </c>
      <c r="N113" s="70">
        <f ca="1">N$143*INDEX(Assumptions!$B:$B,MATCH("V2 BB sat mass (kg)",Assumptions!$A$1:$A$257,0))/1000000 + IFERROR(N$13/INDEX(Assumptions!$B:$B,MATCH("F9 sats per launch (V2 packing)",Assumptions!$A$1:$A$257,0)),0) + IFERROR(SUM($D$102:M102)/M142,0) + INDEX(Assumptions!$B:$B,MATCH("Working capital per sat ($mm/sat): ΔWC T0",Assumptions!$A$1:$A$257,0))</f>
        <v>0.93276964786772987</v>
      </c>
      <c r="O113" s="70">
        <f ca="1">O$143*INDEX(Assumptions!$B:$B,MATCH("V2 BB sat mass (kg)",Assumptions!$A$1:$A$257,0))/1000000 + IFERROR(O$13/INDEX(Assumptions!$B:$B,MATCH("F9 sats per launch (V2 packing)",Assumptions!$A$1:$A$257,0)),0) + IFERROR(SUM($D$102:N102)/N142,0) + INDEX(Assumptions!$B:$B,MATCH("Working capital per sat ($mm/sat): ΔWC T0",Assumptions!$A$1:$A$257,0))</f>
        <v>0.91628307898049177</v>
      </c>
      <c r="P113" s="70">
        <f ca="1">P$143*INDEX(Assumptions!$B:$B,MATCH("V2 BB sat mass (kg)",Assumptions!$A$1:$A$257,0))/1000000 + IFERROR(P$13/INDEX(Assumptions!$B:$B,MATCH("F9 sats per launch (V2 packing)",Assumptions!$A$1:$A$257,0)),0) + IFERROR(SUM($D$102:O102)/O142,0) + INDEX(Assumptions!$B:$B,MATCH("Working capital per sat ($mm/sat): ΔWC T0",Assumptions!$A$1:$A$257,0))</f>
        <v>0.90119462430016684</v>
      </c>
      <c r="Q113" s="70">
        <f ca="1">Q$143*INDEX(Assumptions!$B:$B,MATCH("V2 BB sat mass (kg)",Assumptions!$A$1:$A$257,0))/1000000 + IFERROR(Q$13/INDEX(Assumptions!$B:$B,MATCH("F9 sats per launch (V2 packing)",Assumptions!$A$1:$A$257,0)),0) + IFERROR(SUM($D$102:P102)/P142,0) + INDEX(Assumptions!$B:$B,MATCH("Working capital per sat ($mm/sat): ΔWC T0",Assumptions!$A$1:$A$257,0))</f>
        <v>0.88148145589389337</v>
      </c>
      <c r="R113" s="70">
        <f ca="1">R$143*INDEX(Assumptions!$B:$B,MATCH("V2 BB sat mass (kg)",Assumptions!$A$1:$A$257,0))/1000000 + IFERROR(R$13/INDEX(Assumptions!$B:$B,MATCH("F9 sats per launch (V2 packing)",Assumptions!$A$1:$A$257,0)),0) + IFERROR(SUM($D$102:Q102)/Q142,0) + INDEX(Assumptions!$B:$B,MATCH("Working capital per sat ($mm/sat): ΔWC T0",Assumptions!$A$1:$A$257,0))</f>
        <v>0.86588323175805004</v>
      </c>
      <c r="S113" s="70">
        <f ca="1">S$143*INDEX(Assumptions!$B:$B,MATCH("V2 BB sat mass (kg)",Assumptions!$A$1:$A$257,0))/1000000 + IFERROR(S$13/INDEX(Assumptions!$B:$B,MATCH("F9 sats per launch (V2 packing)",Assumptions!$A$1:$A$257,0)),0) + IFERROR(SUM($D$102:R102)/R142,0) + INDEX(Assumptions!$B:$B,MATCH("Working capital per sat ($mm/sat): ΔWC T0",Assumptions!$A$1:$A$257,0))</f>
        <v>0.85254663989149615</v>
      </c>
    </row>
    <row r="114" spans="1:19">
      <c r="A114" s="82" t="s">
        <v>1042</v>
      </c>
      <c r="B114" s="3"/>
      <c r="C114" s="3"/>
      <c r="D114" s="91">
        <f t="shared" ref="D114:S114" si="25">IFERROR(MIN(3, IFERROR(RATE(D$15,D112,-D113,0,0,0.1), IFERROR(RATE(D$15,D112,-D113,0,0,0.5), RATE(D$15,D112,-D113,0,0,1.5)))), IF(D112*D$15&gt;D113,3,0))</f>
        <v>0.47583252873269172</v>
      </c>
      <c r="E114" s="91">
        <f t="shared" ca="1" si="25"/>
        <v>0.39463570794401376</v>
      </c>
      <c r="F114" s="91">
        <f t="shared" ca="1" si="25"/>
        <v>0.13397824443128512</v>
      </c>
      <c r="G114" s="91">
        <f t="shared" ca="1" si="25"/>
        <v>-4.7395197821246848E-2</v>
      </c>
      <c r="H114" s="91">
        <f t="shared" ca="1" si="25"/>
        <v>-0.26480578517144915</v>
      </c>
      <c r="I114" s="91">
        <f t="shared" ca="1" si="25"/>
        <v>-0.33229228171306818</v>
      </c>
      <c r="J114" s="91">
        <f t="shared" ca="1" si="25"/>
        <v>-0.53433246896182429</v>
      </c>
      <c r="K114" s="91">
        <f t="shared" ca="1" si="25"/>
        <v>-0.66860561361890225</v>
      </c>
      <c r="L114" s="91">
        <f t="shared" ca="1" si="25"/>
        <v>-0.53632948891288523</v>
      </c>
      <c r="M114" s="91">
        <f t="shared" ca="1" si="25"/>
        <v>-0.49138937898870966</v>
      </c>
      <c r="N114" s="91">
        <f t="shared" ca="1" si="25"/>
        <v>0</v>
      </c>
      <c r="O114" s="91">
        <f t="shared" ca="1" si="25"/>
        <v>0</v>
      </c>
      <c r="P114" s="91">
        <f t="shared" ca="1" si="25"/>
        <v>0</v>
      </c>
      <c r="Q114" s="91">
        <f t="shared" ca="1" si="25"/>
        <v>0</v>
      </c>
      <c r="R114" s="91">
        <f t="shared" ca="1" si="25"/>
        <v>0</v>
      </c>
      <c r="S114" s="91">
        <f t="shared" ca="1" si="25"/>
        <v>0</v>
      </c>
    </row>
    <row r="115" spans="1:19">
      <c r="A115" s="3"/>
      <c r="B115" s="3"/>
      <c r="C115" s="3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</row>
    <row r="116" spans="1:19">
      <c r="A116" s="94"/>
      <c r="B116" s="3"/>
      <c r="C116" s="3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</row>
    <row r="117" spans="1:1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82" t="s">
        <v>1043</v>
      </c>
      <c r="B118" s="3"/>
      <c r="C118" s="3"/>
      <c r="D118" s="77">
        <f>IFERROR(D$110*INDEX(Assumptions!$B:$B,MATCH("Effective DTC Gbps per sat (revenue calibration)",Assumptions!$A$1:$A$257,0))*D$21/1000000*(1-(D$87+D$75+D$76)/D$65) - INDEX(Assumptions!$B:$B,MATCH("Bandwidth/peering cost per Gbps ($mm/Gbps-yr)",Assumptions!$A$1:$A$257,0))*INDEX(Assumptions!$B:$B,MATCH("Effective DTC Gbps per sat (revenue calibration)",Assumptions!$A$1:$A$257,0))*D$21, 0)</f>
        <v>0.56327872390068745</v>
      </c>
      <c r="E118" s="77">
        <f ca="1">IFERROR(E$110*INDEX(Assumptions!$B:$B,MATCH("Effective DTC Gbps per sat (revenue calibration)",Assumptions!$A$1:$A$257,0))*E$21/1000000*(1-(E$87+E$75+E$76)/E$65) - INDEX(Assumptions!$B:$B,MATCH("Bandwidth/peering cost per Gbps ($mm/Gbps-yr)",Assumptions!$A$1:$A$257,0))*INDEX(Assumptions!$B:$B,MATCH("Effective DTC Gbps per sat (revenue calibration)",Assumptions!$A$1:$A$257,0))*E$21, 0)</f>
        <v>0.71417195206671302</v>
      </c>
      <c r="F118" s="77">
        <f ca="1">IFERROR(F$110*INDEX(Assumptions!$B:$B,MATCH("Effective DTC Gbps per sat (revenue calibration)",Assumptions!$A$1:$A$257,0))*F$21/1000000*(1-(F$87+F$75+F$76)/F$65) - INDEX(Assumptions!$B:$B,MATCH("Bandwidth/peering cost per Gbps ($mm/Gbps-yr)",Assumptions!$A$1:$A$257,0))*INDEX(Assumptions!$B:$B,MATCH("Effective DTC Gbps per sat (revenue calibration)",Assumptions!$A$1:$A$257,0))*F$21, 0)</f>
        <v>0.87624477444020177</v>
      </c>
      <c r="G118" s="77">
        <f ca="1">IFERROR(G$110*INDEX(Assumptions!$B:$B,MATCH("Effective DTC Gbps per sat (revenue calibration)",Assumptions!$A$1:$A$257,0))*G$21/1000000*(1-(G$87+G$75+G$76)/G$65) - INDEX(Assumptions!$B:$B,MATCH("Bandwidth/peering cost per Gbps ($mm/Gbps-yr)",Assumptions!$A$1:$A$257,0))*INDEX(Assumptions!$B:$B,MATCH("Effective DTC Gbps per sat (revenue calibration)",Assumptions!$A$1:$A$257,0))*G$21, 0)</f>
        <v>1.0475798894418715</v>
      </c>
      <c r="H118" s="77">
        <f ca="1">IFERROR(H$110*INDEX(Assumptions!$B:$B,MATCH("Effective DTC Gbps per sat (revenue calibration)",Assumptions!$A$1:$A$257,0))*H$21/1000000*(1-(H$87+H$75+H$76)/H$65) - INDEX(Assumptions!$B:$B,MATCH("Bandwidth/peering cost per Gbps ($mm/Gbps-yr)",Assumptions!$A$1:$A$257,0))*INDEX(Assumptions!$B:$B,MATCH("Effective DTC Gbps per sat (revenue calibration)",Assumptions!$A$1:$A$257,0))*H$21, 0)</f>
        <v>1.2288297525510816</v>
      </c>
      <c r="I118" s="77">
        <f ca="1">IFERROR(I$110*INDEX(Assumptions!$B:$B,MATCH("Effective DTC Gbps per sat (revenue calibration)",Assumptions!$A$1:$A$257,0))*I$21/1000000*(1-(I$87+I$75+I$76)/I$65) - INDEX(Assumptions!$B:$B,MATCH("Bandwidth/peering cost per Gbps ($mm/Gbps-yr)",Assumptions!$A$1:$A$257,0))*INDEX(Assumptions!$B:$B,MATCH("Effective DTC Gbps per sat (revenue calibration)",Assumptions!$A$1:$A$257,0))*I$21, 0)</f>
        <v>0.5227443915465545</v>
      </c>
      <c r="J118" s="77">
        <f ca="1">IFERROR(J$110*INDEX(Assumptions!$B:$B,MATCH("Effective DTC Gbps per sat (revenue calibration)",Assumptions!$A$1:$A$257,0))*J$21/1000000*(1-(J$87+J$75+J$76)/J$65) - INDEX(Assumptions!$B:$B,MATCH("Bandwidth/peering cost per Gbps ($mm/Gbps-yr)",Assumptions!$A$1:$A$257,0))*INDEX(Assumptions!$B:$B,MATCH("Effective DTC Gbps per sat (revenue calibration)",Assumptions!$A$1:$A$257,0))*J$21, 0)</f>
        <v>0.39217749768963989</v>
      </c>
      <c r="K118" s="77">
        <f ca="1">IFERROR(K$110*INDEX(Assumptions!$B:$B,MATCH("Effective DTC Gbps per sat (revenue calibration)",Assumptions!$A$1:$A$257,0))*K$21/1000000*(1-(K$87+K$75+K$76)/K$65) - INDEX(Assumptions!$B:$B,MATCH("Bandwidth/peering cost per Gbps ($mm/Gbps-yr)",Assumptions!$A$1:$A$257,0))*INDEX(Assumptions!$B:$B,MATCH("Effective DTC Gbps per sat (revenue calibration)",Assumptions!$A$1:$A$257,0))*K$21, 0)</f>
        <v>0.270856418185079</v>
      </c>
      <c r="L118" s="77">
        <f ca="1">IFERROR(L$110*INDEX(Assumptions!$B:$B,MATCH("Effective DTC Gbps per sat (revenue calibration)",Assumptions!$A$1:$A$257,0))*L$21/1000000*(1-(L$87+L$75+L$76)/L$65) - INDEX(Assumptions!$B:$B,MATCH("Bandwidth/peering cost per Gbps ($mm/Gbps-yr)",Assumptions!$A$1:$A$257,0))*INDEX(Assumptions!$B:$B,MATCH("Effective DTC Gbps per sat (revenue calibration)",Assumptions!$A$1:$A$257,0))*L$21, 0)</f>
        <v>0.2329435552943854</v>
      </c>
      <c r="M118" s="77">
        <f ca="1">IFERROR(M$110*INDEX(Assumptions!$B:$B,MATCH("Effective DTC Gbps per sat (revenue calibration)",Assumptions!$A$1:$A$257,0))*M$21/1000000*(1-(M$87+M$75+M$76)/M$65) - INDEX(Assumptions!$B:$B,MATCH("Bandwidth/peering cost per Gbps ($mm/Gbps-yr)",Assumptions!$A$1:$A$257,0))*INDEX(Assumptions!$B:$B,MATCH("Effective DTC Gbps per sat (revenue calibration)",Assumptions!$A$1:$A$257,0))*M$21, 0)</f>
        <v>0.18629648389558667</v>
      </c>
      <c r="N118" s="77">
        <f ca="1">IFERROR(N$110*INDEX(Assumptions!$B:$B,MATCH("Effective DTC Gbps per sat (revenue calibration)",Assumptions!$A$1:$A$257,0))*N$21/1000000*(1-(N$87+N$75+N$76)/N$65) - INDEX(Assumptions!$B:$B,MATCH("Bandwidth/peering cost per Gbps ($mm/Gbps-yr)",Assumptions!$A$1:$A$257,0))*INDEX(Assumptions!$B:$B,MATCH("Effective DTC Gbps per sat (revenue calibration)",Assumptions!$A$1:$A$257,0))*N$21, 0)</f>
        <v>0.18020773849996494</v>
      </c>
      <c r="O118" s="77">
        <f ca="1">IFERROR(O$110*INDEX(Assumptions!$B:$B,MATCH("Effective DTC Gbps per sat (revenue calibration)",Assumptions!$A$1:$A$257,0))*O$21/1000000*(1-(O$87+O$75+O$76)/O$65) - INDEX(Assumptions!$B:$B,MATCH("Bandwidth/peering cost per Gbps ($mm/Gbps-yr)",Assumptions!$A$1:$A$257,0))*INDEX(Assumptions!$B:$B,MATCH("Effective DTC Gbps per sat (revenue calibration)",Assumptions!$A$1:$A$257,0))*O$21, 0)</f>
        <v>0.15333622826357182</v>
      </c>
      <c r="P118" s="77">
        <f ca="1">IFERROR(P$110*INDEX(Assumptions!$B:$B,MATCH("Effective DTC Gbps per sat (revenue calibration)",Assumptions!$A$1:$A$257,0))*P$21/1000000*(1-(P$87+P$75+P$76)/P$65) - INDEX(Assumptions!$B:$B,MATCH("Bandwidth/peering cost per Gbps ($mm/Gbps-yr)",Assumptions!$A$1:$A$257,0))*INDEX(Assumptions!$B:$B,MATCH("Effective DTC Gbps per sat (revenue calibration)",Assumptions!$A$1:$A$257,0))*P$21, 0)</f>
        <v>0.16404947749650384</v>
      </c>
      <c r="Q118" s="77">
        <f ca="1">IFERROR(Q$110*INDEX(Assumptions!$B:$B,MATCH("Effective DTC Gbps per sat (revenue calibration)",Assumptions!$A$1:$A$257,0))*Q$21/1000000*(1-(Q$87+Q$75+Q$76)/Q$65) - INDEX(Assumptions!$B:$B,MATCH("Bandwidth/peering cost per Gbps ($mm/Gbps-yr)",Assumptions!$A$1:$A$257,0))*INDEX(Assumptions!$B:$B,MATCH("Effective DTC Gbps per sat (revenue calibration)",Assumptions!$A$1:$A$257,0))*Q$21, 0)</f>
        <v>0.16593781131360844</v>
      </c>
      <c r="R118" s="77">
        <f ca="1">IFERROR(R$110*INDEX(Assumptions!$B:$B,MATCH("Effective DTC Gbps per sat (revenue calibration)",Assumptions!$A$1:$A$257,0))*R$21/1000000*(1-(R$87+R$75+R$76)/R$65) - INDEX(Assumptions!$B:$B,MATCH("Bandwidth/peering cost per Gbps ($mm/Gbps-yr)",Assumptions!$A$1:$A$257,0))*INDEX(Assumptions!$B:$B,MATCH("Effective DTC Gbps per sat (revenue calibration)",Assumptions!$A$1:$A$257,0))*R$21, 0)</f>
        <v>0.19556156598966046</v>
      </c>
      <c r="S118" s="77">
        <f ca="1">IFERROR(S$110*INDEX(Assumptions!$B:$B,MATCH("Effective DTC Gbps per sat (revenue calibration)",Assumptions!$A$1:$A$257,0))*S$21/1000000*(1-(S$87+S$75+S$76)/S$65) - INDEX(Assumptions!$B:$B,MATCH("Bandwidth/peering cost per Gbps ($mm/Gbps-yr)",Assumptions!$A$1:$A$257,0))*INDEX(Assumptions!$B:$B,MATCH("Effective DTC Gbps per sat (revenue calibration)",Assumptions!$A$1:$A$257,0))*S$21, 0)</f>
        <v>0.23860439795654403</v>
      </c>
    </row>
    <row r="119" spans="1:19">
      <c r="A119" s="5" t="s">
        <v>1044</v>
      </c>
      <c r="B119" s="3"/>
      <c r="C119" s="3"/>
      <c r="D119" s="101">
        <f>D$143*INDEX(Assumptions!$B:$B,MATCH("V2 DTC sat mass (kg)",Assumptions!$A$1:$A$257,0))/1000000 + IFERROR(D$13/INDEX(Assumptions!$B:$B,MATCH("F9 sats per launch (V2 packing)",Assumptions!$A$1:$A$257,0)),0) + INDEX(Assumptions!$B:$B,MATCH("Working capital per sat ($mm/sat): ΔWC T0",Assumptions!$A$1:$A$257,0))</f>
        <v>1.1479807692307693</v>
      </c>
      <c r="E119" s="101">
        <f>E$143*INDEX(Assumptions!$B:$B,MATCH("V2 DTC sat mass (kg)",Assumptions!$A$1:$A$257,0))/1000000 + IFERROR(E$13/INDEX(Assumptions!$B:$B,MATCH("F9 sats per launch (V2 packing)",Assumptions!$A$1:$A$257,0)),0) + IFERROR(SUM($D$102:D102)/D142,0) + INDEX(Assumptions!$B:$B,MATCH("Working capital per sat ($mm/sat): ΔWC T0",Assumptions!$A$1:$A$257,0))</f>
        <v>1.1605523122710624</v>
      </c>
      <c r="F119" s="101">
        <f ca="1">F$143*INDEX(Assumptions!$B:$B,MATCH("V2 DTC sat mass (kg)",Assumptions!$A$1:$A$257,0))/1000000 + IFERROR(F$13/INDEX(Assumptions!$B:$B,MATCH("F9 sats per launch (V2 packing)",Assumptions!$A$1:$A$257,0)),0) + IFERROR(SUM($D$102:E102)/E142,0) + INDEX(Assumptions!$B:$B,MATCH("Working capital per sat ($mm/sat): ΔWC T0",Assumptions!$A$1:$A$257,0))</f>
        <v>1.1376371629121576</v>
      </c>
      <c r="G119" s="101">
        <f ca="1">G$143*INDEX(Assumptions!$B:$B,MATCH("V2 DTC sat mass (kg)",Assumptions!$A$1:$A$257,0))/1000000 + IFERROR(G$13/INDEX(Assumptions!$B:$B,MATCH("F9 sats per launch (V2 packing)",Assumptions!$A$1:$A$257,0)),0) + IFERROR(SUM($D$102:F102)/F142,0) + INDEX(Assumptions!$B:$B,MATCH("Working capital per sat ($mm/sat): ΔWC T0",Assumptions!$A$1:$A$257,0))</f>
        <v>1.1491074846570413</v>
      </c>
      <c r="H119" s="101">
        <f ca="1">H$143*INDEX(Assumptions!$B:$B,MATCH("V2 DTC sat mass (kg)",Assumptions!$A$1:$A$257,0))/1000000 + IFERROR(H$13/INDEX(Assumptions!$B:$B,MATCH("F9 sats per launch (V2 packing)",Assumptions!$A$1:$A$257,0)),0) + IFERROR(SUM($D$102:G102)/G142,0) + INDEX(Assumptions!$B:$B,MATCH("Working capital per sat ($mm/sat): ΔWC T0",Assumptions!$A$1:$A$257,0))</f>
        <v>1.128727225874959</v>
      </c>
      <c r="I119" s="101">
        <f ca="1">I$143*INDEX(Assumptions!$B:$B,MATCH("V2 DTC sat mass (kg)",Assumptions!$A$1:$A$257,0))/1000000 + IFERROR(I$13/INDEX(Assumptions!$B:$B,MATCH("F9 sats per launch (V2 packing)",Assumptions!$A$1:$A$257,0)),0) + IFERROR(SUM($D$102:H102)/H142,0) + INDEX(Assumptions!$B:$B,MATCH("Working capital per sat ($mm/sat): ΔWC T0",Assumptions!$A$1:$A$257,0))</f>
        <v>1.0946725165534847</v>
      </c>
      <c r="J119" s="101">
        <f ca="1">J$143*INDEX(Assumptions!$B:$B,MATCH("V2 DTC sat mass (kg)",Assumptions!$A$1:$A$257,0))/1000000 + IFERROR(J$13/INDEX(Assumptions!$B:$B,MATCH("F9 sats per launch (V2 packing)",Assumptions!$A$1:$A$257,0)),0) + IFERROR(SUM($D$102:I102)/I142,0) + INDEX(Assumptions!$B:$B,MATCH("Working capital per sat ($mm/sat): ΔWC T0",Assumptions!$A$1:$A$257,0))</f>
        <v>1.0503739439128088</v>
      </c>
      <c r="K119" s="101">
        <f ca="1">K$143*INDEX(Assumptions!$B:$B,MATCH("V2 DTC sat mass (kg)",Assumptions!$A$1:$A$257,0))/1000000 + IFERROR(K$13/INDEX(Assumptions!$B:$B,MATCH("F9 sats per launch (V2 packing)",Assumptions!$A$1:$A$257,0)),0) + IFERROR(SUM($D$102:J102)/J142,0) + INDEX(Assumptions!$B:$B,MATCH("Working capital per sat ($mm/sat): ΔWC T0",Assumptions!$A$1:$A$257,0))</f>
        <v>1.0060424792428209</v>
      </c>
      <c r="L119" s="101">
        <f ca="1">L$143*INDEX(Assumptions!$B:$B,MATCH("V2 DTC sat mass (kg)",Assumptions!$A$1:$A$257,0))/1000000 + IFERROR(L$13/INDEX(Assumptions!$B:$B,MATCH("F9 sats per launch (V2 packing)",Assumptions!$A$1:$A$257,0)),0) + IFERROR(SUM($D$102:K102)/K142,0) + INDEX(Assumptions!$B:$B,MATCH("Working capital per sat ($mm/sat): ΔWC T0",Assumptions!$A$1:$A$257,0))</f>
        <v>0.97683744043620524</v>
      </c>
      <c r="M119" s="101">
        <f ca="1">M$143*INDEX(Assumptions!$B:$B,MATCH("V2 DTC sat mass (kg)",Assumptions!$A$1:$A$257,0))/1000000 + IFERROR(M$13/INDEX(Assumptions!$B:$B,MATCH("F9 sats per launch (V2 packing)",Assumptions!$A$1:$A$257,0)),0) + IFERROR(SUM($D$102:L102)/L142,0) + INDEX(Assumptions!$B:$B,MATCH("Working capital per sat ($mm/sat): ΔWC T0",Assumptions!$A$1:$A$257,0))</f>
        <v>0.95739582868829931</v>
      </c>
      <c r="N119" s="101">
        <f ca="1">N$143*INDEX(Assumptions!$B:$B,MATCH("V2 DTC sat mass (kg)",Assumptions!$A$1:$A$257,0))/1000000 + IFERROR(N$13/INDEX(Assumptions!$B:$B,MATCH("F9 sats per launch (V2 packing)",Assumptions!$A$1:$A$257,0)),0) + IFERROR(SUM($D$102:M102)/M142,0) + INDEX(Assumptions!$B:$B,MATCH("Working capital per sat ($mm/sat): ΔWC T0",Assumptions!$A$1:$A$257,0))</f>
        <v>0.93276964786772987</v>
      </c>
      <c r="O119" s="101">
        <f ca="1">O$143*INDEX(Assumptions!$B:$B,MATCH("V2 DTC sat mass (kg)",Assumptions!$A$1:$A$257,0))/1000000 + IFERROR(O$13/INDEX(Assumptions!$B:$B,MATCH("F9 sats per launch (V2 packing)",Assumptions!$A$1:$A$257,0)),0) + IFERROR(SUM($D$102:N102)/N142,0) + INDEX(Assumptions!$B:$B,MATCH("Working capital per sat ($mm/sat): ΔWC T0",Assumptions!$A$1:$A$257,0))</f>
        <v>0.91628307898049177</v>
      </c>
      <c r="P119" s="101">
        <f ca="1">P$143*INDEX(Assumptions!$B:$B,MATCH("V2 DTC sat mass (kg)",Assumptions!$A$1:$A$257,0))/1000000 + IFERROR(P$13/INDEX(Assumptions!$B:$B,MATCH("F9 sats per launch (V2 packing)",Assumptions!$A$1:$A$257,0)),0) + IFERROR(SUM($D$102:O102)/O142,0) + INDEX(Assumptions!$B:$B,MATCH("Working capital per sat ($mm/sat): ΔWC T0",Assumptions!$A$1:$A$257,0))</f>
        <v>0.90119462430016684</v>
      </c>
      <c r="Q119" s="101">
        <f ca="1">Q$143*INDEX(Assumptions!$B:$B,MATCH("V2 DTC sat mass (kg)",Assumptions!$A$1:$A$257,0))/1000000 + IFERROR(Q$13/INDEX(Assumptions!$B:$B,MATCH("F9 sats per launch (V2 packing)",Assumptions!$A$1:$A$257,0)),0) + IFERROR(SUM($D$102:P102)/P142,0) + INDEX(Assumptions!$B:$B,MATCH("Working capital per sat ($mm/sat): ΔWC T0",Assumptions!$A$1:$A$257,0))</f>
        <v>0.88148145589389337</v>
      </c>
      <c r="R119" s="101">
        <f ca="1">R$143*INDEX(Assumptions!$B:$B,MATCH("V2 DTC sat mass (kg)",Assumptions!$A$1:$A$257,0))/1000000 + IFERROR(R$13/INDEX(Assumptions!$B:$B,MATCH("F9 sats per launch (V2 packing)",Assumptions!$A$1:$A$257,0)),0) + IFERROR(SUM($D$102:Q102)/Q142,0) + INDEX(Assumptions!$B:$B,MATCH("Working capital per sat ($mm/sat): ΔWC T0",Assumptions!$A$1:$A$257,0))</f>
        <v>0.86588323175805004</v>
      </c>
      <c r="S119" s="101">
        <f ca="1">S$143*INDEX(Assumptions!$B:$B,MATCH("V2 DTC sat mass (kg)",Assumptions!$A$1:$A$257,0))/1000000 + IFERROR(S$13/INDEX(Assumptions!$B:$B,MATCH("F9 sats per launch (V2 packing)",Assumptions!$A$1:$A$257,0)),0) + IFERROR(SUM($D$102:R102)/R142,0) + INDEX(Assumptions!$B:$B,MATCH("Working capital per sat ($mm/sat): ΔWC T0",Assumptions!$A$1:$A$257,0))</f>
        <v>0.85254663989149615</v>
      </c>
    </row>
    <row r="120" spans="1:19">
      <c r="A120" s="82" t="s">
        <v>1045</v>
      </c>
      <c r="B120" s="3"/>
      <c r="C120" s="3"/>
      <c r="D120" s="91">
        <f t="shared" ref="D120:S120" si="26">IFERROR(MIN(3, IFERROR(RATE(D$15,D118,-D119,0,0,0.1), IFERROR(RATE(D$15,D118,-D119,0,0,0.5), RATE(D$15,D118,-D119,0,0,1.5)))), IF(D118*D$15&gt;D119,3,0))</f>
        <v>0.39916394174002667</v>
      </c>
      <c r="E120" s="91">
        <f t="shared" ca="1" si="26"/>
        <v>0.54560656106435002</v>
      </c>
      <c r="F120" s="91">
        <f t="shared" ca="1" si="26"/>
        <v>0.71890295419366868</v>
      </c>
      <c r="G120" s="91">
        <f t="shared" ca="1" si="26"/>
        <v>0.87199063317439307</v>
      </c>
      <c r="H120" s="91">
        <f t="shared" ca="1" si="26"/>
        <v>1.0592882509615393</v>
      </c>
      <c r="I120" s="91">
        <f t="shared" ca="1" si="26"/>
        <v>0.38323044306503445</v>
      </c>
      <c r="J120" s="91">
        <f t="shared" ca="1" si="26"/>
        <v>0.25199574088048066</v>
      </c>
      <c r="K120" s="91">
        <f t="shared" ca="1" si="26"/>
        <v>0.10802830276198727</v>
      </c>
      <c r="L120" s="91">
        <f t="shared" ca="1" si="26"/>
        <v>6.1656303792976222E-2</v>
      </c>
      <c r="M120" s="91">
        <f t="shared" ca="1" si="26"/>
        <v>-9.0773670671661904E-3</v>
      </c>
      <c r="N120" s="91">
        <f t="shared" ca="1" si="26"/>
        <v>-1.142687761668445E-2</v>
      </c>
      <c r="O120" s="91">
        <f t="shared" ca="1" si="26"/>
        <v>-5.6620382664935659E-2</v>
      </c>
      <c r="P120" s="91">
        <f t="shared" ca="1" si="26"/>
        <v>-3.0573328627295938E-2</v>
      </c>
      <c r="Q120" s="91">
        <f t="shared" ca="1" si="26"/>
        <v>-1.9850656899139261E-2</v>
      </c>
      <c r="R120" s="91">
        <f t="shared" ca="1" si="26"/>
        <v>4.1939043770479585E-2</v>
      </c>
      <c r="S120" s="91">
        <f t="shared" ca="1" si="26"/>
        <v>0.12357759650186671</v>
      </c>
    </row>
    <row r="121" spans="1:19">
      <c r="A121" s="3"/>
      <c r="B121" s="3"/>
      <c r="C121" s="3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</row>
    <row r="122" spans="1:19">
      <c r="A122" s="94"/>
      <c r="B122" s="3"/>
      <c r="C122" s="3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</row>
    <row r="123" spans="1:1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82" t="s">
        <v>1046</v>
      </c>
      <c r="B124" s="3"/>
      <c r="C124" s="3"/>
      <c r="D124" s="77">
        <f>IFERROR(D$109*INDEX(Assumptions!$B:$B,MATCH("V3 BB Gbps per sat",Assumptions!$A$1:$A$257,0))*D$21/1000000*(1-(D$87+D$75+D$76)/D$65) - INDEX(Assumptions!$B:$B,MATCH("Bandwidth/peering cost per Gbps ($mm/Gbps-yr)",Assumptions!$A$1:$A$257,0))*INDEX(Assumptions!$B:$B,MATCH("V3 BB Gbps per sat",Assumptions!$A$1:$A$257,0))*D$21, 0)</f>
        <v>6.638190942376502</v>
      </c>
      <c r="E124" s="77">
        <f ca="1">IFERROR(E$109*INDEX(Assumptions!$B:$B,MATCH("V3 BB Gbps per sat",Assumptions!$A$1:$A$257,0))*E$21/1000000*(1-(E$87+E$75+E$76)/E$65) - INDEX(Assumptions!$B:$B,MATCH("Bandwidth/peering cost per Gbps ($mm/Gbps-yr)",Assumptions!$A$1:$A$257,0))*INDEX(Assumptions!$B:$B,MATCH("V3 BB Gbps per sat",Assumptions!$A$1:$A$257,0))*E$21, 0)</f>
        <v>5.8865002162254019</v>
      </c>
      <c r="F124" s="77">
        <f ca="1">IFERROR(F$109*INDEX(Assumptions!$B:$B,MATCH("V3 BB Gbps per sat",Assumptions!$A$1:$A$257,0))*F$21/1000000*(1-(F$87+F$75+F$76)/F$65) - INDEX(Assumptions!$B:$B,MATCH("Bandwidth/peering cost per Gbps ($mm/Gbps-yr)",Assumptions!$A$1:$A$257,0))*INDEX(Assumptions!$B:$B,MATCH("V3 BB Gbps per sat",Assumptions!$A$1:$A$257,0))*F$21, 0)</f>
        <v>3.4020015579032852</v>
      </c>
      <c r="G124" s="77">
        <f ca="1">IFERROR(G$109*INDEX(Assumptions!$B:$B,MATCH("V3 BB Gbps per sat",Assumptions!$A$1:$A$257,0))*G$21/1000000*(1-(G$87+G$75+G$76)/G$65) - INDEX(Assumptions!$B:$B,MATCH("Bandwidth/peering cost per Gbps ($mm/Gbps-yr)",Assumptions!$A$1:$A$257,0))*INDEX(Assumptions!$B:$B,MATCH("V3 BB Gbps per sat",Assumptions!$A$1:$A$257,0))*G$21, 0)</f>
        <v>2.064592495011905</v>
      </c>
      <c r="H124" s="77">
        <f ca="1">IFERROR(H$109*INDEX(Assumptions!$B:$B,MATCH("V3 BB Gbps per sat",Assumptions!$A$1:$A$257,0))*H$21/1000000*(1-(H$87+H$75+H$76)/H$65) - INDEX(Assumptions!$B:$B,MATCH("Bandwidth/peering cost per Gbps ($mm/Gbps-yr)",Assumptions!$A$1:$A$257,0))*INDEX(Assumptions!$B:$B,MATCH("V3 BB Gbps per sat",Assumptions!$A$1:$A$257,0))*H$21, 0)</f>
        <v>0.85166503986314135</v>
      </c>
      <c r="I124" s="77">
        <f ca="1">IFERROR(I$109*INDEX(Assumptions!$B:$B,MATCH("V3 BB Gbps per sat",Assumptions!$A$1:$A$257,0))*I$21/1000000*(1-(I$87+I$75+I$76)/I$65) - INDEX(Assumptions!$B:$B,MATCH("Bandwidth/peering cost per Gbps ($mm/Gbps-yr)",Assumptions!$A$1:$A$257,0))*INDEX(Assumptions!$B:$B,MATCH("V3 BB Gbps per sat",Assumptions!$A$1:$A$257,0))*I$21, 0)</f>
        <v>0.57983605148986528</v>
      </c>
      <c r="J124" s="77">
        <f ca="1">IFERROR(J$109*INDEX(Assumptions!$B:$B,MATCH("V3 BB Gbps per sat",Assumptions!$A$1:$A$257,0))*J$21/1000000*(1-(J$87+J$75+J$76)/J$65) - INDEX(Assumptions!$B:$B,MATCH("Bandwidth/peering cost per Gbps ($mm/Gbps-yr)",Assumptions!$A$1:$A$257,0))*INDEX(Assumptions!$B:$B,MATCH("V3 BB Gbps per sat",Assumptions!$A$1:$A$257,0))*J$21, 0)</f>
        <v>0.13088183054044134</v>
      </c>
      <c r="K124" s="77">
        <f ca="1">IFERROR(K$109*INDEX(Assumptions!$B:$B,MATCH("V3 BB Gbps per sat",Assumptions!$A$1:$A$257,0))*K$21/1000000*(1-(K$87+K$75+K$76)/K$65) - INDEX(Assumptions!$B:$B,MATCH("Bandwidth/peering cost per Gbps ($mm/Gbps-yr)",Assumptions!$A$1:$A$257,0))*INDEX(Assumptions!$B:$B,MATCH("V3 BB Gbps per sat",Assumptions!$A$1:$A$257,0))*K$21, 0)</f>
        <v>2.8117723854808041E-2</v>
      </c>
      <c r="L124" s="77">
        <f ca="1">IFERROR(L$109*INDEX(Assumptions!$B:$B,MATCH("V3 BB Gbps per sat",Assumptions!$A$1:$A$257,0))*L$21/1000000*(1-(L$87+L$75+L$76)/L$65) - INDEX(Assumptions!$B:$B,MATCH("Bandwidth/peering cost per Gbps ($mm/Gbps-yr)",Assumptions!$A$1:$A$257,0))*INDEX(Assumptions!$B:$B,MATCH("V3 BB Gbps per sat",Assumptions!$A$1:$A$257,0))*L$21, 0)</f>
        <v>0.11951950220228857</v>
      </c>
      <c r="M124" s="77">
        <f ca="1">IFERROR(M$109*INDEX(Assumptions!$B:$B,MATCH("V3 BB Gbps per sat",Assumptions!$A$1:$A$257,0))*M$21/1000000*(1-(M$87+M$75+M$76)/M$65) - INDEX(Assumptions!$B:$B,MATCH("Bandwidth/peering cost per Gbps ($mm/Gbps-yr)",Assumptions!$A$1:$A$257,0))*INDEX(Assumptions!$B:$B,MATCH("V3 BB Gbps per sat",Assumptions!$A$1:$A$257,0))*M$21, 0)</f>
        <v>0.17266799493716967</v>
      </c>
      <c r="N124" s="77">
        <f ca="1">IFERROR(N$109*INDEX(Assumptions!$B:$B,MATCH("V3 BB Gbps per sat",Assumptions!$A$1:$A$257,0))*N$21/1000000*(1-(N$87+N$75+N$76)/N$65) - INDEX(Assumptions!$B:$B,MATCH("Bandwidth/peering cost per Gbps ($mm/Gbps-yr)",Assumptions!$A$1:$A$257,0))*INDEX(Assumptions!$B:$B,MATCH("V3 BB Gbps per sat",Assumptions!$A$1:$A$257,0))*N$21, 0)</f>
        <v>-9.5375745512418231E-2</v>
      </c>
      <c r="O124" s="77">
        <f ca="1">IFERROR(O$109*INDEX(Assumptions!$B:$B,MATCH("V3 BB Gbps per sat",Assumptions!$A$1:$A$257,0))*O$21/1000000*(1-(O$87+O$75+O$76)/O$65) - INDEX(Assumptions!$B:$B,MATCH("Bandwidth/peering cost per Gbps ($mm/Gbps-yr)",Assumptions!$A$1:$A$257,0))*INDEX(Assumptions!$B:$B,MATCH("V3 BB Gbps per sat",Assumptions!$A$1:$A$257,0))*O$21, 0)</f>
        <v>-0.38143268941574804</v>
      </c>
      <c r="P124" s="77">
        <f ca="1">IFERROR(P$109*INDEX(Assumptions!$B:$B,MATCH("V3 BB Gbps per sat",Assumptions!$A$1:$A$257,0))*P$21/1000000*(1-(P$87+P$75+P$76)/P$65) - INDEX(Assumptions!$B:$B,MATCH("Bandwidth/peering cost per Gbps ($mm/Gbps-yr)",Assumptions!$A$1:$A$257,0))*INDEX(Assumptions!$B:$B,MATCH("V3 BB Gbps per sat",Assumptions!$A$1:$A$257,0))*P$21, 0)</f>
        <v>-0.52129295117454433</v>
      </c>
      <c r="Q124" s="77">
        <f ca="1">IFERROR(Q$109*INDEX(Assumptions!$B:$B,MATCH("V3 BB Gbps per sat",Assumptions!$A$1:$A$257,0))*Q$21/1000000*(1-(Q$87+Q$75+Q$76)/Q$65) - INDEX(Assumptions!$B:$B,MATCH("Bandwidth/peering cost per Gbps ($mm/Gbps-yr)",Assumptions!$A$1:$A$257,0))*INDEX(Assumptions!$B:$B,MATCH("V3 BB Gbps per sat",Assumptions!$A$1:$A$257,0))*Q$21, 0)</f>
        <v>-0.58979067923545347</v>
      </c>
      <c r="R124" s="77">
        <f ca="1">IFERROR(R$109*INDEX(Assumptions!$B:$B,MATCH("V3 BB Gbps per sat",Assumptions!$A$1:$A$257,0))*R$21/1000000*(1-(R$87+R$75+R$76)/R$65) - INDEX(Assumptions!$B:$B,MATCH("Bandwidth/peering cost per Gbps ($mm/Gbps-yr)",Assumptions!$A$1:$A$257,0))*INDEX(Assumptions!$B:$B,MATCH("V3 BB Gbps per sat",Assumptions!$A$1:$A$257,0))*R$21, 0)</f>
        <v>-0.54683236917796529</v>
      </c>
      <c r="S124" s="77">
        <f ca="1">IFERROR(S$109*INDEX(Assumptions!$B:$B,MATCH("V3 BB Gbps per sat",Assumptions!$A$1:$A$257,0))*S$21/1000000*(1-(S$87+S$75+S$76)/S$65) - INDEX(Assumptions!$B:$B,MATCH("Bandwidth/peering cost per Gbps ($mm/Gbps-yr)",Assumptions!$A$1:$A$257,0))*INDEX(Assumptions!$B:$B,MATCH("V3 BB Gbps per sat",Assumptions!$A$1:$A$257,0))*S$21, 0)</f>
        <v>-0.4251481871322822</v>
      </c>
    </row>
    <row r="125" spans="1:19">
      <c r="A125" s="5" t="s">
        <v>1047</v>
      </c>
      <c r="B125" s="3"/>
      <c r="C125" s="3"/>
      <c r="D125" s="70">
        <f>D$143*INDEX(Assumptions!$B:$B,MATCH("V3 BB sat mass (kg)",Assumptions!$A$1:$A$257,0))/1000000 + IFERROR(D$14/D204,0) + INDEX(Assumptions!$B:$B,MATCH("Working capital per sat ($mm/sat): ΔWC T0",Assumptions!$A$1:$A$257,0))</f>
        <v>1.3049999999999999</v>
      </c>
      <c r="E125" s="70">
        <f>E$143*INDEX(Assumptions!$B:$B,MATCH("V3 BB sat mass (kg)",Assumptions!$A$1:$A$257,0))/1000000 + IFERROR(E$14/E204,0) + IFERROR(SUM($D$102:D102)/D142,0) + INDEX(Assumptions!$B:$B,MATCH("Working capital per sat ($mm/sat): ΔWC T0",Assumptions!$A$1:$A$257,0))</f>
        <v>1.3329561584249083</v>
      </c>
      <c r="F125" s="70">
        <f ca="1">F$143*INDEX(Assumptions!$B:$B,MATCH("V3 BB sat mass (kg)",Assumptions!$A$1:$A$257,0))/1000000 + IFERROR(F$14/F204,0) + IFERROR(SUM($D$102:E102)/E142,0) + INDEX(Assumptions!$B:$B,MATCH("Working capital per sat ($mm/sat): ΔWC T0",Assumptions!$A$1:$A$257,0))</f>
        <v>1.6698542334367585</v>
      </c>
      <c r="G125" s="70">
        <f ca="1">G$143*INDEX(Assumptions!$B:$B,MATCH("V3 BB sat mass (kg)",Assumptions!$A$1:$A$257,0))/1000000 + IFERROR(G$14/G204,0) + IFERROR(SUM($D$102:F102)/F142,0) + INDEX(Assumptions!$B:$B,MATCH("Working capital per sat ($mm/sat): ΔWC T0",Assumptions!$A$1:$A$257,0))</f>
        <v>1.5893285251246878</v>
      </c>
      <c r="H125" s="70">
        <f ca="1">H$143*INDEX(Assumptions!$B:$B,MATCH("V3 BB sat mass (kg)",Assumptions!$A$1:$A$257,0))/1000000 + IFERROR(H$14/H204,0) + IFERROR(SUM($D$102:G102)/G142,0) + INDEX(Assumptions!$B:$B,MATCH("Working capital per sat ($mm/sat): ΔWC T0",Assumptions!$A$1:$A$257,0))</f>
        <v>1.4810863071188132</v>
      </c>
      <c r="I125" s="70">
        <f ca="1">I$143*INDEX(Assumptions!$B:$B,MATCH("V3 BB sat mass (kg)",Assumptions!$A$1:$A$257,0))/1000000 + IFERROR(I$14/I204,0) + IFERROR(SUM($D$102:H102)/H142,0) + INDEX(Assumptions!$B:$B,MATCH("Working capital per sat ($mm/sat): ΔWC T0",Assumptions!$A$1:$A$257,0))</f>
        <v>1.3630977700298692</v>
      </c>
      <c r="J125" s="70">
        <f ca="1">J$143*INDEX(Assumptions!$B:$B,MATCH("V3 BB sat mass (kg)",Assumptions!$A$1:$A$257,0))/1000000 + IFERROR(J$14/J204,0) + IFERROR(SUM($D$102:I102)/I142,0) + INDEX(Assumptions!$B:$B,MATCH("Working capital per sat ($mm/sat): ΔWC T0",Assumptions!$A$1:$A$257,0))</f>
        <v>1.2770076744242402</v>
      </c>
      <c r="K125" s="70">
        <f ca="1">K$143*INDEX(Assumptions!$B:$B,MATCH("V3 BB sat mass (kg)",Assumptions!$A$1:$A$257,0))/1000000 + IFERROR(K$14/K204,0) + IFERROR(SUM($D$102:J102)/J142,0) + INDEX(Assumptions!$B:$B,MATCH("Working capital per sat ($mm/sat): ΔWC T0",Assumptions!$A$1:$A$257,0))</f>
        <v>1.2087558006598027</v>
      </c>
      <c r="L125" s="70">
        <f ca="1">L$143*INDEX(Assumptions!$B:$B,MATCH("V3 BB sat mass (kg)",Assumptions!$A$1:$A$257,0))/1000000 + IFERROR(L$14/L204,0) + IFERROR(SUM($D$102:K102)/K142,0) + INDEX(Assumptions!$B:$B,MATCH("Working capital per sat ($mm/sat): ΔWC T0",Assumptions!$A$1:$A$257,0))</f>
        <v>1.1617272065703264</v>
      </c>
      <c r="M125" s="70">
        <f ca="1">M$143*INDEX(Assumptions!$B:$B,MATCH("V3 BB sat mass (kg)",Assumptions!$A$1:$A$257,0))/1000000 + IFERROR(M$14/M204,0) + IFERROR(SUM($D$102:L102)/L142,0) + INDEX(Assumptions!$B:$B,MATCH("Working capital per sat ($mm/sat): ΔWC T0",Assumptions!$A$1:$A$257,0))</f>
        <v>1.137399321721591</v>
      </c>
      <c r="N125" s="70">
        <f ca="1">N$143*INDEX(Assumptions!$B:$B,MATCH("V3 BB sat mass (kg)",Assumptions!$A$1:$A$257,0))/1000000 + IFERROR(N$14/N204,0) + IFERROR(SUM($D$102:M102)/M142,0) + INDEX(Assumptions!$B:$B,MATCH("Working capital per sat ($mm/sat): ΔWC T0",Assumptions!$A$1:$A$257,0))</f>
        <v>1.1028431858335133</v>
      </c>
      <c r="O125" s="70">
        <f ca="1">O$143*INDEX(Assumptions!$B:$B,MATCH("V3 BB sat mass (kg)",Assumptions!$A$1:$A$257,0))/1000000 + IFERROR(O$14/O204,0) + IFERROR(SUM($D$102:N102)/N142,0) + INDEX(Assumptions!$B:$B,MATCH("Working capital per sat ($mm/sat): ΔWC T0",Assumptions!$A$1:$A$257,0))</f>
        <v>1.0761869011123728</v>
      </c>
      <c r="P125" s="70">
        <f ca="1">P$143*INDEX(Assumptions!$B:$B,MATCH("V3 BB sat mass (kg)",Assumptions!$A$1:$A$257,0))/1000000 + IFERROR(P$14/P204,0) + IFERROR(SUM($D$102:O102)/O142,0) + INDEX(Assumptions!$B:$B,MATCH("Working capital per sat ($mm/sat): ΔWC T0",Assumptions!$A$1:$A$257,0))</f>
        <v>1.0497318344111062</v>
      </c>
      <c r="Q125" s="70">
        <f ca="1">Q$143*INDEX(Assumptions!$B:$B,MATCH("V3 BB sat mass (kg)",Assumptions!$A$1:$A$257,0))/1000000 + IFERROR(Q$14/Q204,0) + IFERROR(SUM($D$102:P102)/P142,0) + INDEX(Assumptions!$B:$B,MATCH("Working capital per sat ($mm/sat): ΔWC T0",Assumptions!$A$1:$A$257,0))</f>
        <v>1.0259429391840549</v>
      </c>
      <c r="R125" s="70">
        <f ca="1">R$143*INDEX(Assumptions!$B:$B,MATCH("V3 BB sat mass (kg)",Assumptions!$A$1:$A$257,0))/1000000 + IFERROR(R$14/R204,0) + IFERROR(SUM($D$102:Q102)/Q142,0) + INDEX(Assumptions!$B:$B,MATCH("Working capital per sat ($mm/sat): ΔWC T0",Assumptions!$A$1:$A$257,0))</f>
        <v>1.0102255265380047</v>
      </c>
      <c r="S125" s="70">
        <f ca="1">S$143*INDEX(Assumptions!$B:$B,MATCH("V3 BB sat mass (kg)",Assumptions!$A$1:$A$257,0))/1000000 + IFERROR(S$14/S204,0) + IFERROR(SUM($D$102:R102)/R142,0) + INDEX(Assumptions!$B:$B,MATCH("Working capital per sat ($mm/sat): ΔWC T0",Assumptions!$A$1:$A$257,0))</f>
        <v>0.9991378600437274</v>
      </c>
    </row>
    <row r="126" spans="1:19">
      <c r="A126" s="82" t="s">
        <v>1048</v>
      </c>
      <c r="B126" s="3"/>
      <c r="C126" s="3"/>
      <c r="D126" s="91">
        <f t="shared" ref="D126:S126" si="27">IFERROR(MIN(3, IFERROR(RATE(D$15,D124,-D125,0,0,0.1), IFERROR(RATE(D$15,D124,-D125,0,0,0.5), RATE(D$15,D124,-D125,0,0,1.5)))), IF(D124*D$15&gt;D125,3,0))</f>
        <v>3</v>
      </c>
      <c r="E126" s="91">
        <f t="shared" ca="1" si="27"/>
        <v>3</v>
      </c>
      <c r="F126" s="91">
        <f t="shared" ca="1" si="27"/>
        <v>2.0293184719326134</v>
      </c>
      <c r="G126" s="91">
        <f t="shared" ca="1" si="27"/>
        <v>1.277851124789714</v>
      </c>
      <c r="H126" s="91">
        <f t="shared" ca="1" si="27"/>
        <v>0.49906778673013408</v>
      </c>
      <c r="I126" s="91">
        <f t="shared" ca="1" si="27"/>
        <v>0.31871624051160058</v>
      </c>
      <c r="J126" s="91">
        <f t="shared" ca="1" si="27"/>
        <v>-0.18819238752098419</v>
      </c>
      <c r="K126" s="91">
        <f t="shared" ca="1" si="27"/>
        <v>-0.45337282691014008</v>
      </c>
      <c r="L126" s="91">
        <f t="shared" ca="1" si="27"/>
        <v>-0.18728762572708807</v>
      </c>
      <c r="M126" s="91">
        <f t="shared" ca="1" si="27"/>
        <v>-8.5380007108520534E-2</v>
      </c>
      <c r="N126" s="91">
        <f t="shared" ca="1" si="27"/>
        <v>0</v>
      </c>
      <c r="O126" s="91">
        <f t="shared" ca="1" si="27"/>
        <v>0</v>
      </c>
      <c r="P126" s="91">
        <f t="shared" ca="1" si="27"/>
        <v>0</v>
      </c>
      <c r="Q126" s="91">
        <f t="shared" ca="1" si="27"/>
        <v>0</v>
      </c>
      <c r="R126" s="91">
        <f t="shared" ca="1" si="27"/>
        <v>0</v>
      </c>
      <c r="S126" s="91">
        <f t="shared" ca="1" si="27"/>
        <v>0</v>
      </c>
    </row>
    <row r="127" spans="1:19">
      <c r="A127" s="3"/>
      <c r="B127" s="3"/>
      <c r="C127" s="3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</row>
    <row r="128" spans="1:19">
      <c r="A128" s="94"/>
      <c r="B128" s="3"/>
      <c r="C128" s="3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82" t="s">
        <v>1049</v>
      </c>
      <c r="B130" s="3"/>
      <c r="C130" s="3"/>
      <c r="D130" s="77">
        <f>IFERROR(D$110*INDEX(Assumptions!$B:$B,MATCH("Effective DTC Gbps per sat (revenue calibration)",Assumptions!$A$1:$A$257,0))*D$21/1000000*(1-(D$87+D$75+D$76)/D$65) - INDEX(Assumptions!$B:$B,MATCH("Bandwidth/peering cost per Gbps ($mm/Gbps-yr)",Assumptions!$A$1:$A$257,0))*INDEX(Assumptions!$B:$B,MATCH("Effective DTC Gbps per sat (revenue calibration)",Assumptions!$A$1:$A$257,0))*D$21, 0)</f>
        <v>0.56327872390068745</v>
      </c>
      <c r="E130" s="77">
        <f ca="1">IFERROR(E$110*INDEX(Assumptions!$B:$B,MATCH("Effective DTC Gbps per sat (revenue calibration)",Assumptions!$A$1:$A$257,0))*E$21/1000000*(1-(E$87+E$75+E$76)/E$65) - INDEX(Assumptions!$B:$B,MATCH("Bandwidth/peering cost per Gbps ($mm/Gbps-yr)",Assumptions!$A$1:$A$257,0))*INDEX(Assumptions!$B:$B,MATCH("Effective DTC Gbps per sat (revenue calibration)",Assumptions!$A$1:$A$257,0))*E$21, 0)</f>
        <v>0.71417195206671302</v>
      </c>
      <c r="F130" s="77">
        <f ca="1">IFERROR(F$110*INDEX(Assumptions!$B:$B,MATCH("Effective DTC Gbps per sat (revenue calibration)",Assumptions!$A$1:$A$257,0))*F$21/1000000*(1-(F$87+F$75+F$76)/F$65) - INDEX(Assumptions!$B:$B,MATCH("Bandwidth/peering cost per Gbps ($mm/Gbps-yr)",Assumptions!$A$1:$A$257,0))*INDEX(Assumptions!$B:$B,MATCH("Effective DTC Gbps per sat (revenue calibration)",Assumptions!$A$1:$A$257,0))*F$21, 0)</f>
        <v>0.87624477444020177</v>
      </c>
      <c r="G130" s="77">
        <f ca="1">IFERROR(G$110*INDEX(Assumptions!$B:$B,MATCH("Effective DTC Gbps per sat (revenue calibration)",Assumptions!$A$1:$A$257,0))*G$21/1000000*(1-(G$87+G$75+G$76)/G$65) - INDEX(Assumptions!$B:$B,MATCH("Bandwidth/peering cost per Gbps ($mm/Gbps-yr)",Assumptions!$A$1:$A$257,0))*INDEX(Assumptions!$B:$B,MATCH("Effective DTC Gbps per sat (revenue calibration)",Assumptions!$A$1:$A$257,0))*G$21, 0)</f>
        <v>1.0475798894418715</v>
      </c>
      <c r="H130" s="77">
        <f ca="1">IFERROR(H$110*INDEX(Assumptions!$B:$B,MATCH("Effective DTC Gbps per sat (revenue calibration)",Assumptions!$A$1:$A$257,0))*H$21/1000000*(1-(H$87+H$75+H$76)/H$65) - INDEX(Assumptions!$B:$B,MATCH("Bandwidth/peering cost per Gbps ($mm/Gbps-yr)",Assumptions!$A$1:$A$257,0))*INDEX(Assumptions!$B:$B,MATCH("Effective DTC Gbps per sat (revenue calibration)",Assumptions!$A$1:$A$257,0))*H$21, 0)</f>
        <v>1.2288297525510816</v>
      </c>
      <c r="I130" s="77">
        <f ca="1">IFERROR(I$110*INDEX(Assumptions!$B:$B,MATCH("Effective DTC Gbps per sat (revenue calibration)",Assumptions!$A$1:$A$257,0))*I$21/1000000*(1-(I$87+I$75+I$76)/I$65) - INDEX(Assumptions!$B:$B,MATCH("Bandwidth/peering cost per Gbps ($mm/Gbps-yr)",Assumptions!$A$1:$A$257,0))*INDEX(Assumptions!$B:$B,MATCH("Effective DTC Gbps per sat (revenue calibration)",Assumptions!$A$1:$A$257,0))*I$21, 0)</f>
        <v>0.5227443915465545</v>
      </c>
      <c r="J130" s="77">
        <f ca="1">IFERROR(J$110*INDEX(Assumptions!$B:$B,MATCH("Effective DTC Gbps per sat (revenue calibration)",Assumptions!$A$1:$A$257,0))*J$21/1000000*(1-(J$87+J$75+J$76)/J$65) - INDEX(Assumptions!$B:$B,MATCH("Bandwidth/peering cost per Gbps ($mm/Gbps-yr)",Assumptions!$A$1:$A$257,0))*INDEX(Assumptions!$B:$B,MATCH("Effective DTC Gbps per sat (revenue calibration)",Assumptions!$A$1:$A$257,0))*J$21, 0)</f>
        <v>0.39217749768963989</v>
      </c>
      <c r="K130" s="77">
        <f ca="1">IFERROR(K$110*INDEX(Assumptions!$B:$B,MATCH("Effective DTC Gbps per sat (revenue calibration)",Assumptions!$A$1:$A$257,0))*K$21/1000000*(1-(K$87+K$75+K$76)/K$65) - INDEX(Assumptions!$B:$B,MATCH("Bandwidth/peering cost per Gbps ($mm/Gbps-yr)",Assumptions!$A$1:$A$257,0))*INDEX(Assumptions!$B:$B,MATCH("Effective DTC Gbps per sat (revenue calibration)",Assumptions!$A$1:$A$257,0))*K$21, 0)</f>
        <v>0.270856418185079</v>
      </c>
      <c r="L130" s="77">
        <f ca="1">IFERROR(L$110*INDEX(Assumptions!$B:$B,MATCH("Effective DTC Gbps per sat (revenue calibration)",Assumptions!$A$1:$A$257,0))*L$21/1000000*(1-(L$87+L$75+L$76)/L$65) - INDEX(Assumptions!$B:$B,MATCH("Bandwidth/peering cost per Gbps ($mm/Gbps-yr)",Assumptions!$A$1:$A$257,0))*INDEX(Assumptions!$B:$B,MATCH("Effective DTC Gbps per sat (revenue calibration)",Assumptions!$A$1:$A$257,0))*L$21, 0)</f>
        <v>0.2329435552943854</v>
      </c>
      <c r="M130" s="77">
        <f ca="1">IFERROR(M$110*INDEX(Assumptions!$B:$B,MATCH("Effective DTC Gbps per sat (revenue calibration)",Assumptions!$A$1:$A$257,0))*M$21/1000000*(1-(M$87+M$75+M$76)/M$65) - INDEX(Assumptions!$B:$B,MATCH("Bandwidth/peering cost per Gbps ($mm/Gbps-yr)",Assumptions!$A$1:$A$257,0))*INDEX(Assumptions!$B:$B,MATCH("Effective DTC Gbps per sat (revenue calibration)",Assumptions!$A$1:$A$257,0))*M$21, 0)</f>
        <v>0.18629648389558667</v>
      </c>
      <c r="N130" s="77">
        <f ca="1">IFERROR(N$110*INDEX(Assumptions!$B:$B,MATCH("Effective DTC Gbps per sat (revenue calibration)",Assumptions!$A$1:$A$257,0))*N$21/1000000*(1-(N$87+N$75+N$76)/N$65) - INDEX(Assumptions!$B:$B,MATCH("Bandwidth/peering cost per Gbps ($mm/Gbps-yr)",Assumptions!$A$1:$A$257,0))*INDEX(Assumptions!$B:$B,MATCH("Effective DTC Gbps per sat (revenue calibration)",Assumptions!$A$1:$A$257,0))*N$21, 0)</f>
        <v>0.18020773849996494</v>
      </c>
      <c r="O130" s="77">
        <f ca="1">IFERROR(O$110*INDEX(Assumptions!$B:$B,MATCH("Effective DTC Gbps per sat (revenue calibration)",Assumptions!$A$1:$A$257,0))*O$21/1000000*(1-(O$87+O$75+O$76)/O$65) - INDEX(Assumptions!$B:$B,MATCH("Bandwidth/peering cost per Gbps ($mm/Gbps-yr)",Assumptions!$A$1:$A$257,0))*INDEX(Assumptions!$B:$B,MATCH("Effective DTC Gbps per sat (revenue calibration)",Assumptions!$A$1:$A$257,0))*O$21, 0)</f>
        <v>0.15333622826357182</v>
      </c>
      <c r="P130" s="77">
        <f ca="1">IFERROR(P$110*INDEX(Assumptions!$B:$B,MATCH("Effective DTC Gbps per sat (revenue calibration)",Assumptions!$A$1:$A$257,0))*P$21/1000000*(1-(P$87+P$75+P$76)/P$65) - INDEX(Assumptions!$B:$B,MATCH("Bandwidth/peering cost per Gbps ($mm/Gbps-yr)",Assumptions!$A$1:$A$257,0))*INDEX(Assumptions!$B:$B,MATCH("Effective DTC Gbps per sat (revenue calibration)",Assumptions!$A$1:$A$257,0))*P$21, 0)</f>
        <v>0.16404947749650384</v>
      </c>
      <c r="Q130" s="77">
        <f ca="1">IFERROR(Q$110*INDEX(Assumptions!$B:$B,MATCH("Effective DTC Gbps per sat (revenue calibration)",Assumptions!$A$1:$A$257,0))*Q$21/1000000*(1-(Q$87+Q$75+Q$76)/Q$65) - INDEX(Assumptions!$B:$B,MATCH("Bandwidth/peering cost per Gbps ($mm/Gbps-yr)",Assumptions!$A$1:$A$257,0))*INDEX(Assumptions!$B:$B,MATCH("Effective DTC Gbps per sat (revenue calibration)",Assumptions!$A$1:$A$257,0))*Q$21, 0)</f>
        <v>0.16593781131360844</v>
      </c>
      <c r="R130" s="77">
        <f ca="1">IFERROR(R$110*INDEX(Assumptions!$B:$B,MATCH("Effective DTC Gbps per sat (revenue calibration)",Assumptions!$A$1:$A$257,0))*R$21/1000000*(1-(R$87+R$75+R$76)/R$65) - INDEX(Assumptions!$B:$B,MATCH("Bandwidth/peering cost per Gbps ($mm/Gbps-yr)",Assumptions!$A$1:$A$257,0))*INDEX(Assumptions!$B:$B,MATCH("Effective DTC Gbps per sat (revenue calibration)",Assumptions!$A$1:$A$257,0))*R$21, 0)</f>
        <v>0.19556156598966046</v>
      </c>
      <c r="S130" s="77">
        <f ca="1">IFERROR(S$110*INDEX(Assumptions!$B:$B,MATCH("Effective DTC Gbps per sat (revenue calibration)",Assumptions!$A$1:$A$257,0))*S$21/1000000*(1-(S$87+S$75+S$76)/S$65) - INDEX(Assumptions!$B:$B,MATCH("Bandwidth/peering cost per Gbps ($mm/Gbps-yr)",Assumptions!$A$1:$A$257,0))*INDEX(Assumptions!$B:$B,MATCH("Effective DTC Gbps per sat (revenue calibration)",Assumptions!$A$1:$A$257,0))*S$21, 0)</f>
        <v>0.23860439795654403</v>
      </c>
    </row>
    <row r="131" spans="1:19">
      <c r="A131" s="5" t="s">
        <v>1050</v>
      </c>
      <c r="B131" s="3"/>
      <c r="C131" s="3"/>
      <c r="D131" s="70">
        <f>D$143*INDEX(Assumptions!$B:$B,MATCH("V3 DTC sat mass (kg)",Assumptions!$A$1:$A$257,0))/1000000 + IFERROR(D$14/D204,0) + INDEX(Assumptions!$B:$B,MATCH("Working capital per sat ($mm/sat): ΔWC T0",Assumptions!$A$1:$A$257,0))</f>
        <v>1.3049999999999999</v>
      </c>
      <c r="E131" s="70">
        <f>E$143*INDEX(Assumptions!$B:$B,MATCH("V3 DTC sat mass (kg)",Assumptions!$A$1:$A$257,0))/1000000 + IFERROR(E$14/E204,0) + IFERROR(SUM($D$102:D102)/D142,0) + INDEX(Assumptions!$B:$B,MATCH("Working capital per sat ($mm/sat): ΔWC T0",Assumptions!$A$1:$A$257,0))</f>
        <v>1.3329561584249083</v>
      </c>
      <c r="F131" s="70">
        <f ca="1">F$143*INDEX(Assumptions!$B:$B,MATCH("V3 DTC sat mass (kg)",Assumptions!$A$1:$A$257,0))/1000000 + IFERROR(F$14/F204,0) + IFERROR(SUM($D$102:E102)/E142,0) + INDEX(Assumptions!$B:$B,MATCH("Working capital per sat ($mm/sat): ΔWC T0",Assumptions!$A$1:$A$257,0))</f>
        <v>1.6698542334367585</v>
      </c>
      <c r="G131" s="70">
        <f ca="1">G$143*INDEX(Assumptions!$B:$B,MATCH("V3 DTC sat mass (kg)",Assumptions!$A$1:$A$257,0))/1000000 + IFERROR(G$14/G204,0) + IFERROR(SUM($D$102:F102)/F142,0) + INDEX(Assumptions!$B:$B,MATCH("Working capital per sat ($mm/sat): ΔWC T0",Assumptions!$A$1:$A$257,0))</f>
        <v>1.5893285251246878</v>
      </c>
      <c r="H131" s="70">
        <f ca="1">H$143*INDEX(Assumptions!$B:$B,MATCH("V3 DTC sat mass (kg)",Assumptions!$A$1:$A$257,0))/1000000 + IFERROR(H$14/H204,0) + IFERROR(SUM($D$102:G102)/G142,0) + INDEX(Assumptions!$B:$B,MATCH("Working capital per sat ($mm/sat): ΔWC T0",Assumptions!$A$1:$A$257,0))</f>
        <v>1.4810863071188132</v>
      </c>
      <c r="I131" s="70">
        <f ca="1">I$143*INDEX(Assumptions!$B:$B,MATCH("V3 DTC sat mass (kg)",Assumptions!$A$1:$A$257,0))/1000000 + IFERROR(I$14/I204,0) + IFERROR(SUM($D$102:H102)/H142,0) + INDEX(Assumptions!$B:$B,MATCH("Working capital per sat ($mm/sat): ΔWC T0",Assumptions!$A$1:$A$257,0))</f>
        <v>1.3630977700298692</v>
      </c>
      <c r="J131" s="70">
        <f ca="1">J$143*INDEX(Assumptions!$B:$B,MATCH("V3 DTC sat mass (kg)",Assumptions!$A$1:$A$257,0))/1000000 + IFERROR(J$14/J204,0) + IFERROR(SUM($D$102:I102)/I142,0) + INDEX(Assumptions!$B:$B,MATCH("Working capital per sat ($mm/sat): ΔWC T0",Assumptions!$A$1:$A$257,0))</f>
        <v>1.2770076744242402</v>
      </c>
      <c r="K131" s="70">
        <f ca="1">K$143*INDEX(Assumptions!$B:$B,MATCH("V3 DTC sat mass (kg)",Assumptions!$A$1:$A$257,0))/1000000 + IFERROR(K$14/K204,0) + IFERROR(SUM($D$102:J102)/J142,0) + INDEX(Assumptions!$B:$B,MATCH("Working capital per sat ($mm/sat): ΔWC T0",Assumptions!$A$1:$A$257,0))</f>
        <v>1.2087558006598027</v>
      </c>
      <c r="L131" s="70">
        <f ca="1">L$143*INDEX(Assumptions!$B:$B,MATCH("V3 DTC sat mass (kg)",Assumptions!$A$1:$A$257,0))/1000000 + IFERROR(L$14/L204,0) + IFERROR(SUM($D$102:K102)/K142,0) + INDEX(Assumptions!$B:$B,MATCH("Working capital per sat ($mm/sat): ΔWC T0",Assumptions!$A$1:$A$257,0))</f>
        <v>1.1617272065703264</v>
      </c>
      <c r="M131" s="70">
        <f ca="1">M$143*INDEX(Assumptions!$B:$B,MATCH("V3 DTC sat mass (kg)",Assumptions!$A$1:$A$257,0))/1000000 + IFERROR(M$14/M204,0) + IFERROR(SUM($D$102:L102)/L142,0) + INDEX(Assumptions!$B:$B,MATCH("Working capital per sat ($mm/sat): ΔWC T0",Assumptions!$A$1:$A$257,0))</f>
        <v>1.137399321721591</v>
      </c>
      <c r="N131" s="70">
        <f ca="1">N$143*INDEX(Assumptions!$B:$B,MATCH("V3 DTC sat mass (kg)",Assumptions!$A$1:$A$257,0))/1000000 + IFERROR(N$14/N204,0) + IFERROR(SUM($D$102:M102)/M142,0) + INDEX(Assumptions!$B:$B,MATCH("Working capital per sat ($mm/sat): ΔWC T0",Assumptions!$A$1:$A$257,0))</f>
        <v>1.1028431858335133</v>
      </c>
      <c r="O131" s="70">
        <f ca="1">O$143*INDEX(Assumptions!$B:$B,MATCH("V3 DTC sat mass (kg)",Assumptions!$A$1:$A$257,0))/1000000 + IFERROR(O$14/O204,0) + IFERROR(SUM($D$102:N102)/N142,0) + INDEX(Assumptions!$B:$B,MATCH("Working capital per sat ($mm/sat): ΔWC T0",Assumptions!$A$1:$A$257,0))</f>
        <v>1.0761869011123728</v>
      </c>
      <c r="P131" s="70">
        <f ca="1">P$143*INDEX(Assumptions!$B:$B,MATCH("V3 DTC sat mass (kg)",Assumptions!$A$1:$A$257,0))/1000000 + IFERROR(P$14/P204,0) + IFERROR(SUM($D$102:O102)/O142,0) + INDEX(Assumptions!$B:$B,MATCH("Working capital per sat ($mm/sat): ΔWC T0",Assumptions!$A$1:$A$257,0))</f>
        <v>1.0497318344111062</v>
      </c>
      <c r="Q131" s="70">
        <f ca="1">Q$143*INDEX(Assumptions!$B:$B,MATCH("V3 DTC sat mass (kg)",Assumptions!$A$1:$A$257,0))/1000000 + IFERROR(Q$14/Q204,0) + IFERROR(SUM($D$102:P102)/P142,0) + INDEX(Assumptions!$B:$B,MATCH("Working capital per sat ($mm/sat): ΔWC T0",Assumptions!$A$1:$A$257,0))</f>
        <v>1.0259429391840549</v>
      </c>
      <c r="R131" s="70">
        <f ca="1">R$143*INDEX(Assumptions!$B:$B,MATCH("V3 DTC sat mass (kg)",Assumptions!$A$1:$A$257,0))/1000000 + IFERROR(R$14/R204,0) + IFERROR(SUM($D$102:Q102)/Q142,0) + INDEX(Assumptions!$B:$B,MATCH("Working capital per sat ($mm/sat): ΔWC T0",Assumptions!$A$1:$A$257,0))</f>
        <v>1.0102255265380047</v>
      </c>
      <c r="S131" s="70">
        <f ca="1">S$143*INDEX(Assumptions!$B:$B,MATCH("V3 DTC sat mass (kg)",Assumptions!$A$1:$A$257,0))/1000000 + IFERROR(S$14/S204,0) + IFERROR(SUM($D$102:R102)/R142,0) + INDEX(Assumptions!$B:$B,MATCH("Working capital per sat ($mm/sat): ΔWC T0",Assumptions!$A$1:$A$257,0))</f>
        <v>0.9991378600437274</v>
      </c>
    </row>
    <row r="132" spans="1:19">
      <c r="A132" s="82" t="s">
        <v>1051</v>
      </c>
      <c r="B132" s="3"/>
      <c r="C132" s="3"/>
      <c r="D132" s="91">
        <f t="shared" ref="D132:S132" si="28">IFERROR(MIN(3, IFERROR(RATE(D$15,D130,-D131,0,0,0.1), IFERROR(RATE(D$15,D130,-D131,0,0,0.5), RATE(D$15,D130,-D131,0,0,1.5)))), IF(D130*D$15&gt;D131,3,0))</f>
        <v>0.32656215127411276</v>
      </c>
      <c r="E132" s="91">
        <f t="shared" ca="1" si="28"/>
        <v>0.45307174153147606</v>
      </c>
      <c r="F132" s="91">
        <f t="shared" ca="1" si="28"/>
        <v>0.43999192904160395</v>
      </c>
      <c r="G132" s="91">
        <f t="shared" ca="1" si="28"/>
        <v>0.59535287835575912</v>
      </c>
      <c r="H132" s="91">
        <f t="shared" ca="1" si="28"/>
        <v>0.78373399879397398</v>
      </c>
      <c r="I132" s="91">
        <f t="shared" ca="1" si="28"/>
        <v>0.2652043896434213</v>
      </c>
      <c r="J132" s="91">
        <f t="shared" ca="1" si="28"/>
        <v>0.16237988482038906</v>
      </c>
      <c r="K132" s="91">
        <f t="shared" ca="1" si="28"/>
        <v>3.9130461837369471E-2</v>
      </c>
      <c r="L132" s="91">
        <f t="shared" ca="1" si="28"/>
        <v>8.5759141015267506E-4</v>
      </c>
      <c r="M132" s="91">
        <f t="shared" ca="1" si="28"/>
        <v>-6.3082573864747332E-2</v>
      </c>
      <c r="N132" s="91">
        <f t="shared" ca="1" si="28"/>
        <v>-6.3793427816821749E-2</v>
      </c>
      <c r="O132" s="91">
        <f t="shared" ca="1" si="28"/>
        <v>-0.10334146188900306</v>
      </c>
      <c r="P132" s="91">
        <f t="shared" ca="1" si="28"/>
        <v>-7.6969216847658908E-2</v>
      </c>
      <c r="Q132" s="91">
        <f t="shared" ca="1" si="28"/>
        <v>-6.683996254975956E-2</v>
      </c>
      <c r="R132" s="91">
        <f t="shared" ca="1" si="28"/>
        <v>-1.0774328043194571E-2</v>
      </c>
      <c r="S132" s="91">
        <f t="shared" ca="1" si="28"/>
        <v>6.2186615680033301E-2</v>
      </c>
    </row>
    <row r="133" spans="1:19">
      <c r="A133" s="3"/>
      <c r="B133" s="3"/>
      <c r="C133" s="3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</row>
    <row r="134" spans="1:19">
      <c r="A134" s="94"/>
      <c r="B134" s="3"/>
      <c r="C134" s="3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</row>
    <row r="135" spans="1:19">
      <c r="A135" s="5" t="s">
        <v>1052</v>
      </c>
      <c r="B135" s="3"/>
      <c r="C135" s="3"/>
      <c r="D135" s="70">
        <f>INDEX(Assumptions!$B:$B,MATCH("Pre-2025 active Starshield installed base (sats)",Assumptions!$A$1:$A$257,0)) + D36</f>
        <v>460.79999999999995</v>
      </c>
      <c r="E135" s="70">
        <f>INDEX(Assumptions!$B:$B,MATCH("Pre-2025 active Starshield installed base (sats)",Assumptions!$A$1:$A$257,0)) + E36</f>
        <v>460.79999999999995</v>
      </c>
      <c r="F135" s="70">
        <f>INDEX(Assumptions!$B:$B,MATCH("Pre-2025 active Starshield installed base (sats)",Assumptions!$A$1:$A$257,0)) + F36</f>
        <v>460.79999999999995</v>
      </c>
      <c r="G135" s="70">
        <f>INDEX(Assumptions!$B:$B,MATCH("Pre-2025 active Starshield installed base (sats)",Assumptions!$A$1:$A$257,0)) + G36</f>
        <v>460.79999999999995</v>
      </c>
      <c r="H135" s="70">
        <f>INDEX(Assumptions!$B:$B,MATCH("Pre-2025 active Starshield installed base (sats)",Assumptions!$A$1:$A$257,0)) + H36</f>
        <v>460.79999999999995</v>
      </c>
      <c r="I135" s="70">
        <f>INDEX(Assumptions!$B:$B,MATCH("Pre-2025 active Starshield installed base (sats)",Assumptions!$A$1:$A$257,0)) + I36</f>
        <v>460.79999999999995</v>
      </c>
      <c r="J135" s="70">
        <f>INDEX(Assumptions!$B:$B,MATCH("Pre-2025 active Starshield installed base (sats)",Assumptions!$A$1:$A$257,0)) + J36</f>
        <v>460.79999999999995</v>
      </c>
      <c r="K135" s="70">
        <f>INDEX(Assumptions!$B:$B,MATCH("Pre-2025 active Starshield installed base (sats)",Assumptions!$A$1:$A$257,0)) + K36</f>
        <v>460.79999999999995</v>
      </c>
      <c r="L135" s="70">
        <f>INDEX(Assumptions!$B:$B,MATCH("Pre-2025 active Starshield installed base (sats)",Assumptions!$A$1:$A$257,0)) + L36</f>
        <v>460.79999999999995</v>
      </c>
      <c r="M135" s="70">
        <f>INDEX(Assumptions!$B:$B,MATCH("Pre-2025 active Starshield installed base (sats)",Assumptions!$A$1:$A$257,0)) + M36</f>
        <v>460.79999999999995</v>
      </c>
      <c r="N135" s="70">
        <f>INDEX(Assumptions!$B:$B,MATCH("Pre-2025 active Starshield installed base (sats)",Assumptions!$A$1:$A$257,0)) + N36</f>
        <v>460.79999999999995</v>
      </c>
      <c r="O135" s="70">
        <f>INDEX(Assumptions!$B:$B,MATCH("Pre-2025 active Starshield installed base (sats)",Assumptions!$A$1:$A$257,0)) + O36</f>
        <v>460.79999999999995</v>
      </c>
      <c r="P135" s="70">
        <f>INDEX(Assumptions!$B:$B,MATCH("Pre-2025 active Starshield installed base (sats)",Assumptions!$A$1:$A$257,0)) + P36</f>
        <v>460.79999999999995</v>
      </c>
      <c r="Q135" s="70">
        <f>INDEX(Assumptions!$B:$B,MATCH("Pre-2025 active Starshield installed base (sats)",Assumptions!$A$1:$A$257,0)) + Q36</f>
        <v>460.79999999999995</v>
      </c>
      <c r="R135" s="70">
        <f>INDEX(Assumptions!$B:$B,MATCH("Pre-2025 active Starshield installed base (sats)",Assumptions!$A$1:$A$257,0)) + R36</f>
        <v>460.79999999999995</v>
      </c>
      <c r="S135" s="70">
        <f>INDEX(Assumptions!$B:$B,MATCH("Pre-2025 active Starshield installed base (sats)",Assumptions!$A$1:$A$257,0)) + S36</f>
        <v>460.79999999999995</v>
      </c>
    </row>
    <row r="136" spans="1:19">
      <c r="A136" s="82" t="s">
        <v>1053</v>
      </c>
      <c r="B136" s="3"/>
      <c r="C136" s="3"/>
      <c r="D136" s="23">
        <f t="shared" ref="D136:S136" si="29">IFERROR(D$63/D$135*(1-(D$87+D$75+D$76)/D$65),0)</f>
        <v>4.5700272020711479</v>
      </c>
      <c r="E136" s="23">
        <f t="shared" ca="1" si="29"/>
        <v>4.976912314204168</v>
      </c>
      <c r="F136" s="23">
        <f t="shared" ca="1" si="29"/>
        <v>5.4201465709827295</v>
      </c>
      <c r="G136" s="23">
        <f t="shared" ca="1" si="29"/>
        <v>5.8901392570717483</v>
      </c>
      <c r="H136" s="23">
        <f t="shared" ca="1" si="29"/>
        <v>6.3995697039694663</v>
      </c>
      <c r="I136" s="23">
        <f t="shared" ca="1" si="29"/>
        <v>6.938531751129581</v>
      </c>
      <c r="J136" s="23">
        <f t="shared" ca="1" si="29"/>
        <v>7.5046820452210827</v>
      </c>
      <c r="K136" s="23">
        <f t="shared" ca="1" si="29"/>
        <v>8.1002520610778763</v>
      </c>
      <c r="L136" s="23">
        <f t="shared" ca="1" si="29"/>
        <v>8.7451146861955174</v>
      </c>
      <c r="M136" s="23">
        <f t="shared" ca="1" si="29"/>
        <v>9.4423092093287107</v>
      </c>
      <c r="N136" s="23">
        <f t="shared" ca="1" si="29"/>
        <v>10.201724511101055</v>
      </c>
      <c r="O136" s="23">
        <f t="shared" ca="1" si="29"/>
        <v>11.017735175987363</v>
      </c>
      <c r="P136" s="23">
        <f t="shared" ca="1" si="29"/>
        <v>11.896286221142242</v>
      </c>
      <c r="Q136" s="23">
        <f t="shared" ca="1" si="29"/>
        <v>12.84686190346158</v>
      </c>
      <c r="R136" s="23">
        <f t="shared" ca="1" si="29"/>
        <v>13.872034672349976</v>
      </c>
      <c r="S136" s="23">
        <f t="shared" ca="1" si="29"/>
        <v>14.980161015372072</v>
      </c>
    </row>
    <row r="137" spans="1:19">
      <c r="A137" s="5" t="s">
        <v>1054</v>
      </c>
      <c r="B137" s="3"/>
      <c r="C137" s="3"/>
      <c r="D137" s="70">
        <f>D$143*INDEX(Assumptions!$B:$B,MATCH("Starshield sat mass (kg)",Assumptions!$A$1:$A$257,0))/1000000 + IFERROR(D$13/INDEX(Assumptions!$B:$B,MATCH("F9 sats per launch (V2 packing)",Assumptions!$A$1:$A$257,0)),0) + INDEX(Assumptions!$B:$B,MATCH("Working capital per sat ($mm/sat): ΔWC T0",Assumptions!$A$1:$A$257,0))</f>
        <v>1.2942307692307691</v>
      </c>
      <c r="E137" s="70">
        <f>E$143*INDEX(Assumptions!$B:$B,MATCH("Starshield sat mass (kg)",Assumptions!$A$1:$A$257,0))/1000000 + IFERROR(E$13/INDEX(Assumptions!$B:$B,MATCH("F9 sats per launch (V2 packing)",Assumptions!$A$1:$A$257,0)),0) + IFERROR(SUM($D$102:D102)/D142,0) + INDEX(Assumptions!$B:$B,MATCH("Working capital per sat ($mm/sat): ΔWC T0",Assumptions!$A$1:$A$257,0))</f>
        <v>1.3068023122710621</v>
      </c>
      <c r="F137" s="70">
        <f ca="1">F$143*INDEX(Assumptions!$B:$B,MATCH("Starshield sat mass (kg)",Assumptions!$A$1:$A$257,0))/1000000 + IFERROR(F$13/INDEX(Assumptions!$B:$B,MATCH("F9 sats per launch (V2 packing)",Assumptions!$A$1:$A$257,0)),0) + IFERROR(SUM($D$102:E102)/E142,0) + INDEX(Assumptions!$B:$B,MATCH("Working capital per sat ($mm/sat): ΔWC T0",Assumptions!$A$1:$A$257,0))</f>
        <v>1.2775904655455965</v>
      </c>
      <c r="G137" s="70">
        <f ca="1">G$143*INDEX(Assumptions!$B:$B,MATCH("Starshield sat mass (kg)",Assumptions!$A$1:$A$257,0))/1000000 + IFERROR(G$13/INDEX(Assumptions!$B:$B,MATCH("F9 sats per launch (V2 packing)",Assumptions!$A$1:$A$257,0)),0) + IFERROR(SUM($D$102:F102)/F142,0) + INDEX(Assumptions!$B:$B,MATCH("Working capital per sat ($mm/sat): ΔWC T0",Assumptions!$A$1:$A$257,0))</f>
        <v>1.2845108068361433</v>
      </c>
      <c r="H137" s="70">
        <f ca="1">H$143*INDEX(Assumptions!$B:$B,MATCH("Starshield sat mass (kg)",Assumptions!$A$1:$A$257,0))/1000000 + IFERROR(H$13/INDEX(Assumptions!$B:$B,MATCH("F9 sats per launch (V2 packing)",Assumptions!$A$1:$A$257,0)),0) + IFERROR(SUM($D$102:G102)/G142,0) + INDEX(Assumptions!$B:$B,MATCH("Working capital per sat ($mm/sat): ΔWC T0",Assumptions!$A$1:$A$257,0))</f>
        <v>1.2579862822601047</v>
      </c>
      <c r="I137" s="70">
        <f ca="1">I$143*INDEX(Assumptions!$B:$B,MATCH("Starshield sat mass (kg)",Assumptions!$A$1:$A$257,0))/1000000 + IFERROR(I$13/INDEX(Assumptions!$B:$B,MATCH("F9 sats per launch (V2 packing)",Assumptions!$A$1:$A$257,0)),0) + IFERROR(SUM($D$102:H102)/H142,0) + INDEX(Assumptions!$B:$B,MATCH("Working capital per sat ($mm/sat): ΔWC T0",Assumptions!$A$1:$A$257,0))</f>
        <v>1.2161031922036021</v>
      </c>
      <c r="J137" s="70">
        <f ca="1">J$143*INDEX(Assumptions!$B:$B,MATCH("Starshield sat mass (kg)",Assumptions!$A$1:$A$257,0))/1000000 + IFERROR(J$13/INDEX(Assumptions!$B:$B,MATCH("F9 sats per launch (V2 packing)",Assumptions!$A$1:$A$257,0)),0) + IFERROR(SUM($D$102:I102)/I142,0) + INDEX(Assumptions!$B:$B,MATCH("Working capital per sat ($mm/sat): ΔWC T0",Assumptions!$A$1:$A$257,0))</f>
        <v>1.1654726650866785</v>
      </c>
      <c r="K137" s="70">
        <f ca="1">K$143*INDEX(Assumptions!$B:$B,MATCH("Starshield sat mass (kg)",Assumptions!$A$1:$A$257,0))/1000000 + IFERROR(K$13/INDEX(Assumptions!$B:$B,MATCH("F9 sats per launch (V2 packing)",Assumptions!$A$1:$A$257,0)),0) + IFERROR(SUM($D$102:J102)/J142,0) + INDEX(Assumptions!$B:$B,MATCH("Working capital per sat ($mm/sat): ΔWC T0",Assumptions!$A$1:$A$257,0))</f>
        <v>1.1174767897046114</v>
      </c>
      <c r="L137" s="70">
        <f ca="1">L$143*INDEX(Assumptions!$B:$B,MATCH("Starshield sat mass (kg)",Assumptions!$A$1:$A$257,0))/1000000 + IFERROR(L$13/INDEX(Assumptions!$B:$B,MATCH("F9 sats per launch (V2 packing)",Assumptions!$A$1:$A$257,0)),0) + IFERROR(SUM($D$102:K102)/K142,0) + INDEX(Assumptions!$B:$B,MATCH("Working capital per sat ($mm/sat): ΔWC T0",Assumptions!$A$1:$A$257,0))</f>
        <v>1.0854254550763944</v>
      </c>
      <c r="M137" s="70">
        <f ca="1">M$143*INDEX(Assumptions!$B:$B,MATCH("Starshield sat mass (kg)",Assumptions!$A$1:$A$257,0))/1000000 + IFERROR(M$13/INDEX(Assumptions!$B:$B,MATCH("F9 sats per launch (V2 packing)",Assumptions!$A$1:$A$257,0)),0) + IFERROR(SUM($D$102:L102)/L142,0) + INDEX(Assumptions!$B:$B,MATCH("Working capital per sat ($mm/sat): ΔWC T0",Assumptions!$A$1:$A$257,0))</f>
        <v>1.0650623544625613</v>
      </c>
      <c r="N137" s="70">
        <f ca="1">N$143*INDEX(Assumptions!$B:$B,MATCH("Starshield sat mass (kg)",Assumptions!$A$1:$A$257,0))/1000000 + IFERROR(N$13/INDEX(Assumptions!$B:$B,MATCH("F9 sats per launch (V2 packing)",Assumptions!$A$1:$A$257,0)),0) + IFERROR(SUM($D$102:M102)/M142,0) + INDEX(Assumptions!$B:$B,MATCH("Working capital per sat ($mm/sat): ΔWC T0",Assumptions!$A$1:$A$257,0))</f>
        <v>1.0386076396392858</v>
      </c>
      <c r="O137" s="70">
        <f ca="1">O$143*INDEX(Assumptions!$B:$B,MATCH("Starshield sat mass (kg)",Assumptions!$A$1:$A$257,0))/1000000 + IFERROR(O$13/INDEX(Assumptions!$B:$B,MATCH("F9 sats per launch (V2 packing)",Assumptions!$A$1:$A$257,0)),0) + IFERROR(SUM($D$102:N102)/N142,0) + INDEX(Assumptions!$B:$B,MATCH("Working capital per sat ($mm/sat): ΔWC T0",Assumptions!$A$1:$A$257,0))</f>
        <v>1.0201501873655094</v>
      </c>
      <c r="P137" s="70">
        <f ca="1">P$143*INDEX(Assumptions!$B:$B,MATCH("Starshield sat mass (kg)",Assumptions!$A$1:$A$257,0))/1000000 + IFERROR(P$13/INDEX(Assumptions!$B:$B,MATCH("F9 sats per launch (V2 packing)",Assumptions!$A$1:$A$257,0)),0) + IFERROR(SUM($D$102:O102)/O142,0) + INDEX(Assumptions!$B:$B,MATCH("Working capital per sat ($mm/sat): ΔWC T0",Assumptions!$A$1:$A$257,0))</f>
        <v>1.0028147205173581</v>
      </c>
      <c r="Q137" s="70">
        <f ca="1">Q$143*INDEX(Assumptions!$B:$B,MATCH("Starshield sat mass (kg)",Assumptions!$A$1:$A$257,0))/1000000 + IFERROR(Q$13/INDEX(Assumptions!$B:$B,MATCH("F9 sats per launch (V2 packing)",Assumptions!$A$1:$A$257,0)),0) + IFERROR(SUM($D$102:P102)/P142,0) + INDEX(Assumptions!$B:$B,MATCH("Working capital per sat ($mm/sat): ΔWC T0",Assumptions!$A$1:$A$257,0))</f>
        <v>0.9819228867195221</v>
      </c>
      <c r="R137" s="70">
        <f ca="1">R$143*INDEX(Assumptions!$B:$B,MATCH("Starshield sat mass (kg)",Assumptions!$A$1:$A$257,0))/1000000 + IFERROR(R$13/INDEX(Assumptions!$B:$B,MATCH("F9 sats per launch (V2 packing)",Assumptions!$A$1:$A$257,0)),0) + IFERROR(SUM($D$102:Q102)/Q142,0) + INDEX(Assumptions!$B:$B,MATCH("Working capital per sat ($mm/sat): ΔWC T0",Assumptions!$A$1:$A$257,0))</f>
        <v>0.96569741077336635</v>
      </c>
      <c r="S137" s="70">
        <f ca="1">S$143*INDEX(Assumptions!$B:$B,MATCH("Starshield sat mass (kg)",Assumptions!$A$1:$A$257,0))/1000000 + IFERROR(S$13/INDEX(Assumptions!$B:$B,MATCH("F9 sats per launch (V2 packing)",Assumptions!$A$1:$A$257,0)),0) + IFERROR(SUM($D$102:R102)/R142,0) + INDEX(Assumptions!$B:$B,MATCH("Working capital per sat ($mm/sat): ΔWC T0",Assumptions!$A$1:$A$257,0))</f>
        <v>0.95204902891446253</v>
      </c>
    </row>
    <row r="138" spans="1:19">
      <c r="A138" s="94"/>
      <c r="B138" s="3"/>
      <c r="C138" s="3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82" t="s">
        <v>1055</v>
      </c>
      <c r="B140" s="3"/>
      <c r="C140" s="3"/>
      <c r="D140" s="91">
        <f t="shared" ref="D140:S140" si="30">IFERROR((D$61*((D$47*D$114+D$48*D$126)/MAX(1,D$47+D$48))+D$62*((D$54*D$120+D$55*D$132)/MAX(0.0001,D$54+D$55)))/(D$61+D$62),0)</f>
        <v>0.46924224407146692</v>
      </c>
      <c r="E140" s="91">
        <f t="shared" ca="1" si="30"/>
        <v>0.40646070985146027</v>
      </c>
      <c r="F140" s="91">
        <f t="shared" ca="1" si="30"/>
        <v>1.7115714151522643</v>
      </c>
      <c r="G140" s="91">
        <f t="shared" ca="1" si="30"/>
        <v>1.2169838634329504</v>
      </c>
      <c r="H140" s="91">
        <f t="shared" ca="1" si="30"/>
        <v>0.50560740936462445</v>
      </c>
      <c r="I140" s="91">
        <f t="shared" ca="1" si="30"/>
        <v>0.30693051536254601</v>
      </c>
      <c r="J140" s="91">
        <f t="shared" ca="1" si="30"/>
        <v>-0.12983916955673469</v>
      </c>
      <c r="K140" s="91">
        <f t="shared" ca="1" si="30"/>
        <v>-0.36332260610111483</v>
      </c>
      <c r="L140" s="91">
        <f t="shared" ca="1" si="30"/>
        <v>-0.15248568999975054</v>
      </c>
      <c r="M140" s="91">
        <f t="shared" ca="1" si="30"/>
        <v>-8.1240188014213247E-2</v>
      </c>
      <c r="N140" s="91">
        <f t="shared" ca="1" si="30"/>
        <v>-1.1283854287918503E-2</v>
      </c>
      <c r="O140" s="91">
        <f t="shared" ca="1" si="30"/>
        <v>-1.7456531440873932E-2</v>
      </c>
      <c r="P140" s="91">
        <f t="shared" ca="1" si="30"/>
        <v>-1.2705828125457811E-2</v>
      </c>
      <c r="Q140" s="91">
        <f t="shared" ca="1" si="30"/>
        <v>-1.0881560638109361E-2</v>
      </c>
      <c r="R140" s="91">
        <f t="shared" ca="1" si="30"/>
        <v>-1.7602545445938702E-3</v>
      </c>
      <c r="S140" s="91">
        <f t="shared" ca="1" si="30"/>
        <v>1.0307447699183471E-2</v>
      </c>
    </row>
    <row r="141" spans="1:19">
      <c r="A141" s="94"/>
      <c r="B141" s="3"/>
      <c r="C141" s="3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</row>
    <row r="142" spans="1:19">
      <c r="A142" s="82" t="s">
        <v>1056</v>
      </c>
      <c r="B142" s="3"/>
      <c r="C142" s="3"/>
      <c r="D142" s="83">
        <f>D31</f>
        <v>3840</v>
      </c>
      <c r="E142" s="83">
        <f t="shared" ref="E142:S142" ca="1" si="31">D142+E31</f>
        <v>6960</v>
      </c>
      <c r="F142" s="83">
        <f t="shared" ca="1" si="31"/>
        <v>10878.735300489992</v>
      </c>
      <c r="G142" s="83">
        <f t="shared" ca="1" si="31"/>
        <v>20376.115264663309</v>
      </c>
      <c r="H142" s="83">
        <f t="shared" ca="1" si="31"/>
        <v>47399.619458671383</v>
      </c>
      <c r="I142" s="83">
        <f t="shared" ca="1" si="31"/>
        <v>97739.138979480689</v>
      </c>
      <c r="J142" s="83">
        <f t="shared" ca="1" si="31"/>
        <v>151339.77177097424</v>
      </c>
      <c r="K142" s="83">
        <f t="shared" ca="1" si="31"/>
        <v>214686.00590641965</v>
      </c>
      <c r="L142" s="83">
        <f t="shared" ca="1" si="31"/>
        <v>240890.38845394482</v>
      </c>
      <c r="M142" s="83">
        <f t="shared" ca="1" si="31"/>
        <v>303631.74561541399</v>
      </c>
      <c r="N142" s="83">
        <f t="shared" ca="1" si="31"/>
        <v>391439.40805770305</v>
      </c>
      <c r="O142" s="83">
        <f t="shared" ca="1" si="31"/>
        <v>526042.49291012809</v>
      </c>
      <c r="P142" s="83">
        <f t="shared" ca="1" si="31"/>
        <v>615870.43600522983</v>
      </c>
      <c r="Q142" s="83">
        <f t="shared" ca="1" si="31"/>
        <v>670277.48684409249</v>
      </c>
      <c r="R142" s="83">
        <f t="shared" ca="1" si="31"/>
        <v>699223.01690044079</v>
      </c>
      <c r="S142" s="83">
        <f t="shared" ca="1" si="31"/>
        <v>732820.01073840179</v>
      </c>
    </row>
    <row r="143" spans="1:19">
      <c r="A143" s="5" t="s">
        <v>1057</v>
      </c>
      <c r="B143" s="3"/>
      <c r="C143" s="3"/>
      <c r="D143" s="70">
        <f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rate",Assumptions!$A$1:$A$257,0)))^IFERROR(LOG(MAX(1,D142/$D$142),2),0))</f>
        <v>650</v>
      </c>
      <c r="E143" s="70">
        <f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rate",Assumptions!$A$1:$A$257,0)))^IFERROR(LOG(MAX(1,D142/$D$142),2),0))</f>
        <v>650</v>
      </c>
      <c r="F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rate",Assumptions!$A$1:$A$257,0)))^IFERROR(LOG(MAX(1,E142/$D$142),2),0))</f>
        <v>622.01467837083999</v>
      </c>
      <c r="G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rate",Assumptions!$A$1:$A$257,0)))^IFERROR(LOG(MAX(1,F142/$D$142),2),0))</f>
        <v>601.79254301823164</v>
      </c>
      <c r="H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rate",Assumptions!$A$1:$A$257,0)))^IFERROR(LOG(MAX(1,G142/$D$142),2),0))</f>
        <v>574.48469504509239</v>
      </c>
      <c r="I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rate",Assumptions!$A$1:$A$257,0)))^IFERROR(LOG(MAX(1,H142/$D$142),2),0))</f>
        <v>539.69189177829946</v>
      </c>
      <c r="J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rate",Assumptions!$A$1:$A$257,0)))^IFERROR(LOG(MAX(1,I142/$D$142),2),0))</f>
        <v>511.54987188386548</v>
      </c>
      <c r="K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rate",Assumptions!$A$1:$A$257,0)))^IFERROR(LOG(MAX(1,J142/$D$142),2),0))</f>
        <v>495.26360205240292</v>
      </c>
      <c r="L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rate",Assumptions!$A$1:$A$257,0)))^IFERROR(LOG(MAX(1,K142/$D$142),2),0))</f>
        <v>482.61339840084077</v>
      </c>
      <c r="M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rate",Assumptions!$A$1:$A$257,0)))^IFERROR(LOG(MAX(1,L142/$D$142),2),0))</f>
        <v>478.51789233005309</v>
      </c>
      <c r="N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rate",Assumptions!$A$1:$A$257,0)))^IFERROR(LOG(MAX(1,M142/$D$142),2),0))</f>
        <v>470.39107454024872</v>
      </c>
      <c r="O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rate",Assumptions!$A$1:$A$257,0)))^IFERROR(LOG(MAX(1,N142/$D$142),2),0))</f>
        <v>461.63159282230203</v>
      </c>
      <c r="P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rate",Assumptions!$A$1:$A$257,0)))^IFERROR(LOG(MAX(1,O142/$D$142),2),0))</f>
        <v>451.64487207640519</v>
      </c>
      <c r="Q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rate",Assumptions!$A$1:$A$257,0)))^IFERROR(LOG(MAX(1,P142/$D$142),2),0))</f>
        <v>446.40635922501713</v>
      </c>
      <c r="R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rate",Assumptions!$A$1:$A$257,0)))^IFERROR(LOG(MAX(1,Q142/$D$142),2),0))</f>
        <v>443.61857340140591</v>
      </c>
      <c r="S143" s="70">
        <f ca="1">MAX(INDEX(Assumptions!$B:$B,MATCH("Satellite cost floor ($/kg)",Assumptions!$A$1:$A$257,0)), INDEX(Assumptions!$B:$B,MATCH("Satellite cost per kg: base year ($/kg)",Assumptions!$A$1:$A$257,0))*(1-INDEX(Assumptions!$B:$B,MATCH("Satellite cost per kg: learning rate",Assumptions!$A$1:$A$257,0)))^IFERROR(LOG(MAX(1,R142/$D$142),2),0))</f>
        <v>442.23284010207334</v>
      </c>
    </row>
    <row r="144" spans="1:19">
      <c r="A144" s="13" t="s">
        <v>1058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>
      <c r="A145" s="82" t="s">
        <v>1000</v>
      </c>
      <c r="B145" s="3"/>
      <c r="C145" s="3"/>
      <c r="D145" s="90">
        <f>IF($D$5=0,Assumptions!$B$497,D65)</f>
        <v>11387</v>
      </c>
      <c r="E145" s="90">
        <f t="shared" ref="E145:S145" ca="1" si="32">E65</f>
        <v>14475.106234106988</v>
      </c>
      <c r="F145" s="90">
        <f t="shared" ca="1" si="32"/>
        <v>55338.596743838403</v>
      </c>
      <c r="G145" s="90">
        <f t="shared" ca="1" si="32"/>
        <v>109323.47623794759</v>
      </c>
      <c r="H145" s="90">
        <f t="shared" ca="1" si="32"/>
        <v>190403.45159617718</v>
      </c>
      <c r="I145" s="90">
        <f t="shared" ca="1" si="32"/>
        <v>239511.70228438367</v>
      </c>
      <c r="J145" s="90">
        <f t="shared" ca="1" si="32"/>
        <v>286754.23880448355</v>
      </c>
      <c r="K145" s="90">
        <f t="shared" ca="1" si="32"/>
        <v>305862.28548387572</v>
      </c>
      <c r="L145" s="90">
        <f t="shared" ca="1" si="32"/>
        <v>305189.84832674917</v>
      </c>
      <c r="M145" s="90">
        <f t="shared" ca="1" si="32"/>
        <v>308216.54693581327</v>
      </c>
      <c r="N145" s="90">
        <f t="shared" ca="1" si="32"/>
        <v>337933.87097962602</v>
      </c>
      <c r="O145" s="90">
        <f t="shared" ca="1" si="32"/>
        <v>362502.95661672397</v>
      </c>
      <c r="P145" s="90">
        <f t="shared" ca="1" si="32"/>
        <v>375846.90635252785</v>
      </c>
      <c r="Q145" s="90">
        <f t="shared" ca="1" si="32"/>
        <v>389002.48852865206</v>
      </c>
      <c r="R145" s="90">
        <f t="shared" ca="1" si="32"/>
        <v>393852.26312246895</v>
      </c>
      <c r="S145" s="90">
        <f t="shared" ca="1" si="32"/>
        <v>395878.00630625436</v>
      </c>
    </row>
    <row r="146" spans="1:19">
      <c r="A146" s="78" t="s">
        <v>1059</v>
      </c>
      <c r="B146" s="78"/>
      <c r="C146" s="78"/>
      <c r="D146" s="84">
        <f>IF($D$5=0,Assumptions!$B$498,D78)</f>
        <v>5921</v>
      </c>
      <c r="E146" s="84">
        <f t="shared" ref="E146:S146" ca="1" si="33">E78</f>
        <v>4646.4787159166008</v>
      </c>
      <c r="F146" s="84">
        <f t="shared" ca="1" si="33"/>
        <v>19308.552370473164</v>
      </c>
      <c r="G146" s="84">
        <f t="shared" ca="1" si="33"/>
        <v>34289.054445362177</v>
      </c>
      <c r="H146" s="84">
        <f t="shared" ca="1" si="33"/>
        <v>55557.645353542015</v>
      </c>
      <c r="I146" s="84">
        <f t="shared" ca="1" si="33"/>
        <v>46865.913723047131</v>
      </c>
      <c r="J146" s="84">
        <f t="shared" ca="1" si="33"/>
        <v>55858.16693740357</v>
      </c>
      <c r="K146" s="84">
        <f t="shared" ca="1" si="33"/>
        <v>49751.194464861634</v>
      </c>
      <c r="L146" s="84">
        <f t="shared" ca="1" si="33"/>
        <v>41960.443089763234</v>
      </c>
      <c r="M146" s="84">
        <f t="shared" ca="1" si="33"/>
        <v>38659.29168570014</v>
      </c>
      <c r="N146" s="84">
        <f t="shared" ca="1" si="33"/>
        <v>50035.728043879892</v>
      </c>
      <c r="O146" s="84">
        <f t="shared" ca="1" si="33"/>
        <v>54158.128987992066</v>
      </c>
      <c r="P146" s="84">
        <f t="shared" ca="1" si="33"/>
        <v>49598.105789163281</v>
      </c>
      <c r="Q146" s="84">
        <f t="shared" ca="1" si="33"/>
        <v>48202.613332211484</v>
      </c>
      <c r="R146" s="84">
        <f t="shared" ca="1" si="33"/>
        <v>43707.480612333246</v>
      </c>
      <c r="S146" s="84">
        <f t="shared" ca="1" si="33"/>
        <v>40938.072643426422</v>
      </c>
    </row>
    <row r="147" spans="1:19">
      <c r="A147" s="78" t="s">
        <v>1060</v>
      </c>
      <c r="B147" s="78"/>
      <c r="C147" s="78"/>
      <c r="D147" s="84">
        <f>IF($D$5=0,D145-D146,D79)</f>
        <v>5466</v>
      </c>
      <c r="E147" s="84">
        <f t="shared" ref="E147:S147" ca="1" si="34">E79</f>
        <v>9828.6275181903875</v>
      </c>
      <c r="F147" s="84">
        <f t="shared" ca="1" si="34"/>
        <v>36030.044373365236</v>
      </c>
      <c r="G147" s="84">
        <f t="shared" ca="1" si="34"/>
        <v>75034.421792585403</v>
      </c>
      <c r="H147" s="84">
        <f t="shared" ca="1" si="34"/>
        <v>134845.80624263518</v>
      </c>
      <c r="I147" s="84">
        <f t="shared" ca="1" si="34"/>
        <v>192645.78856133655</v>
      </c>
      <c r="J147" s="84">
        <f t="shared" ca="1" si="34"/>
        <v>230896.07186708</v>
      </c>
      <c r="K147" s="84">
        <f t="shared" ca="1" si="34"/>
        <v>256111.09101901407</v>
      </c>
      <c r="L147" s="84">
        <f t="shared" ca="1" si="34"/>
        <v>263229.40523698594</v>
      </c>
      <c r="M147" s="84">
        <f t="shared" ca="1" si="34"/>
        <v>269557.25525011314</v>
      </c>
      <c r="N147" s="84">
        <f t="shared" ca="1" si="34"/>
        <v>287898.14293574612</v>
      </c>
      <c r="O147" s="84">
        <f t="shared" ca="1" si="34"/>
        <v>308344.8276287319</v>
      </c>
      <c r="P147" s="84">
        <f t="shared" ca="1" si="34"/>
        <v>326248.80056336458</v>
      </c>
      <c r="Q147" s="84">
        <f t="shared" ca="1" si="34"/>
        <v>340799.87519644055</v>
      </c>
      <c r="R147" s="84">
        <f t="shared" ca="1" si="34"/>
        <v>350144.78251013573</v>
      </c>
      <c r="S147" s="84">
        <f t="shared" ca="1" si="34"/>
        <v>354939.93366282794</v>
      </c>
    </row>
    <row r="148" spans="1:19">
      <c r="A148" s="82" t="s">
        <v>1061</v>
      </c>
      <c r="B148" s="3"/>
      <c r="C148" s="3"/>
      <c r="D148" s="90">
        <f>IF($D$5=0,Assumptions!$B$500,D87)</f>
        <v>468</v>
      </c>
      <c r="E148" s="90">
        <f t="shared" ref="E148:S148" ca="1" si="35">E87</f>
        <v>1842.8687270241674</v>
      </c>
      <c r="F148" s="90">
        <f t="shared" ca="1" si="35"/>
        <v>6654.2038028230272</v>
      </c>
      <c r="G148" s="90">
        <f t="shared" ca="1" si="35"/>
        <v>12568.269910771683</v>
      </c>
      <c r="H148" s="90">
        <f t="shared" ca="1" si="35"/>
        <v>20911.43128917893</v>
      </c>
      <c r="I148" s="90">
        <f t="shared" ca="1" si="35"/>
        <v>25500.120484544892</v>
      </c>
      <c r="J148" s="90">
        <f t="shared" ca="1" si="35"/>
        <v>30164.170272154464</v>
      </c>
      <c r="K148" s="90">
        <f t="shared" ca="1" si="35"/>
        <v>32330.977098877178</v>
      </c>
      <c r="L148" s="90">
        <f t="shared" ca="1" si="35"/>
        <v>32355.10238173863</v>
      </c>
      <c r="M148" s="90">
        <f t="shared" ca="1" si="35"/>
        <v>32744.062934569622</v>
      </c>
      <c r="N148" s="90">
        <f t="shared" ca="1" si="35"/>
        <v>35785.778953160283</v>
      </c>
      <c r="O148" s="90">
        <f t="shared" ca="1" si="35"/>
        <v>38391.161083462277</v>
      </c>
      <c r="P148" s="90">
        <f t="shared" ca="1" si="35"/>
        <v>39882.633455501957</v>
      </c>
      <c r="Q148" s="90">
        <f t="shared" ca="1" si="35"/>
        <v>41308.109023677491</v>
      </c>
      <c r="R148" s="90">
        <f t="shared" ca="1" si="35"/>
        <v>41886.275300988884</v>
      </c>
      <c r="S148" s="90">
        <f t="shared" ca="1" si="35"/>
        <v>42139.058561740363</v>
      </c>
    </row>
    <row r="149" spans="1:19">
      <c r="A149" s="78" t="s">
        <v>1062</v>
      </c>
      <c r="B149" s="78"/>
      <c r="C149" s="78"/>
      <c r="D149" s="84">
        <f>IF($D$5=0,D147-D148,D88)</f>
        <v>4998</v>
      </c>
      <c r="E149" s="84">
        <f t="shared" ref="E149:S149" ca="1" si="36">E88</f>
        <v>7985.7587911662204</v>
      </c>
      <c r="F149" s="84">
        <f t="shared" ca="1" si="36"/>
        <v>29375.840570542208</v>
      </c>
      <c r="G149" s="84">
        <f t="shared" ca="1" si="36"/>
        <v>62466.151881813719</v>
      </c>
      <c r="H149" s="84">
        <f t="shared" ca="1" si="36"/>
        <v>113934.37495345625</v>
      </c>
      <c r="I149" s="84">
        <f t="shared" ca="1" si="36"/>
        <v>167145.66807679166</v>
      </c>
      <c r="J149" s="84">
        <f t="shared" ca="1" si="36"/>
        <v>200731.90159492553</v>
      </c>
      <c r="K149" s="84">
        <f t="shared" ca="1" si="36"/>
        <v>223780.11392013688</v>
      </c>
      <c r="L149" s="84">
        <f t="shared" ca="1" si="36"/>
        <v>230874.30285524731</v>
      </c>
      <c r="M149" s="84">
        <f t="shared" ca="1" si="36"/>
        <v>236813.19231554354</v>
      </c>
      <c r="N149" s="84">
        <f t="shared" ca="1" si="36"/>
        <v>252112.36398258584</v>
      </c>
      <c r="O149" s="84">
        <f t="shared" ca="1" si="36"/>
        <v>269953.6665452696</v>
      </c>
      <c r="P149" s="84">
        <f t="shared" ca="1" si="36"/>
        <v>286366.16710786265</v>
      </c>
      <c r="Q149" s="84">
        <f t="shared" ca="1" si="36"/>
        <v>299491.76617276308</v>
      </c>
      <c r="R149" s="84">
        <f t="shared" ca="1" si="36"/>
        <v>308258.50720914686</v>
      </c>
      <c r="S149" s="84">
        <f t="shared" ca="1" si="36"/>
        <v>312800.87510108756</v>
      </c>
    </row>
    <row r="150" spans="1:19">
      <c r="A150" s="82" t="s">
        <v>1063</v>
      </c>
      <c r="B150" s="3"/>
      <c r="C150" s="3"/>
      <c r="D150" s="90">
        <f>IF($D$5=0,Assumptions!$B$499,D92)</f>
        <v>575</v>
      </c>
      <c r="E150" s="90">
        <f t="shared" ref="E150:S150" ca="1" si="37">E92</f>
        <v>690.46256736690339</v>
      </c>
      <c r="F150" s="90">
        <f t="shared" ca="1" si="37"/>
        <v>2375.6859582129828</v>
      </c>
      <c r="G150" s="90">
        <f t="shared" ca="1" si="37"/>
        <v>4223.9311514055817</v>
      </c>
      <c r="H150" s="90">
        <f t="shared" ca="1" si="37"/>
        <v>6620.9563433893491</v>
      </c>
      <c r="I150" s="90">
        <f t="shared" ca="1" si="37"/>
        <v>7495.7510493410045</v>
      </c>
      <c r="J150" s="90">
        <f t="shared" ca="1" si="37"/>
        <v>8602.6271641345065</v>
      </c>
      <c r="K150" s="90">
        <f t="shared" ca="1" si="37"/>
        <v>9175.8685645162714</v>
      </c>
      <c r="L150" s="90">
        <f t="shared" ca="1" si="37"/>
        <v>9155.6954498024752</v>
      </c>
      <c r="M150" s="90">
        <f t="shared" ca="1" si="37"/>
        <v>9246.4964080743976</v>
      </c>
      <c r="N150" s="90">
        <f t="shared" ca="1" si="37"/>
        <v>10138.01612938878</v>
      </c>
      <c r="O150" s="90">
        <f t="shared" ca="1" si="37"/>
        <v>10875.088698501719</v>
      </c>
      <c r="P150" s="90">
        <f t="shared" ca="1" si="37"/>
        <v>11275.407190575836</v>
      </c>
      <c r="Q150" s="90">
        <f t="shared" ca="1" si="37"/>
        <v>11670.074655859562</v>
      </c>
      <c r="R150" s="90">
        <f t="shared" ca="1" si="37"/>
        <v>11815.567893674068</v>
      </c>
      <c r="S150" s="90">
        <f t="shared" ca="1" si="37"/>
        <v>11876.340189187631</v>
      </c>
    </row>
    <row r="151" spans="1:19">
      <c r="A151" s="82" t="s">
        <v>1064</v>
      </c>
      <c r="B151" s="3"/>
      <c r="C151" s="3"/>
      <c r="D151" s="90">
        <f>IF($D$5=0,Assumptions!$B$504,D97)</f>
        <v>2376</v>
      </c>
      <c r="E151" s="90">
        <f t="shared" ref="E151:S151" ca="1" si="38">E97</f>
        <v>804.39193779975778</v>
      </c>
      <c r="F151" s="90">
        <f t="shared" ca="1" si="38"/>
        <v>1944.3956608776627</v>
      </c>
      <c r="G151" s="90">
        <f t="shared" ca="1" si="38"/>
        <v>4524.0594639329447</v>
      </c>
      <c r="H151" s="90">
        <f t="shared" ca="1" si="38"/>
        <v>11754.299907678647</v>
      </c>
      <c r="I151" s="90">
        <f t="shared" ca="1" si="38"/>
        <v>25009.723045714662</v>
      </c>
      <c r="J151" s="90">
        <f t="shared" ca="1" si="38"/>
        <v>38955.334166136752</v>
      </c>
      <c r="K151" s="90">
        <f t="shared" ca="1" si="38"/>
        <v>54439.992078405063</v>
      </c>
      <c r="L151" s="90">
        <f t="shared" ca="1" si="38"/>
        <v>58746.890409068357</v>
      </c>
      <c r="M151" s="90">
        <f t="shared" ca="1" si="38"/>
        <v>68061.384078933173</v>
      </c>
      <c r="N151" s="90">
        <f t="shared" ca="1" si="38"/>
        <v>77907.866120371167</v>
      </c>
      <c r="O151" s="90">
        <f t="shared" ca="1" si="38"/>
        <v>99105.734227186113</v>
      </c>
      <c r="P151" s="90">
        <f t="shared" ca="1" si="38"/>
        <v>105923.35763154761</v>
      </c>
      <c r="Q151" s="90">
        <f t="shared" ca="1" si="38"/>
        <v>113166.79579929721</v>
      </c>
      <c r="R151" s="90">
        <f t="shared" ca="1" si="38"/>
        <v>104421.69637998758</v>
      </c>
      <c r="S151" s="90">
        <f t="shared" ca="1" si="38"/>
        <v>90766.37185464392</v>
      </c>
    </row>
    <row r="152" spans="1:19">
      <c r="A152" s="78" t="s">
        <v>1065</v>
      </c>
      <c r="B152" s="78"/>
      <c r="C152" s="78"/>
      <c r="D152" s="84">
        <f>IF($D$5=0,D149-D150,D98)</f>
        <v>4423</v>
      </c>
      <c r="E152" s="84">
        <f t="shared" ref="E152:S152" ca="1" si="39">E98</f>
        <v>7181.3668533664622</v>
      </c>
      <c r="F152" s="84">
        <f t="shared" ca="1" si="39"/>
        <v>27431.444909664544</v>
      </c>
      <c r="G152" s="84">
        <f t="shared" ca="1" si="39"/>
        <v>57942.092417880776</v>
      </c>
      <c r="H152" s="84">
        <f t="shared" ca="1" si="39"/>
        <v>102180.0750457776</v>
      </c>
      <c r="I152" s="84">
        <f t="shared" ca="1" si="39"/>
        <v>142135.94503107699</v>
      </c>
      <c r="J152" s="84">
        <f t="shared" ca="1" si="39"/>
        <v>161776.56742878878</v>
      </c>
      <c r="K152" s="84">
        <f t="shared" ca="1" si="39"/>
        <v>169340.12184173183</v>
      </c>
      <c r="L152" s="84">
        <f t="shared" ca="1" si="39"/>
        <v>172127.41244617896</v>
      </c>
      <c r="M152" s="84">
        <f t="shared" ca="1" si="39"/>
        <v>168751.80823661038</v>
      </c>
      <c r="N152" s="84">
        <f t="shared" ca="1" si="39"/>
        <v>174204.49786221469</v>
      </c>
      <c r="O152" s="84">
        <f t="shared" ca="1" si="39"/>
        <v>170847.93231808348</v>
      </c>
      <c r="P152" s="84">
        <f t="shared" ca="1" si="39"/>
        <v>180442.80947631504</v>
      </c>
      <c r="Q152" s="84">
        <f t="shared" ca="1" si="39"/>
        <v>186324.97037346585</v>
      </c>
      <c r="R152" s="84">
        <f t="shared" ca="1" si="39"/>
        <v>203836.81082915928</v>
      </c>
      <c r="S152" s="84">
        <f t="shared" ca="1" si="39"/>
        <v>222034.50324644364</v>
      </c>
    </row>
    <row r="153" spans="1:19">
      <c r="A153" s="82" t="s">
        <v>1066</v>
      </c>
      <c r="B153" s="3"/>
      <c r="C153" s="3"/>
      <c r="D153" s="90">
        <f t="shared" ref="D153:S153" si="40">D101</f>
        <v>1674.816</v>
      </c>
      <c r="E153" s="90">
        <f t="shared" ca="1" si="40"/>
        <v>1405.7159999999999</v>
      </c>
      <c r="F153" s="90">
        <f t="shared" ca="1" si="40"/>
        <v>5104.3212461441062</v>
      </c>
      <c r="G153" s="90">
        <f t="shared" ca="1" si="40"/>
        <v>11652.749684358765</v>
      </c>
      <c r="H153" s="90">
        <f t="shared" ca="1" si="40"/>
        <v>31260.957169870435</v>
      </c>
      <c r="I153" s="90">
        <f t="shared" ca="1" si="40"/>
        <v>54534.613061777571</v>
      </c>
      <c r="J153" s="90">
        <f t="shared" ca="1" si="40"/>
        <v>55027.371419536561</v>
      </c>
      <c r="K153" s="90">
        <f t="shared" ca="1" si="40"/>
        <v>62928.742163011746</v>
      </c>
      <c r="L153" s="90">
        <f t="shared" ca="1" si="40"/>
        <v>25471.082831700071</v>
      </c>
      <c r="M153" s="90">
        <f t="shared" ca="1" si="40"/>
        <v>60222.124817495147</v>
      </c>
      <c r="N153" s="90">
        <f t="shared" ca="1" si="40"/>
        <v>82781.286343910091</v>
      </c>
      <c r="O153" s="90">
        <f t="shared" ca="1" si="40"/>
        <v>124444.24878881891</v>
      </c>
      <c r="P153" s="90">
        <f t="shared" ca="1" si="40"/>
        <v>81307.154101789958</v>
      </c>
      <c r="Q153" s="90">
        <f t="shared" ca="1" si="40"/>
        <v>48739.870202558894</v>
      </c>
      <c r="R153" s="90">
        <f t="shared" ca="1" si="40"/>
        <v>25845.085050788239</v>
      </c>
      <c r="S153" s="90">
        <f t="shared" ca="1" si="40"/>
        <v>29878.412721881938</v>
      </c>
    </row>
    <row r="154" spans="1:19">
      <c r="A154" s="82" t="s">
        <v>1067</v>
      </c>
      <c r="B154" s="3"/>
      <c r="C154" s="3"/>
      <c r="D154" s="90">
        <f t="shared" ref="D154:S154" si="41">D102</f>
        <v>107.35164835164835</v>
      </c>
      <c r="E154" s="90">
        <f t="shared" ca="1" si="41"/>
        <v>144.66641652302212</v>
      </c>
      <c r="F154" s="90">
        <f t="shared" ca="1" si="41"/>
        <v>553.84353421409583</v>
      </c>
      <c r="G154" s="90">
        <f t="shared" ca="1" si="41"/>
        <v>903.66444178746156</v>
      </c>
      <c r="H154" s="90">
        <f t="shared" ca="1" si="41"/>
        <v>2274.0321365075974</v>
      </c>
      <c r="I154" s="90">
        <f t="shared" ca="1" si="41"/>
        <v>2839.580879807304</v>
      </c>
      <c r="J154" s="90">
        <f t="shared" ca="1" si="41"/>
        <v>510.51625559871917</v>
      </c>
      <c r="K154" s="90">
        <f t="shared" ca="1" si="41"/>
        <v>1234.8194399019594</v>
      </c>
      <c r="L154" s="90">
        <f t="shared" ca="1" si="41"/>
        <v>79.944693314918652</v>
      </c>
      <c r="M154" s="90">
        <f t="shared" ca="1" si="41"/>
        <v>82.911728094771178</v>
      </c>
      <c r="N154" s="90">
        <f t="shared" ca="1" si="41"/>
        <v>2966.1993081460205</v>
      </c>
      <c r="O154" s="90">
        <f t="shared" ca="1" si="41"/>
        <v>5580.3229418515721</v>
      </c>
      <c r="P154" s="90">
        <f t="shared" ca="1" si="41"/>
        <v>102.54994418899095</v>
      </c>
      <c r="Q154" s="90">
        <f t="shared" ca="1" si="41"/>
        <v>94.925698833422985</v>
      </c>
      <c r="R154" s="90">
        <f t="shared" ca="1" si="41"/>
        <v>81.399208903105077</v>
      </c>
      <c r="S154" s="90">
        <f t="shared" ca="1" si="41"/>
        <v>74.051316332080589</v>
      </c>
    </row>
    <row r="155" spans="1:19">
      <c r="A155" s="82" t="s">
        <v>1068</v>
      </c>
      <c r="B155" s="3"/>
      <c r="C155" s="3"/>
      <c r="D155" s="90">
        <f t="shared" ref="D155:S155" si="42">D104</f>
        <v>21.504000000000001</v>
      </c>
      <c r="E155" s="90">
        <f t="shared" ca="1" si="42"/>
        <v>17.904</v>
      </c>
      <c r="F155" s="90">
        <f t="shared" ca="1" si="42"/>
        <v>21.897676502449965</v>
      </c>
      <c r="G155" s="90">
        <f t="shared" ca="1" si="42"/>
        <v>49.790899820866578</v>
      </c>
      <c r="H155" s="90">
        <f t="shared" ca="1" si="42"/>
        <v>137.42152097004038</v>
      </c>
      <c r="I155" s="90">
        <f t="shared" ca="1" si="42"/>
        <v>254.00159760404657</v>
      </c>
      <c r="J155" s="90">
        <f t="shared" ca="1" si="42"/>
        <v>270.30716395746776</v>
      </c>
      <c r="K155" s="90">
        <f t="shared" ca="1" si="42"/>
        <v>319.03517067722703</v>
      </c>
      <c r="L155" s="90">
        <f t="shared" ca="1" si="42"/>
        <v>133.32591273762574</v>
      </c>
      <c r="M155" s="90">
        <f t="shared" ca="1" si="42"/>
        <v>316.01078580734577</v>
      </c>
      <c r="N155" s="90">
        <f t="shared" ca="1" si="42"/>
        <v>441.34231221144535</v>
      </c>
      <c r="O155" s="90">
        <f t="shared" ca="1" si="42"/>
        <v>675.31942426212515</v>
      </c>
      <c r="P155" s="90">
        <f t="shared" ca="1" si="42"/>
        <v>451.44371547550901</v>
      </c>
      <c r="Q155" s="90">
        <f t="shared" ca="1" si="42"/>
        <v>274.33925419431324</v>
      </c>
      <c r="R155" s="90">
        <f t="shared" ca="1" si="42"/>
        <v>147.03165028174178</v>
      </c>
      <c r="S155" s="90">
        <f t="shared" ca="1" si="42"/>
        <v>170.28896918980507</v>
      </c>
    </row>
    <row r="156" spans="1:19">
      <c r="A156" s="82" t="s">
        <v>1069</v>
      </c>
      <c r="B156" s="3"/>
      <c r="C156" s="3"/>
      <c r="D156" s="90">
        <f>IF($D$5=0,Assumptions!$B$506,D105)</f>
        <v>4178</v>
      </c>
      <c r="E156" s="90">
        <f t="shared" ref="E156:S156" ca="1" si="43">E105</f>
        <v>1714.4918219284275</v>
      </c>
      <c r="F156" s="90">
        <f t="shared" ca="1" si="43"/>
        <v>6918.8608559199465</v>
      </c>
      <c r="G156" s="90">
        <f t="shared" ca="1" si="43"/>
        <v>14418.862819131948</v>
      </c>
      <c r="H156" s="90">
        <f t="shared" ca="1" si="43"/>
        <v>35948.961961625864</v>
      </c>
      <c r="I156" s="90">
        <f t="shared" ca="1" si="43"/>
        <v>59932.503056401009</v>
      </c>
      <c r="J156" s="90">
        <f t="shared" ca="1" si="43"/>
        <v>58500.13628351222</v>
      </c>
      <c r="K156" s="90">
        <f t="shared" ca="1" si="43"/>
        <v>65295.700556190015</v>
      </c>
      <c r="L156" s="90">
        <f t="shared" ca="1" si="43"/>
        <v>26042.923960554028</v>
      </c>
      <c r="M156" s="90">
        <f t="shared" ca="1" si="43"/>
        <v>61001.732167579838</v>
      </c>
      <c r="N156" s="90">
        <f t="shared" ca="1" si="43"/>
        <v>86638.74301332701</v>
      </c>
      <c r="O156" s="90">
        <f t="shared" ca="1" si="43"/>
        <v>131325.19825495183</v>
      </c>
      <c r="P156" s="90">
        <f t="shared" ca="1" si="43"/>
        <v>81998.007714503066</v>
      </c>
      <c r="Q156" s="90">
        <f t="shared" ca="1" si="43"/>
        <v>49246.153544620443</v>
      </c>
      <c r="R156" s="90">
        <f t="shared" ca="1" si="43"/>
        <v>26202.398359479146</v>
      </c>
      <c r="S156" s="90">
        <f t="shared" ca="1" si="43"/>
        <v>30494.936002613296</v>
      </c>
    </row>
    <row r="157" spans="1:19">
      <c r="A157" s="98" t="s">
        <v>1070</v>
      </c>
      <c r="B157" s="20"/>
      <c r="C157" s="20"/>
      <c r="D157" s="99">
        <f ca="1">D106</f>
        <v>3055.8377464819987</v>
      </c>
      <c r="E157" s="99">
        <f t="shared" ref="E157:S157" ca="1" si="44">E106</f>
        <v>6271.2669692377931</v>
      </c>
      <c r="F157" s="99">
        <f t="shared" ca="1" si="44"/>
        <v>22456.979714622263</v>
      </c>
      <c r="G157" s="99">
        <f t="shared" ca="1" si="44"/>
        <v>48047.289062681768</v>
      </c>
      <c r="H157" s="99">
        <f t="shared" ca="1" si="44"/>
        <v>77985.412991830381</v>
      </c>
      <c r="I157" s="99">
        <f t="shared" ca="1" si="44"/>
        <v>107213.16502039065</v>
      </c>
      <c r="J157" s="99">
        <f t="shared" ca="1" si="44"/>
        <v>142231.7653114133</v>
      </c>
      <c r="K157" s="99">
        <f t="shared" ca="1" si="44"/>
        <v>158484.41336394686</v>
      </c>
      <c r="L157" s="99">
        <f t="shared" ca="1" si="44"/>
        <v>204831.37889469328</v>
      </c>
      <c r="M157" s="99">
        <f t="shared" ca="1" si="44"/>
        <v>175811.46014796369</v>
      </c>
      <c r="N157" s="99">
        <f t="shared" ca="1" si="44"/>
        <v>165473.62096925883</v>
      </c>
      <c r="O157" s="99">
        <f t="shared" ca="1" si="44"/>
        <v>138628.46829031777</v>
      </c>
      <c r="P157" s="99">
        <f t="shared" ca="1" si="44"/>
        <v>204368.15939335959</v>
      </c>
      <c r="Q157" s="99">
        <f t="shared" ca="1" si="44"/>
        <v>250245.61262814264</v>
      </c>
      <c r="R157" s="99">
        <f t="shared" ca="1" si="44"/>
        <v>282056.10884966771</v>
      </c>
      <c r="S157" s="99">
        <f t="shared" ca="1" si="44"/>
        <v>282305.93909847428</v>
      </c>
    </row>
    <row r="158" spans="1:19">
      <c r="A158" s="82" t="s">
        <v>1071</v>
      </c>
      <c r="B158" s="3"/>
      <c r="C158" s="3"/>
      <c r="D158" s="90">
        <f ca="1">SUM($D$105:D105)</f>
        <v>2007.9793406593408</v>
      </c>
      <c r="E158" s="90">
        <f ca="1">SUM($D$105:E105)</f>
        <v>3722.471162587768</v>
      </c>
      <c r="F158" s="90">
        <f ca="1">SUM($D$105:F105)</f>
        <v>10641.332018507714</v>
      </c>
      <c r="G158" s="90">
        <f ca="1">SUM($D$105:G105)</f>
        <v>25060.194837639661</v>
      </c>
      <c r="H158" s="90">
        <f ca="1">SUM($D$105:H105)</f>
        <v>61009.156799265525</v>
      </c>
      <c r="I158" s="90">
        <f ca="1">SUM($D$105:I105)</f>
        <v>120941.65985566654</v>
      </c>
      <c r="J158" s="90">
        <f ca="1">SUM($D$105:J105)</f>
        <v>179441.79613917877</v>
      </c>
      <c r="K158" s="90">
        <f ca="1">SUM($D$105:K105)</f>
        <v>244737.49669536878</v>
      </c>
      <c r="L158" s="90">
        <f ca="1">SUM($D$105:L105)</f>
        <v>270780.42065592279</v>
      </c>
      <c r="M158" s="90">
        <f ca="1">SUM($D$105:M105)</f>
        <v>331782.15282350261</v>
      </c>
      <c r="N158" s="90">
        <f ca="1">SUM($D$105:N105)</f>
        <v>418420.89583682962</v>
      </c>
      <c r="O158" s="90">
        <f ca="1">SUM($D$105:O105)</f>
        <v>549746.09409178142</v>
      </c>
      <c r="P158" s="90">
        <f ca="1">SUM($D$105:P105)</f>
        <v>631744.10180628451</v>
      </c>
      <c r="Q158" s="90">
        <f ca="1">SUM($D$105:Q105)</f>
        <v>680990.255350905</v>
      </c>
      <c r="R158" s="90">
        <f ca="1">SUM($D$105:R105)</f>
        <v>707192.65371038415</v>
      </c>
      <c r="S158" s="90">
        <f ca="1">SUM($D$105:S105)</f>
        <v>737687.58971299743</v>
      </c>
    </row>
    <row r="159" spans="1:19">
      <c r="A159" s="82" t="s">
        <v>1072</v>
      </c>
      <c r="B159" s="3"/>
      <c r="C159" s="3"/>
      <c r="D159" s="42">
        <f t="array" ref="D159">IFERROR(INDEX($D$167:$AC$167, COLUMN()-COLUMN($D$159)+1)*D161, 0)</f>
        <v>0</v>
      </c>
      <c r="E159" s="42">
        <f t="array" aca="1" ref="E159" ca="1">IFERROR(INDEX($D$167:$AC$167, COLUMN()-COLUMN($D$159)+1)*E161, 0)</f>
        <v>0</v>
      </c>
      <c r="F159" s="42">
        <f t="array" aca="1" ref="F159" ca="1">IFERROR(INDEX($D$167:$AC$167, COLUMN()-COLUMN($D$159)+1)*F161, 0)</f>
        <v>7837470.6009799857</v>
      </c>
      <c r="G159" s="42">
        <f t="array" aca="1" ref="G159" ca="1">IFERROR(INDEX($D$167:$AC$167, COLUMN()-COLUMN($D$159)+1)*G161, 0)</f>
        <v>18994759.928346634</v>
      </c>
      <c r="H159" s="42">
        <f t="array" aca="1" ref="H159" ca="1">IFERROR(INDEX($D$167:$AC$167, COLUMN()-COLUMN($D$159)+1)*H161, 0)</f>
        <v>54047008.388016157</v>
      </c>
      <c r="I159" s="42">
        <f t="array" aca="1" ref="I159" ca="1">IFERROR(INDEX($D$167:$AC$167, COLUMN()-COLUMN($D$159)+1)*I161, 0)</f>
        <v>100679039.04161862</v>
      </c>
      <c r="J159" s="42">
        <f t="array" aca="1" ref="J159" ca="1">IFERROR(INDEX($D$167:$AC$167, COLUMN()-COLUMN($D$159)+1)*J161, 0)</f>
        <v>107201265.5829871</v>
      </c>
      <c r="K159" s="42">
        <f t="array" aca="1" ref="K159" ca="1">IFERROR(INDEX($D$167:$AC$167, COLUMN()-COLUMN($D$159)+1)*K161, 0)</f>
        <v>126692468.27089079</v>
      </c>
      <c r="L159" s="42">
        <f t="array" aca="1" ref="L159" ca="1">IFERROR(INDEX($D$167:$AC$167, COLUMN()-COLUMN($D$159)+1)*L161, 0)</f>
        <v>52408765.095050298</v>
      </c>
      <c r="M159" s="42">
        <f t="array" aca="1" ref="M159" ca="1">IFERROR(INDEX($D$167:$AC$167, COLUMN()-COLUMN($D$159)+1)*M161, 0)</f>
        <v>125482714.32293829</v>
      </c>
      <c r="N159" s="42">
        <f t="array" aca="1" ref="N159" ca="1">IFERROR(INDEX($D$167:$AC$167, COLUMN()-COLUMN($D$159)+1)*N161, 0)</f>
        <v>175615324.88457811</v>
      </c>
      <c r="O159" s="42">
        <f t="array" aca="1" ref="O159" ca="1">IFERROR(INDEX($D$167:$AC$167, COLUMN()-COLUMN($D$159)+1)*O161, 0)</f>
        <v>269206169.70485008</v>
      </c>
      <c r="P159" s="42">
        <f t="array" aca="1" ref="P159" ca="1">IFERROR(INDEX($D$167:$AC$167, COLUMN()-COLUMN($D$159)+1)*P161, 0)</f>
        <v>179655886.19020361</v>
      </c>
      <c r="Q159" s="42">
        <f t="array" aca="1" ref="Q159" ca="1">IFERROR(INDEX($D$167:$AC$167, COLUMN()-COLUMN($D$159)+1)*Q161, 0)</f>
        <v>108814101.6777253</v>
      </c>
      <c r="R159" s="42">
        <f t="array" aca="1" ref="R159" ca="1">IFERROR(INDEX($D$167:$AC$167, COLUMN()-COLUMN($D$159)+1)*R161, 0)</f>
        <v>57891060.112696707</v>
      </c>
      <c r="S159" s="42">
        <f t="array" aca="1" ref="S159" ca="1">IFERROR(INDEX($D$167:$AC$167, COLUMN()-COLUMN($D$159)+1)*S161, 0)</f>
        <v>67193987.675922021</v>
      </c>
    </row>
    <row r="160" spans="1:19">
      <c r="A160" s="82" t="s">
        <v>1073</v>
      </c>
      <c r="B160" s="3"/>
      <c r="C160" s="3"/>
      <c r="D160" s="91">
        <f t="shared" ref="D160:S160" si="45">D140</f>
        <v>0.46924224407146692</v>
      </c>
      <c r="E160" s="91">
        <f t="shared" ca="1" si="45"/>
        <v>0.40646070985146027</v>
      </c>
      <c r="F160" s="91">
        <f t="shared" ca="1" si="45"/>
        <v>1.7115714151522643</v>
      </c>
      <c r="G160" s="91">
        <f t="shared" ca="1" si="45"/>
        <v>1.2169838634329504</v>
      </c>
      <c r="H160" s="91">
        <f t="shared" ca="1" si="45"/>
        <v>0.50560740936462445</v>
      </c>
      <c r="I160" s="91">
        <f t="shared" ca="1" si="45"/>
        <v>0.30693051536254601</v>
      </c>
      <c r="J160" s="91">
        <f t="shared" ca="1" si="45"/>
        <v>-0.12983916955673469</v>
      </c>
      <c r="K160" s="91">
        <f t="shared" ca="1" si="45"/>
        <v>-0.36332260610111483</v>
      </c>
      <c r="L160" s="91">
        <f t="shared" ca="1" si="45"/>
        <v>-0.15248568999975054</v>
      </c>
      <c r="M160" s="91">
        <f t="shared" ca="1" si="45"/>
        <v>-8.1240188014213247E-2</v>
      </c>
      <c r="N160" s="91">
        <f t="shared" ca="1" si="45"/>
        <v>-1.1283854287918503E-2</v>
      </c>
      <c r="O160" s="91">
        <f t="shared" ca="1" si="45"/>
        <v>-1.7456531440873932E-2</v>
      </c>
      <c r="P160" s="91">
        <f t="shared" ca="1" si="45"/>
        <v>-1.2705828125457811E-2</v>
      </c>
      <c r="Q160" s="91">
        <f t="shared" ca="1" si="45"/>
        <v>-1.0881560638109361E-2</v>
      </c>
      <c r="R160" s="91">
        <f t="shared" ca="1" si="45"/>
        <v>-1.7602545445938702E-3</v>
      </c>
      <c r="S160" s="91">
        <f t="shared" ca="1" si="45"/>
        <v>1.0307447699183471E-2</v>
      </c>
    </row>
    <row r="161" spans="1:19">
      <c r="A161" s="82" t="s">
        <v>1074</v>
      </c>
      <c r="B161" s="3"/>
      <c r="C161" s="3"/>
      <c r="D161" s="70" t="e">
        <f>IF(D$29=1,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#N/A</v>
      </c>
      <c r="E161" s="70" t="e">
        <f>IF(E$29=1,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#N/A</v>
      </c>
      <c r="F161" s="70">
        <f>IF(F$29=1,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G161" s="70">
        <f>IF(G$29=1,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H161" s="70">
        <f>IF(H$29=1,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I161" s="70">
        <f>IF(I$29=1,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J161" s="70">
        <f>IF(J$29=1,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K161" s="70">
        <f>IF(K$29=1,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L161" s="70">
        <f>IF(L$29=1,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M161" s="70">
        <f>IF(M$29=1,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N161" s="70">
        <f>IF(N$29=1,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O161" s="70">
        <f>IF(O$29=1,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P161" s="70">
        <f>IF(P$29=1,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Q161" s="70">
        <f>IF(Q$29=1,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R161" s="70">
        <f>IF(R$29=1,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  <c r="S161" s="70">
        <f>IF(S$29=1, INDEX(Assumptions!$B:$B,MATCH("V3 BB share of new deployment (frac)",Assumptions!$A$1:$A$257,0))*INDEX(Assumptions!$B:$B,MATCH("V3 BB sat mass (kg)",Assumptions!$A$1:$A$257,0))+INDEX(Assumptions!$B:$B,MATCH("V3 DTC share of new deployment (frac)",Assumptions!$A$1:$A$257,0))*INDEX(Assumptions!$B:$B,MATCH("V3 DTC sat mass (kg)",Assumptions!$A$1:$A$257,0)), INDEX(Assumptions!$B:$B,MATCH("V2 BB share of new deployment (frac)",Assumptions!$A$1:$A$257,0))*INDEX(Assumptions!$B:$B,MATCH("V2 BB sat mass (kg)",Assumptions!$A$1:$A$257,0))+INDEX(Assumptions!$B:$B,MATCH("V2 DTC share of new deployment (frac)",Assumptions!$A$1:$A$257,0))*INDEX(Assumptions!$B:$B,MATCH("V2 DTC sat mass (kg)",Assumptions!$A$1:$A$257,0))+0.12*INDEX(Assumptions!$B:$B,MATCH("Starshield sat mass (kg)",Assumptions!$A$1:$A$257,0)))</f>
        <v>2000</v>
      </c>
    </row>
    <row r="162" spans="1:19">
      <c r="A162" s="82" t="s">
        <v>1075</v>
      </c>
      <c r="B162" s="3"/>
      <c r="C162" s="3"/>
      <c r="D162" s="70">
        <f ca="1">IFERROR('Cash Allocation Engine'!D50/D161,1000000000000)</f>
        <v>1000000000000</v>
      </c>
      <c r="E162" s="70">
        <f ca="1">IFERROR('Cash Allocation Engine'!E50/E161,1000000000000)</f>
        <v>1000000000000</v>
      </c>
      <c r="F162" s="70">
        <f ca="1">IFERROR('Cash Allocation Engine'!F50/F161,1000000000000)</f>
        <v>3918.7353004899928</v>
      </c>
      <c r="G162" s="70">
        <f ca="1">IFERROR('Cash Allocation Engine'!G50/G161,1000000000000)</f>
        <v>9497.3799641733185</v>
      </c>
      <c r="H162" s="70">
        <f ca="1">IFERROR('Cash Allocation Engine'!H50/H161,1000000000000)</f>
        <v>27023.504194008074</v>
      </c>
      <c r="I162" s="70">
        <f ca="1">IFERROR('Cash Allocation Engine'!I50/I161,1000000000000)</f>
        <v>62669.92310714387</v>
      </c>
      <c r="J162" s="70">
        <f ca="1">IFERROR('Cash Allocation Engine'!J50/J161,1000000000000)</f>
        <v>132397.3177488728</v>
      </c>
      <c r="K162" s="70">
        <f ca="1">IFERROR('Cash Allocation Engine'!K50/K161,1000000000000)</f>
        <v>168753.20400509943</v>
      </c>
      <c r="L162" s="70">
        <f ca="1">IFERROR('Cash Allocation Engine'!L50/L161,1000000000000)</f>
        <v>156269.99861660055</v>
      </c>
      <c r="M162" s="70">
        <f ca="1">IFERROR('Cash Allocation Engine'!M50/M161,1000000000000)</f>
        <v>160818.47956536658</v>
      </c>
      <c r="N162" s="70">
        <f ca="1">IFERROR('Cash Allocation Engine'!N50/N161,1000000000000)</f>
        <v>162007.93423524726</v>
      </c>
      <c r="O162" s="70">
        <f ca="1">IFERROR('Cash Allocation Engine'!O50/O161,1000000000000)</f>
        <v>134603.08485242503</v>
      </c>
      <c r="P162" s="70">
        <f ca="1">IFERROR('Cash Allocation Engine'!P50/P161,1000000000000)</f>
        <v>89827.9430951018</v>
      </c>
      <c r="Q162" s="70">
        <f ca="1">IFERROR('Cash Allocation Engine'!Q50/Q161,1000000000000)</f>
        <v>54407.050838862655</v>
      </c>
      <c r="R162" s="70">
        <f ca="1">IFERROR('Cash Allocation Engine'!R50/R161,1000000000000)</f>
        <v>28945.530056348354</v>
      </c>
      <c r="S162" s="70">
        <f ca="1">IFERROR('Cash Allocation Engine'!S50/S161,1000000000000)</f>
        <v>33596.99383796101</v>
      </c>
    </row>
    <row r="163" spans="1:19">
      <c r="A163" s="82" t="s">
        <v>986</v>
      </c>
      <c r="B163" s="3"/>
      <c r="C163" s="3"/>
      <c r="D163" s="29">
        <f t="shared" ref="D163:S163" si="46">D49</f>
        <v>489144</v>
      </c>
      <c r="E163" s="29">
        <f t="shared" ca="1" si="46"/>
        <v>756736</v>
      </c>
      <c r="F163" s="29">
        <f t="shared" ca="1" si="46"/>
        <v>4652053.443326761</v>
      </c>
      <c r="G163" s="29">
        <f t="shared" ca="1" si="46"/>
        <v>13909825.135599311</v>
      </c>
      <c r="H163" s="29">
        <f t="shared" ca="1" si="46"/>
        <v>37706338.90701995</v>
      </c>
      <c r="I163" s="29">
        <f t="shared" ca="1" si="46"/>
        <v>52599405.926425837</v>
      </c>
      <c r="J163" s="29">
        <f t="shared" ca="1" si="46"/>
        <v>81246795.994900599</v>
      </c>
      <c r="K163" s="29">
        <f t="shared" ca="1" si="46"/>
        <v>93730001.383399457</v>
      </c>
      <c r="L163" s="29">
        <f t="shared" ca="1" si="46"/>
        <v>89181520.434633434</v>
      </c>
      <c r="M163" s="29">
        <f t="shared" ca="1" si="46"/>
        <v>87992065.764752746</v>
      </c>
      <c r="N163" s="29">
        <f t="shared" ca="1" si="46"/>
        <v>115396915.14757498</v>
      </c>
      <c r="O163" s="29">
        <f t="shared" ca="1" si="46"/>
        <v>160172056.9048982</v>
      </c>
      <c r="P163" s="29">
        <f t="shared" ca="1" si="46"/>
        <v>195592949.16113734</v>
      </c>
      <c r="Q163" s="29">
        <f t="shared" ca="1" si="46"/>
        <v>221054469.94365165</v>
      </c>
      <c r="R163" s="29">
        <f t="shared" ca="1" si="46"/>
        <v>214228323.97496885</v>
      </c>
      <c r="S163" s="29">
        <f t="shared" ca="1" si="46"/>
        <v>188862321.63178316</v>
      </c>
    </row>
    <row r="164" spans="1:19">
      <c r="A164" s="82" t="s">
        <v>992</v>
      </c>
      <c r="B164" s="3"/>
      <c r="C164" s="3"/>
      <c r="D164" s="29">
        <f t="shared" ref="D164:S164" si="47">D56</f>
        <v>577.71</v>
      </c>
      <c r="E164" s="29">
        <f t="shared" si="47"/>
        <v>577.71</v>
      </c>
      <c r="F164" s="29">
        <f t="shared" ca="1" si="47"/>
        <v>579.36979801797065</v>
      </c>
      <c r="G164" s="29">
        <f t="shared" ca="1" si="47"/>
        <v>649.95120583444827</v>
      </c>
      <c r="H164" s="29">
        <f t="shared" ca="1" si="47"/>
        <v>3085.5434225565646</v>
      </c>
      <c r="I164" s="29">
        <f t="shared" ca="1" si="47"/>
        <v>33938.701192794382</v>
      </c>
      <c r="J164" s="29">
        <f t="shared" ca="1" si="47"/>
        <v>55683.284634496951</v>
      </c>
      <c r="K164" s="29">
        <f t="shared" ca="1" si="47"/>
        <v>97088.151454271618</v>
      </c>
      <c r="L164" s="29">
        <f t="shared" ca="1" si="47"/>
        <v>115835.48792959955</v>
      </c>
      <c r="M164" s="29">
        <f t="shared" ca="1" si="47"/>
        <v>148387.73326573498</v>
      </c>
      <c r="N164" s="29">
        <f t="shared" ca="1" si="47"/>
        <v>157263.55816683092</v>
      </c>
      <c r="O164" s="29">
        <f t="shared" ca="1" si="47"/>
        <v>189216.04585461339</v>
      </c>
      <c r="P164" s="29">
        <f t="shared" ca="1" si="47"/>
        <v>181331.68618702743</v>
      </c>
      <c r="Q164" s="29">
        <f t="shared" ca="1" si="47"/>
        <v>183749.37828980948</v>
      </c>
      <c r="R164" s="29">
        <f t="shared" ca="1" si="47"/>
        <v>159962.11952747116</v>
      </c>
      <c r="S164" s="29">
        <f t="shared" ca="1" si="47"/>
        <v>134521.12388514361</v>
      </c>
    </row>
    <row r="165" spans="1:19">
      <c r="A165" s="82" t="s">
        <v>1003</v>
      </c>
      <c r="B165" s="3"/>
      <c r="C165" s="3"/>
      <c r="D165" s="29">
        <f t="shared" ref="D165:S165" si="48">D69</f>
        <v>166</v>
      </c>
      <c r="E165" s="29">
        <f t="shared" ca="1" si="48"/>
        <v>138</v>
      </c>
      <c r="F165" s="29">
        <f t="shared" si="48"/>
        <v>0</v>
      </c>
      <c r="G165" s="29">
        <f t="shared" si="48"/>
        <v>0</v>
      </c>
      <c r="H165" s="29">
        <f t="shared" si="48"/>
        <v>0</v>
      </c>
      <c r="I165" s="29">
        <f t="shared" si="48"/>
        <v>0</v>
      </c>
      <c r="J165" s="29">
        <f t="shared" si="48"/>
        <v>0</v>
      </c>
      <c r="K165" s="29">
        <f t="shared" si="48"/>
        <v>0</v>
      </c>
      <c r="L165" s="29">
        <f t="shared" si="48"/>
        <v>0</v>
      </c>
      <c r="M165" s="29">
        <f t="shared" si="48"/>
        <v>0</v>
      </c>
      <c r="N165" s="29">
        <f t="shared" si="48"/>
        <v>0</v>
      </c>
      <c r="O165" s="29">
        <f t="shared" si="48"/>
        <v>0</v>
      </c>
      <c r="P165" s="29">
        <f t="shared" si="48"/>
        <v>0</v>
      </c>
      <c r="Q165" s="29">
        <f t="shared" si="48"/>
        <v>0</v>
      </c>
      <c r="R165" s="29">
        <f t="shared" si="48"/>
        <v>0</v>
      </c>
      <c r="S165" s="29">
        <f t="shared" si="48"/>
        <v>0</v>
      </c>
    </row>
    <row r="166" spans="1:19">
      <c r="A166" s="82" t="s">
        <v>1004</v>
      </c>
      <c r="B166" s="3"/>
      <c r="C166" s="3"/>
      <c r="D166" s="29">
        <f t="shared" ref="D166:S166" si="49">D70</f>
        <v>0</v>
      </c>
      <c r="E166" s="29">
        <f t="shared" si="49"/>
        <v>0</v>
      </c>
      <c r="F166" s="29">
        <f t="shared" ca="1" si="49"/>
        <v>61</v>
      </c>
      <c r="G166" s="29">
        <f t="shared" ca="1" si="49"/>
        <v>127</v>
      </c>
      <c r="H166" s="29">
        <f t="shared" ca="1" si="49"/>
        <v>311</v>
      </c>
      <c r="I166" s="29">
        <f t="shared" ca="1" si="49"/>
        <v>504</v>
      </c>
      <c r="J166" s="29">
        <f t="shared" ca="1" si="49"/>
        <v>537</v>
      </c>
      <c r="K166" s="29">
        <f t="shared" ca="1" si="49"/>
        <v>634</v>
      </c>
      <c r="L166" s="29">
        <f t="shared" ca="1" si="49"/>
        <v>263</v>
      </c>
      <c r="M166" s="29">
        <f t="shared" ca="1" si="49"/>
        <v>628</v>
      </c>
      <c r="N166" s="29">
        <f t="shared" ca="1" si="49"/>
        <v>879</v>
      </c>
      <c r="O166" s="29">
        <f t="shared" ca="1" si="49"/>
        <v>1347</v>
      </c>
      <c r="P166" s="29">
        <f t="shared" ca="1" si="49"/>
        <v>899</v>
      </c>
      <c r="Q166" s="29">
        <f t="shared" ca="1" si="49"/>
        <v>545</v>
      </c>
      <c r="R166" s="29">
        <f t="shared" ca="1" si="49"/>
        <v>290</v>
      </c>
      <c r="S166" s="29">
        <f t="shared" ca="1" si="49"/>
        <v>336</v>
      </c>
    </row>
    <row r="167" spans="1:19">
      <c r="A167" s="78" t="s">
        <v>969</v>
      </c>
      <c r="B167" s="78"/>
      <c r="C167" s="78"/>
      <c r="D167" s="81">
        <f t="shared" ref="D167:S167" si="50">D31</f>
        <v>3840</v>
      </c>
      <c r="E167" s="81">
        <f t="shared" ca="1" si="50"/>
        <v>3120</v>
      </c>
      <c r="F167" s="81">
        <f t="shared" ca="1" si="50"/>
        <v>3918.7353004899928</v>
      </c>
      <c r="G167" s="81">
        <f t="shared" ca="1" si="50"/>
        <v>9497.3799641733167</v>
      </c>
      <c r="H167" s="81">
        <f t="shared" ca="1" si="50"/>
        <v>27023.504194008077</v>
      </c>
      <c r="I167" s="81">
        <f t="shared" ca="1" si="50"/>
        <v>50339.519520809306</v>
      </c>
      <c r="J167" s="81">
        <f t="shared" ca="1" si="50"/>
        <v>53600.632791493546</v>
      </c>
      <c r="K167" s="81">
        <f t="shared" ca="1" si="50"/>
        <v>63346.234135445397</v>
      </c>
      <c r="L167" s="81">
        <f t="shared" ca="1" si="50"/>
        <v>26204.382547525151</v>
      </c>
      <c r="M167" s="81">
        <f t="shared" ca="1" si="50"/>
        <v>62741.357161469146</v>
      </c>
      <c r="N167" s="81">
        <f t="shared" ca="1" si="50"/>
        <v>87807.66244228906</v>
      </c>
      <c r="O167" s="81">
        <f t="shared" ca="1" si="50"/>
        <v>134603.08485242503</v>
      </c>
      <c r="P167" s="81">
        <f t="shared" ca="1" si="50"/>
        <v>89827.9430951018</v>
      </c>
      <c r="Q167" s="81">
        <f t="shared" ca="1" si="50"/>
        <v>54407.050838862648</v>
      </c>
      <c r="R167" s="81">
        <f t="shared" ca="1" si="50"/>
        <v>28945.530056348354</v>
      </c>
      <c r="S167" s="81">
        <f t="shared" ca="1" si="50"/>
        <v>33596.99383796101</v>
      </c>
    </row>
    <row r="168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13" t="s">
        <v>1076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>
      <c r="A170" s="82" t="s">
        <v>1077</v>
      </c>
      <c r="B170" s="3"/>
      <c r="C170" s="3"/>
      <c r="D170" s="23" t="s">
        <v>1078</v>
      </c>
      <c r="E170" s="23" t="s">
        <v>1079</v>
      </c>
      <c r="F170" s="23" t="s">
        <v>1080</v>
      </c>
      <c r="G170" s="23" t="s">
        <v>1081</v>
      </c>
      <c r="H170" s="23" t="s">
        <v>1082</v>
      </c>
      <c r="I170" s="23" t="s">
        <v>1083</v>
      </c>
      <c r="J170" s="23" t="s">
        <v>1084</v>
      </c>
      <c r="K170" s="23" t="s">
        <v>1085</v>
      </c>
      <c r="L170" s="23" t="s">
        <v>1086</v>
      </c>
      <c r="M170" s="23" t="s">
        <v>1087</v>
      </c>
      <c r="N170" s="23" t="s">
        <v>1088</v>
      </c>
      <c r="O170" s="23" t="s">
        <v>1089</v>
      </c>
      <c r="P170" s="23" t="s">
        <v>1090</v>
      </c>
      <c r="Q170" s="23" t="s">
        <v>1091</v>
      </c>
      <c r="R170" s="23" t="s">
        <v>1092</v>
      </c>
      <c r="S170" s="23" t="s">
        <v>1093</v>
      </c>
    </row>
    <row r="171" spans="1:19">
      <c r="A171" s="82" t="s">
        <v>1094</v>
      </c>
      <c r="B171" s="3"/>
      <c r="C171" s="3"/>
      <c r="D171" s="23" t="str">
        <f t="shared" ref="D171:S171" si="51">IF(D65=0,"n/a",IF(ABS((D112*D42+D118*D52+D124*D43+D130*D53+D136*D135)-(D79-D87))/D65&lt;0.05,"OK","CHECK"))</f>
        <v>OK</v>
      </c>
      <c r="E171" s="23" t="str">
        <f t="shared" ca="1" si="51"/>
        <v>CHECK</v>
      </c>
      <c r="F171" s="23" t="str">
        <f t="shared" ca="1" si="51"/>
        <v>CHECK</v>
      </c>
      <c r="G171" s="23" t="str">
        <f t="shared" ca="1" si="51"/>
        <v>CHECK</v>
      </c>
      <c r="H171" s="23" t="str">
        <f t="shared" ca="1" si="51"/>
        <v>CHECK</v>
      </c>
      <c r="I171" s="23" t="str">
        <f t="shared" ca="1" si="51"/>
        <v>CHECK</v>
      </c>
      <c r="J171" s="23" t="str">
        <f t="shared" ca="1" si="51"/>
        <v>CHECK</v>
      </c>
      <c r="K171" s="23" t="str">
        <f t="shared" ca="1" si="51"/>
        <v>CHECK</v>
      </c>
      <c r="L171" s="23" t="str">
        <f t="shared" ca="1" si="51"/>
        <v>CHECK</v>
      </c>
      <c r="M171" s="23" t="str">
        <f t="shared" ca="1" si="51"/>
        <v>CHECK</v>
      </c>
      <c r="N171" s="23" t="str">
        <f t="shared" ca="1" si="51"/>
        <v>CHECK</v>
      </c>
      <c r="O171" s="23" t="str">
        <f t="shared" ca="1" si="51"/>
        <v>CHECK</v>
      </c>
      <c r="P171" s="23" t="str">
        <f t="shared" ca="1" si="51"/>
        <v>CHECK</v>
      </c>
      <c r="Q171" s="23" t="str">
        <f t="shared" ca="1" si="51"/>
        <v>CHECK</v>
      </c>
      <c r="R171" s="23" t="str">
        <f t="shared" ca="1" si="51"/>
        <v>CHECK</v>
      </c>
      <c r="S171" s="23" t="str">
        <f t="shared" ca="1" si="51"/>
        <v>CHECK</v>
      </c>
    </row>
    <row r="172" spans="1:19">
      <c r="A172" s="5" t="s">
        <v>1095</v>
      </c>
      <c r="B172" s="3"/>
      <c r="C172" s="3"/>
      <c r="D172" s="23" t="str">
        <f>IF(ABS(D65-11387)/11387&lt;0.05,"OK","RESIDUAL: rev $"&amp;ROUND(D65,0)&amp;"M vs S-1 $11,387M; tune curves/Network ops&amp;G&amp;A — calibration decision")</f>
        <v>OK</v>
      </c>
      <c r="E172" s="23" t="s">
        <v>1096</v>
      </c>
      <c r="F172" s="23" t="s">
        <v>1097</v>
      </c>
      <c r="G172" s="23" t="s">
        <v>1098</v>
      </c>
      <c r="H172" s="23" t="s">
        <v>1099</v>
      </c>
      <c r="I172" s="23" t="s">
        <v>1100</v>
      </c>
      <c r="J172" s="23" t="s">
        <v>1101</v>
      </c>
      <c r="K172" s="23" t="s">
        <v>1102</v>
      </c>
      <c r="L172" s="23" t="s">
        <v>1103</v>
      </c>
      <c r="M172" s="23" t="s">
        <v>1104</v>
      </c>
      <c r="N172" s="23" t="s">
        <v>1105</v>
      </c>
      <c r="O172" s="23" t="s">
        <v>1106</v>
      </c>
      <c r="P172" s="23" t="s">
        <v>1107</v>
      </c>
      <c r="Q172" s="23" t="s">
        <v>1108</v>
      </c>
      <c r="R172" s="23" t="s">
        <v>1109</v>
      </c>
      <c r="S172" s="23" t="s">
        <v>1110</v>
      </c>
    </row>
    <row r="173" spans="1:19">
      <c r="A173" s="5" t="s">
        <v>1111</v>
      </c>
      <c r="B173" s="3"/>
      <c r="C173" s="3"/>
      <c r="D173" s="23" t="str">
        <f>IF(ABS(D62-632)/632&lt;0.03,"OK","CHECK (pre-cutover)")</f>
        <v>OK</v>
      </c>
      <c r="E173" s="23" t="s">
        <v>1112</v>
      </c>
      <c r="F173" s="23" t="s">
        <v>1112</v>
      </c>
      <c r="G173" s="23" t="s">
        <v>1112</v>
      </c>
      <c r="H173" s="23" t="s">
        <v>1112</v>
      </c>
      <c r="I173" s="23" t="s">
        <v>1112</v>
      </c>
      <c r="J173" s="23" t="s">
        <v>1112</v>
      </c>
      <c r="K173" s="23" t="s">
        <v>1112</v>
      </c>
      <c r="L173" s="23" t="s">
        <v>1112</v>
      </c>
      <c r="M173" s="23" t="s">
        <v>1112</v>
      </c>
      <c r="N173" s="23" t="s">
        <v>1112</v>
      </c>
      <c r="O173" s="23" t="s">
        <v>1112</v>
      </c>
      <c r="P173" s="23" t="s">
        <v>1112</v>
      </c>
      <c r="Q173" s="23" t="s">
        <v>1112</v>
      </c>
      <c r="R173" s="23" t="s">
        <v>1112</v>
      </c>
      <c r="S173" s="23" t="s">
        <v>1112</v>
      </c>
    </row>
    <row r="174" spans="1:19">
      <c r="A174" s="5" t="s">
        <v>1113</v>
      </c>
      <c r="B174" s="3"/>
      <c r="C174" s="3"/>
      <c r="D174" s="23" t="str">
        <f t="shared" ref="D174:S174" si="52">IF(D163=489144,"Rebuilt BB capacity 489,144 Gbps correct; revenue reflects LIVE-tab capacity until rename-swap repoints Demand Curves","capacity drift")</f>
        <v>Rebuilt BB capacity 489,144 Gbps correct; revenue reflects LIVE-tab capacity until rename-swap repoints Demand Curves</v>
      </c>
      <c r="E174" s="23" t="str">
        <f t="shared" ca="1" si="52"/>
        <v>capacity drift</v>
      </c>
      <c r="F174" s="23" t="str">
        <f t="shared" ca="1" si="52"/>
        <v>capacity drift</v>
      </c>
      <c r="G174" s="23" t="str">
        <f t="shared" ca="1" si="52"/>
        <v>capacity drift</v>
      </c>
      <c r="H174" s="23" t="str">
        <f t="shared" ca="1" si="52"/>
        <v>capacity drift</v>
      </c>
      <c r="I174" s="23" t="str">
        <f t="shared" ca="1" si="52"/>
        <v>capacity drift</v>
      </c>
      <c r="J174" s="23" t="str">
        <f t="shared" ca="1" si="52"/>
        <v>capacity drift</v>
      </c>
      <c r="K174" s="23" t="str">
        <f t="shared" ca="1" si="52"/>
        <v>capacity drift</v>
      </c>
      <c r="L174" s="23" t="str">
        <f t="shared" ca="1" si="52"/>
        <v>capacity drift</v>
      </c>
      <c r="M174" s="23" t="str">
        <f t="shared" ca="1" si="52"/>
        <v>capacity drift</v>
      </c>
      <c r="N174" s="23" t="str">
        <f t="shared" ca="1" si="52"/>
        <v>capacity drift</v>
      </c>
      <c r="O174" s="23" t="str">
        <f t="shared" ca="1" si="52"/>
        <v>capacity drift</v>
      </c>
      <c r="P174" s="23" t="str">
        <f t="shared" ca="1" si="52"/>
        <v>capacity drift</v>
      </c>
      <c r="Q174" s="23" t="str">
        <f t="shared" ca="1" si="52"/>
        <v>capacity drift</v>
      </c>
      <c r="R174" s="23" t="str">
        <f t="shared" ca="1" si="52"/>
        <v>capacity drift</v>
      </c>
      <c r="S174" s="23" t="str">
        <f t="shared" ca="1" si="52"/>
        <v>capacity drift</v>
      </c>
    </row>
    <row r="175" spans="1:1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5" t="s">
        <v>1114</v>
      </c>
      <c r="B176" s="3"/>
      <c r="C176" s="3"/>
      <c r="D176" s="29">
        <f t="shared" ref="D176:S176" si="53">D$47+D$48</f>
        <v>414144</v>
      </c>
      <c r="E176" s="23">
        <f t="shared" ca="1" si="53"/>
        <v>713664</v>
      </c>
      <c r="F176" s="23">
        <f t="shared" ca="1" si="53"/>
        <v>4630517.443326761</v>
      </c>
      <c r="G176" s="23">
        <f t="shared" ca="1" si="53"/>
        <v>13909825.135599311</v>
      </c>
      <c r="H176" s="23">
        <f t="shared" ca="1" si="53"/>
        <v>37706338.90701995</v>
      </c>
      <c r="I176" s="23">
        <f t="shared" ca="1" si="53"/>
        <v>52599405.926425837</v>
      </c>
      <c r="J176" s="23">
        <f t="shared" ca="1" si="53"/>
        <v>81246795.994900599</v>
      </c>
      <c r="K176" s="23">
        <f t="shared" ca="1" si="53"/>
        <v>93730001.383399457</v>
      </c>
      <c r="L176" s="23">
        <f t="shared" ca="1" si="53"/>
        <v>89181520.434633434</v>
      </c>
      <c r="M176" s="23">
        <f t="shared" ca="1" si="53"/>
        <v>87992065.764752746</v>
      </c>
      <c r="N176" s="23">
        <f t="shared" ca="1" si="53"/>
        <v>115396915.14757498</v>
      </c>
      <c r="O176" s="23">
        <f t="shared" ca="1" si="53"/>
        <v>160172056.9048982</v>
      </c>
      <c r="P176" s="23">
        <f t="shared" ca="1" si="53"/>
        <v>195592949.16113734</v>
      </c>
      <c r="Q176" s="23">
        <f t="shared" ca="1" si="53"/>
        <v>221054469.94365165</v>
      </c>
      <c r="R176" s="23">
        <f t="shared" ca="1" si="53"/>
        <v>214228323.97496885</v>
      </c>
      <c r="S176" s="23">
        <f t="shared" ca="1" si="53"/>
        <v>188862321.63178316</v>
      </c>
    </row>
    <row r="177" spans="1:19">
      <c r="A177" s="5" t="s">
        <v>1115</v>
      </c>
      <c r="B177" s="3"/>
      <c r="C177" s="3"/>
      <c r="D177" s="29">
        <f t="shared" ref="D177:S177" si="54">D$54+D$55</f>
        <v>577.71</v>
      </c>
      <c r="E177" s="23">
        <f t="shared" si="54"/>
        <v>577.71</v>
      </c>
      <c r="F177" s="23">
        <f t="shared" ca="1" si="54"/>
        <v>579.36979801797065</v>
      </c>
      <c r="G177" s="23">
        <f t="shared" ca="1" si="54"/>
        <v>649.95120583444827</v>
      </c>
      <c r="H177" s="23">
        <f t="shared" ca="1" si="54"/>
        <v>3085.5434225565646</v>
      </c>
      <c r="I177" s="23">
        <f t="shared" ca="1" si="54"/>
        <v>33938.701192794382</v>
      </c>
      <c r="J177" s="23">
        <f t="shared" ca="1" si="54"/>
        <v>55683.284634496951</v>
      </c>
      <c r="K177" s="23">
        <f t="shared" ca="1" si="54"/>
        <v>97088.151454271618</v>
      </c>
      <c r="L177" s="23">
        <f t="shared" ca="1" si="54"/>
        <v>115835.48792959955</v>
      </c>
      <c r="M177" s="23">
        <f t="shared" ca="1" si="54"/>
        <v>148387.73326573498</v>
      </c>
      <c r="N177" s="23">
        <f t="shared" ca="1" si="54"/>
        <v>157263.55816683092</v>
      </c>
      <c r="O177" s="23">
        <f t="shared" ca="1" si="54"/>
        <v>189216.04585461339</v>
      </c>
      <c r="P177" s="23">
        <f t="shared" ca="1" si="54"/>
        <v>181331.68618702743</v>
      </c>
      <c r="Q177" s="23">
        <f t="shared" ca="1" si="54"/>
        <v>183749.37828980948</v>
      </c>
      <c r="R177" s="23">
        <f t="shared" ca="1" si="54"/>
        <v>159962.11952747116</v>
      </c>
      <c r="S177" s="23">
        <f t="shared" ca="1" si="54"/>
        <v>134521.12388514361</v>
      </c>
    </row>
    <row r="178" spans="1:1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>
      <c r="A179" s="13" t="s">
        <v>1116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>
      <c r="A180" s="5" t="s">
        <v>1117</v>
      </c>
      <c r="B180" s="3"/>
      <c r="C180" s="3"/>
      <c r="D180" s="101">
        <f t="array" ref="D180">D$61/(INDEX(Assumptions!$D:$S,MATCH("Broadband ARPU ($/sub/mo): year-row",Assumptions!$A$1:$A$257,0),D$5+1)*12)</f>
        <v>6.914835957777778</v>
      </c>
      <c r="E180" s="101">
        <f t="array" aca="1" ref="E180" ca="1">E$61/(INDEX(Assumptions!$D:$S,MATCH("Broadband ARPU ($/sub/mo): year-row",Assumptions!$A$1:$A$257,0),E$5+1)*12)</f>
        <v>10.252503419786782</v>
      </c>
      <c r="F180" s="101">
        <f t="array" aca="1" ref="F180" ca="1">F$61/(INDEX(Assumptions!$D:$S,MATCH("Broadband ARPU ($/sub/mo): year-row",Assumptions!$A$1:$A$257,0),F$5+1)*12)</f>
        <v>43.914042014124128</v>
      </c>
      <c r="G180" s="101">
        <f t="array" aca="1" ref="G180" ca="1">G$61/(INDEX(Assumptions!$D:$S,MATCH("Broadband ARPU ($/sub/mo): year-row",Assumptions!$A$1:$A$257,0),G$5+1)*12)</f>
        <v>100.37293812915921</v>
      </c>
      <c r="H180" s="101">
        <f t="array" aca="1" ref="H180" ca="1">H$61/(INDEX(Assumptions!$D:$S,MATCH("Broadband ARPU ($/sub/mo): year-row",Assumptions!$A$1:$A$257,0),H$5+1)*12)</f>
        <v>187.39442392755669</v>
      </c>
      <c r="I180" s="101">
        <f t="array" aca="1" ref="I180" ca="1">I$61/(INDEX(Assumptions!$D:$S,MATCH("Broadband ARPU ($/sub/mo): year-row",Assumptions!$A$1:$A$257,0),I$5+1)*12)</f>
        <v>244.09151932383224</v>
      </c>
      <c r="J180" s="101">
        <f t="array" aca="1" ref="J180" ca="1">J$61/(INDEX(Assumptions!$D:$S,MATCH("Broadband ARPU ($/sub/mo): year-row",Assumptions!$A$1:$A$257,0),J$5+1)*12)</f>
        <v>310.34641674278714</v>
      </c>
      <c r="K180" s="101">
        <f t="array" aca="1" ref="K180" ca="1">K$61/(INDEX(Assumptions!$D:$S,MATCH("Broadband ARPU ($/sub/mo): year-row",Assumptions!$A$1:$A$257,0),K$5+1)*12)</f>
        <v>356.28385001211115</v>
      </c>
      <c r="L180" s="101">
        <f t="array" aca="1" ref="L180" ca="1">L$61/(INDEX(Assumptions!$D:$S,MATCH("Broadband ARPU ($/sub/mo): year-row",Assumptions!$A$1:$A$257,0),L$5+1)*12)</f>
        <v>384.67024663728682</v>
      </c>
      <c r="M180" s="101">
        <f t="array" aca="1" ref="M180" ca="1">M$61/(INDEX(Assumptions!$D:$S,MATCH("Broadband ARPU ($/sub/mo): year-row",Assumptions!$A$1:$A$257,0),M$5+1)*12)</f>
        <v>401.52553587304453</v>
      </c>
      <c r="N180" s="101">
        <f t="array" aca="1" ref="N180" ca="1">N$61/(INDEX(Assumptions!$D:$S,MATCH("Broadband ARPU ($/sub/mo): year-row",Assumptions!$A$1:$A$257,0),N$5+1)*12)</f>
        <v>436.65721221984313</v>
      </c>
      <c r="O180" s="101">
        <f t="array" aca="1" ref="O180" ca="1">O$61/(INDEX(Assumptions!$D:$S,MATCH("Broadband ARPU ($/sub/mo): year-row",Assumptions!$A$1:$A$257,0),O$5+1)*12)</f>
        <v>473.19755801336959</v>
      </c>
      <c r="P180" s="101">
        <f t="array" aca="1" ref="P180" ca="1">P$61/(INDEX(Assumptions!$D:$S,MATCH("Broadband ARPU ($/sub/mo): year-row",Assumptions!$A$1:$A$257,0),P$5+1)*12)</f>
        <v>498.61804720573707</v>
      </c>
      <c r="Q180" s="101">
        <f t="array" aca="1" ref="Q180" ca="1">Q$61/(INDEX(Assumptions!$D:$S,MATCH("Broadband ARPU ($/sub/mo): year-row",Assumptions!$A$1:$A$257,0),Q$5+1)*12)</f>
        <v>519.64329612838992</v>
      </c>
      <c r="R180" s="101">
        <f t="array" aca="1" ref="R180" ca="1">R$61/(INDEX(Assumptions!$D:$S,MATCH("Broadband ARPU ($/sub/mo): year-row",Assumptions!$A$1:$A$257,0),R$5+1)*12)</f>
        <v>530.39655942867012</v>
      </c>
      <c r="S180" s="101">
        <f t="array" aca="1" ref="S180" ca="1">S$61/(INDEX(Assumptions!$D:$S,MATCH("Broadband ARPU ($/sub/mo): year-row",Assumptions!$A$1:$A$257,0),S$5+1)*12)</f>
        <v>534.34383805676191</v>
      </c>
    </row>
    <row r="181" spans="1:19" ht="21.75" customHeight="1">
      <c r="A181" s="5" t="s">
        <v>1118</v>
      </c>
      <c r="B181" s="3"/>
      <c r="C181" s="3"/>
      <c r="D181" s="101">
        <f>INDEX(Assumptions!$B:$B,MATCH("Starting BoY 2025 subscribers (millions)",Assumptions!$A$1:$A$257,0))</f>
        <v>4.4000000000000004</v>
      </c>
      <c r="E181" s="101">
        <f t="array" ref="E181">D$61/(INDEX(Assumptions!$D:$S,MATCH("Broadband ARPU ($/sub/mo): year-row",Assumptions!$A$1:$A$257,0),D$5+1)*12)</f>
        <v>6.914835957777778</v>
      </c>
      <c r="F181" s="101">
        <f t="array" aca="1" ref="F181" ca="1">E$61/(INDEX(Assumptions!$D:$S,MATCH("Broadband ARPU ($/sub/mo): year-row",Assumptions!$A$1:$A$257,0),E$5+1)*12)</f>
        <v>10.252503419786782</v>
      </c>
      <c r="G181" s="101">
        <f t="array" aca="1" ref="G181" ca="1">F$61/(INDEX(Assumptions!$D:$S,MATCH("Broadband ARPU ($/sub/mo): year-row",Assumptions!$A$1:$A$257,0),F$5+1)*12)</f>
        <v>43.914042014124128</v>
      </c>
      <c r="H181" s="101">
        <f t="array" aca="1" ref="H181" ca="1">G$61/(INDEX(Assumptions!$D:$S,MATCH("Broadband ARPU ($/sub/mo): year-row",Assumptions!$A$1:$A$257,0),G$5+1)*12)</f>
        <v>100.37293812915921</v>
      </c>
      <c r="I181" s="101">
        <f t="array" aca="1" ref="I181" ca="1">H$61/(INDEX(Assumptions!$D:$S,MATCH("Broadband ARPU ($/sub/mo): year-row",Assumptions!$A$1:$A$257,0),H$5+1)*12)</f>
        <v>187.39442392755669</v>
      </c>
      <c r="J181" s="101">
        <f t="array" aca="1" ref="J181" ca="1">I$61/(INDEX(Assumptions!$D:$S,MATCH("Broadband ARPU ($/sub/mo): year-row",Assumptions!$A$1:$A$257,0),I$5+1)*12)</f>
        <v>244.09151932383224</v>
      </c>
      <c r="K181" s="101">
        <f t="array" aca="1" ref="K181" ca="1">J$61/(INDEX(Assumptions!$D:$S,MATCH("Broadband ARPU ($/sub/mo): year-row",Assumptions!$A$1:$A$257,0),J$5+1)*12)</f>
        <v>310.34641674278714</v>
      </c>
      <c r="L181" s="101">
        <f t="array" aca="1" ref="L181" ca="1">K$61/(INDEX(Assumptions!$D:$S,MATCH("Broadband ARPU ($/sub/mo): year-row",Assumptions!$A$1:$A$257,0),K$5+1)*12)</f>
        <v>356.28385001211115</v>
      </c>
      <c r="M181" s="101">
        <f t="array" aca="1" ref="M181" ca="1">L$61/(INDEX(Assumptions!$D:$S,MATCH("Broadband ARPU ($/sub/mo): year-row",Assumptions!$A$1:$A$257,0),L$5+1)*12)</f>
        <v>384.67024663728682</v>
      </c>
      <c r="N181" s="101">
        <f t="array" aca="1" ref="N181" ca="1">M$61/(INDEX(Assumptions!$D:$S,MATCH("Broadband ARPU ($/sub/mo): year-row",Assumptions!$A$1:$A$257,0),M$5+1)*12)</f>
        <v>401.52553587304453</v>
      </c>
      <c r="O181" s="101">
        <f t="array" aca="1" ref="O181" ca="1">N$61/(INDEX(Assumptions!$D:$S,MATCH("Broadband ARPU ($/sub/mo): year-row",Assumptions!$A$1:$A$257,0),N$5+1)*12)</f>
        <v>436.65721221984313</v>
      </c>
      <c r="P181" s="101">
        <f t="array" aca="1" ref="P181" ca="1">O$61/(INDEX(Assumptions!$D:$S,MATCH("Broadband ARPU ($/sub/mo): year-row",Assumptions!$A$1:$A$257,0),O$5+1)*12)</f>
        <v>473.19755801336959</v>
      </c>
      <c r="Q181" s="101">
        <f t="array" aca="1" ref="Q181" ca="1">P$61/(INDEX(Assumptions!$D:$S,MATCH("Broadband ARPU ($/sub/mo): year-row",Assumptions!$A$1:$A$257,0),P$5+1)*12)</f>
        <v>498.61804720573707</v>
      </c>
      <c r="R181" s="101">
        <f t="array" aca="1" ref="R181" ca="1">Q$61/(INDEX(Assumptions!$D:$S,MATCH("Broadband ARPU ($/sub/mo): year-row",Assumptions!$A$1:$A$257,0),Q$5+1)*12)</f>
        <v>519.64329612838992</v>
      </c>
      <c r="S181" s="101">
        <f t="array" aca="1" ref="S181" ca="1">R$61/(INDEX(Assumptions!$D:$S,MATCH("Broadband ARPU ($/sub/mo): year-row",Assumptions!$A$1:$A$257,0),R$5+1)*12)</f>
        <v>530.39655942867012</v>
      </c>
    </row>
    <row r="182" spans="1:19" ht="27.75" customHeight="1">
      <c r="A182" s="5" t="s">
        <v>1119</v>
      </c>
      <c r="B182" s="3"/>
      <c r="C182" s="3"/>
      <c r="D182" s="101">
        <f t="array" ref="D182">D$61/(INDEX(Assumptions!$D:$S,MATCH("Broadband ARPU ($/sub/mo): year-row",Assumptions!$A$1:$A$257,0),D$5+1)*12)</f>
        <v>6.914835957777778</v>
      </c>
      <c r="E182" s="101">
        <f t="array" aca="1" ref="E182" ca="1">E$61/(INDEX(Assumptions!$D:$S,MATCH("Broadband ARPU ($/sub/mo): year-row",Assumptions!$A$1:$A$257,0),E$5+1)*12)</f>
        <v>10.252503419786782</v>
      </c>
      <c r="F182" s="101">
        <f t="array" aca="1" ref="F182" ca="1">F$61/(INDEX(Assumptions!$D:$S,MATCH("Broadband ARPU ($/sub/mo): year-row",Assumptions!$A$1:$A$257,0),F$5+1)*12)</f>
        <v>43.914042014124128</v>
      </c>
      <c r="G182" s="101">
        <f t="array" aca="1" ref="G182" ca="1">G$61/(INDEX(Assumptions!$D:$S,MATCH("Broadband ARPU ($/sub/mo): year-row",Assumptions!$A$1:$A$257,0),G$5+1)*12)</f>
        <v>100.37293812915921</v>
      </c>
      <c r="H182" s="101">
        <f t="array" aca="1" ref="H182" ca="1">H$61/(INDEX(Assumptions!$D:$S,MATCH("Broadband ARPU ($/sub/mo): year-row",Assumptions!$A$1:$A$257,0),H$5+1)*12)</f>
        <v>187.39442392755669</v>
      </c>
      <c r="I182" s="101">
        <f t="array" aca="1" ref="I182" ca="1">I$61/(INDEX(Assumptions!$D:$S,MATCH("Broadband ARPU ($/sub/mo): year-row",Assumptions!$A$1:$A$257,0),I$5+1)*12)</f>
        <v>244.09151932383224</v>
      </c>
      <c r="J182" s="101">
        <f t="array" aca="1" ref="J182" ca="1">J$61/(INDEX(Assumptions!$D:$S,MATCH("Broadband ARPU ($/sub/mo): year-row",Assumptions!$A$1:$A$257,0),J$5+1)*12)</f>
        <v>310.34641674278714</v>
      </c>
      <c r="K182" s="101">
        <f t="array" aca="1" ref="K182" ca="1">K$61/(INDEX(Assumptions!$D:$S,MATCH("Broadband ARPU ($/sub/mo): year-row",Assumptions!$A$1:$A$257,0),K$5+1)*12)</f>
        <v>356.28385001211115</v>
      </c>
      <c r="L182" s="101">
        <f t="array" aca="1" ref="L182" ca="1">L$61/(INDEX(Assumptions!$D:$S,MATCH("Broadband ARPU ($/sub/mo): year-row",Assumptions!$A$1:$A$257,0),L$5+1)*12)</f>
        <v>384.67024663728682</v>
      </c>
      <c r="M182" s="101">
        <f t="array" aca="1" ref="M182" ca="1">M$61/(INDEX(Assumptions!$D:$S,MATCH("Broadband ARPU ($/sub/mo): year-row",Assumptions!$A$1:$A$257,0),M$5+1)*12)</f>
        <v>401.52553587304453</v>
      </c>
      <c r="N182" s="101">
        <f t="array" aca="1" ref="N182" ca="1">N$61/(INDEX(Assumptions!$D:$S,MATCH("Broadband ARPU ($/sub/mo): year-row",Assumptions!$A$1:$A$257,0),N$5+1)*12)</f>
        <v>436.65721221984313</v>
      </c>
      <c r="O182" s="101">
        <f t="array" aca="1" ref="O182" ca="1">O$61/(INDEX(Assumptions!$D:$S,MATCH("Broadband ARPU ($/sub/mo): year-row",Assumptions!$A$1:$A$257,0),O$5+1)*12)</f>
        <v>473.19755801336959</v>
      </c>
      <c r="P182" s="101">
        <f t="array" aca="1" ref="P182" ca="1">P$61/(INDEX(Assumptions!$D:$S,MATCH("Broadband ARPU ($/sub/mo): year-row",Assumptions!$A$1:$A$257,0),P$5+1)*12)</f>
        <v>498.61804720573707</v>
      </c>
      <c r="Q182" s="101">
        <f t="array" aca="1" ref="Q182" ca="1">Q$61/(INDEX(Assumptions!$D:$S,MATCH("Broadband ARPU ($/sub/mo): year-row",Assumptions!$A$1:$A$257,0),Q$5+1)*12)</f>
        <v>519.64329612838992</v>
      </c>
      <c r="R182" s="101">
        <f t="array" aca="1" ref="R182" ca="1">R$61/(INDEX(Assumptions!$D:$S,MATCH("Broadband ARPU ($/sub/mo): year-row",Assumptions!$A$1:$A$257,0),R$5+1)*12)</f>
        <v>530.39655942867012</v>
      </c>
      <c r="S182" s="101">
        <f t="array" aca="1" ref="S182" ca="1">S$61/(INDEX(Assumptions!$D:$S,MATCH("Broadband ARPU ($/sub/mo): year-row",Assumptions!$A$1:$A$257,0),S$5+1)*12)</f>
        <v>534.34383805676191</v>
      </c>
    </row>
    <row r="183" spans="1:19" ht="15" customHeight="1">
      <c r="A183" s="5" t="s">
        <v>1120</v>
      </c>
      <c r="B183" s="3"/>
      <c r="C183" s="3"/>
      <c r="D183" s="102">
        <f t="shared" ref="D183:S183" si="55">MAX(0,D$182-D$181)</f>
        <v>2.5148359577777777</v>
      </c>
      <c r="E183" s="102">
        <f t="shared" ca="1" si="55"/>
        <v>3.3376674620090041</v>
      </c>
      <c r="F183" s="102">
        <f t="shared" ca="1" si="55"/>
        <v>33.661538594337344</v>
      </c>
      <c r="G183" s="102">
        <f t="shared" ca="1" si="55"/>
        <v>56.458896115035081</v>
      </c>
      <c r="H183" s="102">
        <f t="shared" ca="1" si="55"/>
        <v>87.021485798397478</v>
      </c>
      <c r="I183" s="102">
        <f t="shared" ca="1" si="55"/>
        <v>56.697095396275557</v>
      </c>
      <c r="J183" s="102">
        <f t="shared" ca="1" si="55"/>
        <v>66.254897418954897</v>
      </c>
      <c r="K183" s="102">
        <f t="shared" ca="1" si="55"/>
        <v>45.937433269324004</v>
      </c>
      <c r="L183" s="102">
        <f t="shared" ca="1" si="55"/>
        <v>28.386396625175678</v>
      </c>
      <c r="M183" s="102">
        <f t="shared" ca="1" si="55"/>
        <v>16.855289235757709</v>
      </c>
      <c r="N183" s="102">
        <f t="shared" ca="1" si="55"/>
        <v>35.131676346798599</v>
      </c>
      <c r="O183" s="102">
        <f t="shared" ca="1" si="55"/>
        <v>36.540345793526456</v>
      </c>
      <c r="P183" s="102">
        <f t="shared" ca="1" si="55"/>
        <v>25.420489192367484</v>
      </c>
      <c r="Q183" s="102">
        <f t="shared" ca="1" si="55"/>
        <v>21.02524892265285</v>
      </c>
      <c r="R183" s="102">
        <f t="shared" ca="1" si="55"/>
        <v>10.753263300280196</v>
      </c>
      <c r="S183" s="102">
        <f t="shared" ca="1" si="55"/>
        <v>3.9472786280917944</v>
      </c>
    </row>
    <row r="184" spans="1:19">
      <c r="A184" s="78" t="s">
        <v>1121</v>
      </c>
      <c r="B184" s="78"/>
      <c r="C184" s="78"/>
      <c r="D184" s="103">
        <f t="array" ref="D184">D$61/(INDEX(Assumptions!$D:$S,MATCH("Broadband ARPU ($/sub/mo): year-row",Assumptions!$A$1:$A$257,0),D$5+1)*12)</f>
        <v>6.914835957777778</v>
      </c>
      <c r="E184" s="103">
        <f t="array" aca="1" ref="E184" ca="1">E$61/(INDEX(Assumptions!$D:$S,MATCH("Broadband ARPU ($/sub/mo): year-row",Assumptions!$A$1:$A$257,0),E$5+1)*12)</f>
        <v>10.252503419786782</v>
      </c>
      <c r="F184" s="103">
        <f t="array" aca="1" ref="F184" ca="1">F$61/(INDEX(Assumptions!$D:$S,MATCH("Broadband ARPU ($/sub/mo): year-row",Assumptions!$A$1:$A$257,0),F$5+1)*12)</f>
        <v>43.914042014124128</v>
      </c>
      <c r="G184" s="103">
        <f t="array" aca="1" ref="G184" ca="1">G$61/(INDEX(Assumptions!$D:$S,MATCH("Broadband ARPU ($/sub/mo): year-row",Assumptions!$A$1:$A$257,0),G$5+1)*12)</f>
        <v>100.37293812915921</v>
      </c>
      <c r="H184" s="103">
        <f t="array" aca="1" ref="H184" ca="1">H$61/(INDEX(Assumptions!$D:$S,MATCH("Broadband ARPU ($/sub/mo): year-row",Assumptions!$A$1:$A$257,0),H$5+1)*12)</f>
        <v>187.39442392755669</v>
      </c>
      <c r="I184" s="103">
        <f t="array" aca="1" ref="I184" ca="1">I$61/(INDEX(Assumptions!$D:$S,MATCH("Broadband ARPU ($/sub/mo): year-row",Assumptions!$A$1:$A$257,0),I$5+1)*12)</f>
        <v>244.09151932383224</v>
      </c>
      <c r="J184" s="103">
        <f t="array" aca="1" ref="J184" ca="1">J$61/(INDEX(Assumptions!$D:$S,MATCH("Broadband ARPU ($/sub/mo): year-row",Assumptions!$A$1:$A$257,0),J$5+1)*12)</f>
        <v>310.34641674278714</v>
      </c>
      <c r="K184" s="103">
        <f t="array" aca="1" ref="K184" ca="1">K$61/(INDEX(Assumptions!$D:$S,MATCH("Broadband ARPU ($/sub/mo): year-row",Assumptions!$A$1:$A$257,0),K$5+1)*12)</f>
        <v>356.28385001211115</v>
      </c>
      <c r="L184" s="103">
        <f t="array" aca="1" ref="L184" ca="1">L$61/(INDEX(Assumptions!$D:$S,MATCH("Broadband ARPU ($/sub/mo): year-row",Assumptions!$A$1:$A$257,0),L$5+1)*12)</f>
        <v>384.67024663728682</v>
      </c>
      <c r="M184" s="103">
        <f t="array" aca="1" ref="M184" ca="1">M$61/(INDEX(Assumptions!$D:$S,MATCH("Broadband ARPU ($/sub/mo): year-row",Assumptions!$A$1:$A$257,0),M$5+1)*12)</f>
        <v>401.52553587304453</v>
      </c>
      <c r="N184" s="103">
        <f t="array" aca="1" ref="N184" ca="1">N$61/(INDEX(Assumptions!$D:$S,MATCH("Broadband ARPU ($/sub/mo): year-row",Assumptions!$A$1:$A$257,0),N$5+1)*12)</f>
        <v>436.65721221984313</v>
      </c>
      <c r="O184" s="103">
        <f t="array" aca="1" ref="O184" ca="1">O$61/(INDEX(Assumptions!$D:$S,MATCH("Broadband ARPU ($/sub/mo): year-row",Assumptions!$A$1:$A$257,0),O$5+1)*12)</f>
        <v>473.19755801336959</v>
      </c>
      <c r="P184" s="103">
        <f t="array" aca="1" ref="P184" ca="1">P$61/(INDEX(Assumptions!$D:$S,MATCH("Broadband ARPU ($/sub/mo): year-row",Assumptions!$A$1:$A$257,0),P$5+1)*12)</f>
        <v>498.61804720573707</v>
      </c>
      <c r="Q184" s="103">
        <f t="array" aca="1" ref="Q184" ca="1">Q$61/(INDEX(Assumptions!$D:$S,MATCH("Broadband ARPU ($/sub/mo): year-row",Assumptions!$A$1:$A$257,0),Q$5+1)*12)</f>
        <v>519.64329612838992</v>
      </c>
      <c r="R184" s="103">
        <f t="array" aca="1" ref="R184" ca="1">R$61/(INDEX(Assumptions!$D:$S,MATCH("Broadband ARPU ($/sub/mo): year-row",Assumptions!$A$1:$A$257,0),R$5+1)*12)</f>
        <v>530.39655942867012</v>
      </c>
      <c r="S184" s="103">
        <f t="array" aca="1" ref="S184" ca="1">S$61/(INDEX(Assumptions!$D:$S,MATCH("Broadband ARPU ($/sub/mo): year-row",Assumptions!$A$1:$A$257,0),S$5+1)*12)</f>
        <v>534.34383805676191</v>
      </c>
    </row>
    <row r="185" spans="1:19">
      <c r="A185" s="3" t="s">
        <v>1122</v>
      </c>
      <c r="B185" s="3"/>
      <c r="C185" s="3"/>
      <c r="D185" s="102">
        <f>INDEX(Assumptions!$B:$B,MATCH("Terminal kits per net subscriber add",Assumptions!$A$1:$A$454,0))*MAX(0,D$183)+INDEX(Assumptions!$B:$B,MATCH("Terminal replacement rate (% installed/yr)",Assumptions!$A$1:$A$454,0))*D$181</f>
        <v>2.9548359577777776</v>
      </c>
      <c r="E185" s="102">
        <f ca="1">INDEX(Assumptions!$B:$B,MATCH("Terminal kits per net subscriber add",Assumptions!$A$1:$A$454,0))*MAX(0,E$183)+INDEX(Assumptions!$B:$B,MATCH("Terminal replacement rate (% installed/yr)",Assumptions!$A$1:$A$454,0))*E$181</f>
        <v>4.0291510577867822</v>
      </c>
      <c r="F185" s="102">
        <f ca="1">INDEX(Assumptions!$B:$B,MATCH("Terminal kits per net subscriber add",Assumptions!$A$1:$A$454,0))*MAX(0,F$183)+INDEX(Assumptions!$B:$B,MATCH("Terminal replacement rate (% installed/yr)",Assumptions!$A$1:$A$454,0))*F$181</f>
        <v>34.68678893631602</v>
      </c>
      <c r="G185" s="102">
        <f ca="1">INDEX(Assumptions!$B:$B,MATCH("Terminal kits per net subscriber add",Assumptions!$A$1:$A$454,0))*MAX(0,G$183)+INDEX(Assumptions!$B:$B,MATCH("Terminal replacement rate (% installed/yr)",Assumptions!$A$1:$A$454,0))*G$181</f>
        <v>60.850300316447495</v>
      </c>
      <c r="H185" s="102">
        <f ca="1">INDEX(Assumptions!$B:$B,MATCH("Terminal kits per net subscriber add",Assumptions!$A$1:$A$454,0))*MAX(0,H$183)+INDEX(Assumptions!$B:$B,MATCH("Terminal replacement rate (% installed/yr)",Assumptions!$A$1:$A$454,0))*H$181</f>
        <v>97.058779611313398</v>
      </c>
      <c r="I185" s="102">
        <f ca="1">INDEX(Assumptions!$B:$B,MATCH("Terminal kits per net subscriber add",Assumptions!$A$1:$A$454,0))*MAX(0,I$183)+INDEX(Assumptions!$B:$B,MATCH("Terminal replacement rate (% installed/yr)",Assumptions!$A$1:$A$454,0))*I$181</f>
        <v>75.436537789031235</v>
      </c>
      <c r="J185" s="102">
        <f ca="1">INDEX(Assumptions!$B:$B,MATCH("Terminal kits per net subscriber add",Assumptions!$A$1:$A$454,0))*MAX(0,J$183)+INDEX(Assumptions!$B:$B,MATCH("Terminal replacement rate (% installed/yr)",Assumptions!$A$1:$A$454,0))*J$181</f>
        <v>90.664049351338122</v>
      </c>
      <c r="K185" s="102">
        <f ca="1">INDEX(Assumptions!$B:$B,MATCH("Terminal kits per net subscriber add",Assumptions!$A$1:$A$454,0))*MAX(0,K$183)+INDEX(Assumptions!$B:$B,MATCH("Terminal replacement rate (% installed/yr)",Assumptions!$A$1:$A$454,0))*K$181</f>
        <v>76.972074943602721</v>
      </c>
      <c r="L185" s="102">
        <f ca="1">INDEX(Assumptions!$B:$B,MATCH("Terminal kits per net subscriber add",Assumptions!$A$1:$A$454,0))*MAX(0,L$183)+INDEX(Assumptions!$B:$B,MATCH("Terminal replacement rate (% installed/yr)",Assumptions!$A$1:$A$454,0))*L$181</f>
        <v>64.014781626386792</v>
      </c>
      <c r="M185" s="102">
        <f ca="1">INDEX(Assumptions!$B:$B,MATCH("Terminal kits per net subscriber add",Assumptions!$A$1:$A$454,0))*MAX(0,M$183)+INDEX(Assumptions!$B:$B,MATCH("Terminal replacement rate (% installed/yr)",Assumptions!$A$1:$A$454,0))*M$181</f>
        <v>55.322313899486396</v>
      </c>
      <c r="N185" s="102">
        <f ca="1">INDEX(Assumptions!$B:$B,MATCH("Terminal kits per net subscriber add",Assumptions!$A$1:$A$454,0))*MAX(0,N$183)+INDEX(Assumptions!$B:$B,MATCH("Terminal replacement rate (% installed/yr)",Assumptions!$A$1:$A$454,0))*N$181</f>
        <v>75.284229934103053</v>
      </c>
      <c r="O185" s="102">
        <f ca="1">INDEX(Assumptions!$B:$B,MATCH("Terminal kits per net subscriber add",Assumptions!$A$1:$A$454,0))*MAX(0,O$183)+INDEX(Assumptions!$B:$B,MATCH("Terminal replacement rate (% installed/yr)",Assumptions!$A$1:$A$454,0))*O$181</f>
        <v>80.206067015510769</v>
      </c>
      <c r="P185" s="102">
        <f ca="1">INDEX(Assumptions!$B:$B,MATCH("Terminal kits per net subscriber add",Assumptions!$A$1:$A$454,0))*MAX(0,P$183)+INDEX(Assumptions!$B:$B,MATCH("Terminal replacement rate (% installed/yr)",Assumptions!$A$1:$A$454,0))*P$181</f>
        <v>72.740244993704437</v>
      </c>
      <c r="Q185" s="102">
        <f ca="1">INDEX(Assumptions!$B:$B,MATCH("Terminal kits per net subscriber add",Assumptions!$A$1:$A$454,0))*MAX(0,Q$183)+INDEX(Assumptions!$B:$B,MATCH("Terminal replacement rate (% installed/yr)",Assumptions!$A$1:$A$454,0))*Q$181</f>
        <v>70.887053643226551</v>
      </c>
      <c r="R185" s="102">
        <f ca="1">INDEX(Assumptions!$B:$B,MATCH("Terminal kits per net subscriber add",Assumptions!$A$1:$A$454,0))*MAX(0,R$183)+INDEX(Assumptions!$B:$B,MATCH("Terminal replacement rate (% installed/yr)",Assumptions!$A$1:$A$454,0))*R$181</f>
        <v>62.717592913119191</v>
      </c>
      <c r="S185" s="102">
        <f ca="1">INDEX(Assumptions!$B:$B,MATCH("Terminal kits per net subscriber add",Assumptions!$A$1:$A$454,0))*MAX(0,S$183)+INDEX(Assumptions!$B:$B,MATCH("Terminal replacement rate (% installed/yr)",Assumptions!$A$1:$A$454,0))*S$181</f>
        <v>56.986934570958809</v>
      </c>
    </row>
    <row r="186" spans="1:19">
      <c r="A186" s="13" t="s">
        <v>1123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>
      <c r="A187" s="5" t="s">
        <v>1124</v>
      </c>
      <c r="B187" s="3"/>
      <c r="C187" s="3"/>
      <c r="D187" s="104">
        <v>0</v>
      </c>
      <c r="E187" s="91">
        <f t="shared" ref="E187:S187" si="56">IF(E$29=1, D126, D114)</f>
        <v>0.47583252873269172</v>
      </c>
      <c r="F187" s="91">
        <f t="shared" ca="1" si="56"/>
        <v>3</v>
      </c>
      <c r="G187" s="91">
        <f t="shared" ca="1" si="56"/>
        <v>2.0293184719326134</v>
      </c>
      <c r="H187" s="91">
        <f t="shared" ca="1" si="56"/>
        <v>1.277851124789714</v>
      </c>
      <c r="I187" s="91">
        <f t="shared" ca="1" si="56"/>
        <v>0.49906778673013408</v>
      </c>
      <c r="J187" s="91">
        <f t="shared" ca="1" si="56"/>
        <v>0.31871624051160058</v>
      </c>
      <c r="K187" s="91">
        <f t="shared" ca="1" si="56"/>
        <v>-0.18819238752098419</v>
      </c>
      <c r="L187" s="91">
        <f t="shared" ca="1" si="56"/>
        <v>-0.45337282691014008</v>
      </c>
      <c r="M187" s="91">
        <f t="shared" ca="1" si="56"/>
        <v>-0.18728762572708807</v>
      </c>
      <c r="N187" s="91">
        <f t="shared" ca="1" si="56"/>
        <v>-8.5380007108520534E-2</v>
      </c>
      <c r="O187" s="91">
        <f t="shared" ca="1" si="56"/>
        <v>0</v>
      </c>
      <c r="P187" s="91">
        <f t="shared" ca="1" si="56"/>
        <v>0</v>
      </c>
      <c r="Q187" s="91">
        <f t="shared" ca="1" si="56"/>
        <v>0</v>
      </c>
      <c r="R187" s="91">
        <f t="shared" ca="1" si="56"/>
        <v>0</v>
      </c>
      <c r="S187" s="91">
        <f t="shared" ca="1" si="56"/>
        <v>0</v>
      </c>
    </row>
    <row r="188" spans="1:19">
      <c r="A188" s="5" t="s">
        <v>1125</v>
      </c>
      <c r="B188" s="3"/>
      <c r="C188" s="3"/>
      <c r="D188" s="104">
        <v>0</v>
      </c>
      <c r="E188" s="91">
        <f t="shared" ref="E188:S188" si="57">IF(E$29=1, D132, D120)</f>
        <v>0.39916394174002667</v>
      </c>
      <c r="F188" s="91">
        <f t="shared" ca="1" si="57"/>
        <v>0.45307174153147606</v>
      </c>
      <c r="G188" s="91">
        <f t="shared" ca="1" si="57"/>
        <v>0.43999192904160395</v>
      </c>
      <c r="H188" s="91">
        <f t="shared" ca="1" si="57"/>
        <v>0.59535287835575912</v>
      </c>
      <c r="I188" s="91">
        <f t="shared" ca="1" si="57"/>
        <v>0.78373399879397398</v>
      </c>
      <c r="J188" s="91">
        <f t="shared" ca="1" si="57"/>
        <v>0.2652043896434213</v>
      </c>
      <c r="K188" s="91">
        <f t="shared" ca="1" si="57"/>
        <v>0.16237988482038906</v>
      </c>
      <c r="L188" s="91">
        <f t="shared" ca="1" si="57"/>
        <v>3.9130461837369471E-2</v>
      </c>
      <c r="M188" s="91">
        <f t="shared" ca="1" si="57"/>
        <v>8.5759141015267506E-4</v>
      </c>
      <c r="N188" s="91">
        <f t="shared" ca="1" si="57"/>
        <v>-6.3082573864747332E-2</v>
      </c>
      <c r="O188" s="91">
        <f t="shared" ca="1" si="57"/>
        <v>-6.3793427816821749E-2</v>
      </c>
      <c r="P188" s="91">
        <f t="shared" ca="1" si="57"/>
        <v>-0.10334146188900306</v>
      </c>
      <c r="Q188" s="91">
        <f t="shared" ca="1" si="57"/>
        <v>-7.6969216847658908E-2</v>
      </c>
      <c r="R188" s="91">
        <f t="shared" ca="1" si="57"/>
        <v>-6.683996254975956E-2</v>
      </c>
      <c r="S188" s="91">
        <f t="shared" ca="1" si="57"/>
        <v>-1.0774328043194571E-2</v>
      </c>
    </row>
    <row r="189" spans="1:19">
      <c r="A189" s="5" t="s">
        <v>1126</v>
      </c>
      <c r="B189" s="3"/>
      <c r="C189" s="3"/>
      <c r="D189" s="105">
        <f>EXP(MIN(INDEX(Assumptions!$B:$B,MATCH("Allocation sharpness β: Starlink broadband / direct-to-cell sub-split",Assumptions!$A$1:$A$367,0))*D187, 700))</f>
        <v>1</v>
      </c>
      <c r="E189" s="105">
        <f>EXP(MIN(INDEX(Assumptions!$B:$B,MATCH("Allocation sharpness β: Starlink broadband / direct-to-cell sub-split",Assumptions!$A$1:$A$367,0))*E187, 700))</f>
        <v>4.1682554301480579</v>
      </c>
      <c r="F189" s="105">
        <f ca="1">EXP(MIN(INDEX(Assumptions!$B:$B,MATCH("Allocation sharpness β: Starlink broadband / direct-to-cell sub-split",Assumptions!$A$1:$A$367,0))*F187, 700))</f>
        <v>8103.0839275753842</v>
      </c>
      <c r="G189" s="105">
        <f ca="1">EXP(MIN(INDEX(Assumptions!$B:$B,MATCH("Allocation sharpness β: Starlink broadband / direct-to-cell sub-split",Assumptions!$A$1:$A$367,0))*G187, 700))</f>
        <v>440.51980991614403</v>
      </c>
      <c r="H189" s="105">
        <f ca="1">EXP(MIN(INDEX(Assumptions!$B:$B,MATCH("Allocation sharpness β: Starlink broadband / direct-to-cell sub-split",Assumptions!$A$1:$A$367,0))*H187, 700))</f>
        <v>46.226506825319383</v>
      </c>
      <c r="I189" s="105">
        <f ca="1">EXP(MIN(INDEX(Assumptions!$B:$B,MATCH("Allocation sharpness β: Starlink broadband / direct-to-cell sub-split",Assumptions!$A$1:$A$367,0))*I187, 700))</f>
        <v>4.4691729100234268</v>
      </c>
      <c r="J189" s="105">
        <f ca="1">EXP(MIN(INDEX(Assumptions!$B:$B,MATCH("Allocation sharpness β: Starlink broadband / direct-to-cell sub-split",Assumptions!$A$1:$A$367,0))*J187, 700))</f>
        <v>2.6016574469890701</v>
      </c>
      <c r="K189" s="105">
        <f ca="1">EXP(MIN(INDEX(Assumptions!$B:$B,MATCH("Allocation sharpness β: Starlink broadband / direct-to-cell sub-split",Assumptions!$A$1:$A$367,0))*K187, 700))</f>
        <v>0.56860052152145846</v>
      </c>
      <c r="L189" s="105">
        <f ca="1">EXP(MIN(INDEX(Assumptions!$B:$B,MATCH("Allocation sharpness β: Starlink broadband / direct-to-cell sub-split",Assumptions!$A$1:$A$367,0))*L187, 700))</f>
        <v>0.25663036939862244</v>
      </c>
      <c r="M189" s="105">
        <f ca="1">EXP(MIN(INDEX(Assumptions!$B:$B,MATCH("Allocation sharpness β: Starlink broadband / direct-to-cell sub-split",Assumptions!$A$1:$A$367,0))*M187, 700))</f>
        <v>0.57014596203953183</v>
      </c>
      <c r="N189" s="105">
        <f ca="1">EXP(MIN(INDEX(Assumptions!$B:$B,MATCH("Allocation sharpness β: Starlink broadband / direct-to-cell sub-split",Assumptions!$A$1:$A$367,0))*N187, 700))</f>
        <v>0.77403357999615374</v>
      </c>
      <c r="O189" s="105">
        <f ca="1">EXP(MIN(INDEX(Assumptions!$B:$B,MATCH("Allocation sharpness β: Starlink broadband / direct-to-cell sub-split",Assumptions!$A$1:$A$367,0))*O187, 700))</f>
        <v>1</v>
      </c>
      <c r="P189" s="105">
        <f ca="1">EXP(MIN(INDEX(Assumptions!$B:$B,MATCH("Allocation sharpness β: Starlink broadband / direct-to-cell sub-split",Assumptions!$A$1:$A$367,0))*P187, 700))</f>
        <v>1</v>
      </c>
      <c r="Q189" s="105">
        <f ca="1">EXP(MIN(INDEX(Assumptions!$B:$B,MATCH("Allocation sharpness β: Starlink broadband / direct-to-cell sub-split",Assumptions!$A$1:$A$367,0))*Q187, 700))</f>
        <v>1</v>
      </c>
      <c r="R189" s="105">
        <f ca="1">EXP(MIN(INDEX(Assumptions!$B:$B,MATCH("Allocation sharpness β: Starlink broadband / direct-to-cell sub-split",Assumptions!$A$1:$A$367,0))*R187, 700))</f>
        <v>1</v>
      </c>
      <c r="S189" s="105">
        <f ca="1">EXP(MIN(INDEX(Assumptions!$B:$B,MATCH("Allocation sharpness β: Starlink broadband / direct-to-cell sub-split",Assumptions!$A$1:$A$367,0))*S187, 700))</f>
        <v>1</v>
      </c>
    </row>
    <row r="190" spans="1:19">
      <c r="A190" s="5" t="s">
        <v>1127</v>
      </c>
      <c r="B190" s="3"/>
      <c r="C190" s="3"/>
      <c r="D190" s="105">
        <f>EXP(MIN(INDEX(Assumptions!$B:$B,MATCH("Allocation sharpness β: Starlink broadband / direct-to-cell sub-split",Assumptions!$A$1:$A$367,0))*D188, 700))</f>
        <v>1</v>
      </c>
      <c r="E190" s="105">
        <f>EXP(MIN(INDEX(Assumptions!$B:$B,MATCH("Allocation sharpness β: Starlink broadband / direct-to-cell sub-split",Assumptions!$A$1:$A$367,0))*E188, 700))</f>
        <v>3.3117999238081781</v>
      </c>
      <c r="F190" s="105">
        <f ca="1">EXP(MIN(INDEX(Assumptions!$B:$B,MATCH("Allocation sharpness β: Starlink broadband / direct-to-cell sub-split",Assumptions!$A$1:$A$367,0))*F188, 700))</f>
        <v>3.8931368645818538</v>
      </c>
      <c r="G190" s="105">
        <f ca="1">EXP(MIN(INDEX(Assumptions!$B:$B,MATCH("Allocation sharpness β: Starlink broadband / direct-to-cell sub-split",Assumptions!$A$1:$A$367,0))*G188, 700))</f>
        <v>3.7433307393635848</v>
      </c>
      <c r="H190" s="105">
        <f ca="1">EXP(MIN(INDEX(Assumptions!$B:$B,MATCH("Allocation sharpness β: Starlink broadband / direct-to-cell sub-split",Assumptions!$A$1:$A$367,0))*H188, 700))</f>
        <v>5.9658923085551567</v>
      </c>
      <c r="I190" s="105">
        <f ca="1">EXP(MIN(INDEX(Assumptions!$B:$B,MATCH("Allocation sharpness β: Starlink broadband / direct-to-cell sub-split",Assumptions!$A$1:$A$367,0))*I188, 700))</f>
        <v>10.498180919385879</v>
      </c>
      <c r="J190" s="105">
        <f ca="1">EXP(MIN(INDEX(Assumptions!$B:$B,MATCH("Allocation sharpness β: Starlink broadband / direct-to-cell sub-split",Assumptions!$A$1:$A$367,0))*J188, 700))</f>
        <v>2.215799239594801</v>
      </c>
      <c r="K190" s="105">
        <f ca="1">EXP(MIN(INDEX(Assumptions!$B:$B,MATCH("Allocation sharpness β: Starlink broadband / direct-to-cell sub-split",Assumptions!$A$1:$A$367,0))*K188, 700))</f>
        <v>1.6276539026356966</v>
      </c>
      <c r="L190" s="105">
        <f ca="1">EXP(MIN(INDEX(Assumptions!$B:$B,MATCH("Allocation sharpness β: Starlink broadband / direct-to-cell sub-split",Assumptions!$A$1:$A$367,0))*L188, 700))</f>
        <v>1.1245594798582101</v>
      </c>
      <c r="M190" s="105">
        <f ca="1">EXP(MIN(INDEX(Assumptions!$B:$B,MATCH("Allocation sharpness β: Starlink broadband / direct-to-cell sub-split",Assumptions!$A$1:$A$367,0))*M188, 700))</f>
        <v>1.0025760866541755</v>
      </c>
      <c r="N190" s="105">
        <f ca="1">EXP(MIN(INDEX(Assumptions!$B:$B,MATCH("Allocation sharpness β: Starlink broadband / direct-to-cell sub-split",Assumptions!$A$1:$A$367,0))*N188, 700))</f>
        <v>0.82758147149847461</v>
      </c>
      <c r="O190" s="105">
        <f ca="1">EXP(MIN(INDEX(Assumptions!$B:$B,MATCH("Allocation sharpness β: Starlink broadband / direct-to-cell sub-split",Assumptions!$A$1:$A$367,0))*O188, 700))</f>
        <v>0.82581848332824825</v>
      </c>
      <c r="P190" s="105">
        <f ca="1">EXP(MIN(INDEX(Assumptions!$B:$B,MATCH("Allocation sharpness β: Starlink broadband / direct-to-cell sub-split",Assumptions!$A$1:$A$367,0))*P188, 700))</f>
        <v>0.73342907084912012</v>
      </c>
      <c r="Q190" s="105">
        <f ca="1">EXP(MIN(INDEX(Assumptions!$B:$B,MATCH("Allocation sharpness β: Starlink broadband / direct-to-cell sub-split",Assumptions!$A$1:$A$367,0))*Q188, 700))</f>
        <v>0.79381277082872592</v>
      </c>
      <c r="R190" s="105">
        <f ca="1">EXP(MIN(INDEX(Assumptions!$B:$B,MATCH("Allocation sharpness β: Starlink broadband / direct-to-cell sub-split",Assumptions!$A$1:$A$367,0))*R188, 700))</f>
        <v>0.81830521569677095</v>
      </c>
      <c r="S190" s="105">
        <f ca="1">EXP(MIN(INDEX(Assumptions!$B:$B,MATCH("Allocation sharpness β: Starlink broadband / direct-to-cell sub-split",Assumptions!$A$1:$A$367,0))*S188, 700))</f>
        <v>0.96819382033504742</v>
      </c>
    </row>
    <row r="191" spans="1:19">
      <c r="A191" s="5" t="s">
        <v>1128</v>
      </c>
      <c r="B191" s="3"/>
      <c r="C191" s="3"/>
      <c r="D191" s="91">
        <f t="shared" ref="D191:S191" si="58">IF(D$29=1, IFERROR(D189/(D189+D190), 1), 1)</f>
        <v>1</v>
      </c>
      <c r="E191" s="91">
        <f t="shared" si="58"/>
        <v>1</v>
      </c>
      <c r="F191" s="91">
        <f t="shared" ca="1" si="58"/>
        <v>0.99951977946481951</v>
      </c>
      <c r="G191" s="91">
        <f t="shared" ca="1" si="58"/>
        <v>0.9915740686165404</v>
      </c>
      <c r="H191" s="91">
        <f t="shared" ca="1" si="58"/>
        <v>0.8856942311992112</v>
      </c>
      <c r="I191" s="91">
        <f t="shared" ca="1" si="58"/>
        <v>0.29859472562491063</v>
      </c>
      <c r="J191" s="91">
        <f t="shared" ca="1" si="58"/>
        <v>0.54004791661841456</v>
      </c>
      <c r="K191" s="91">
        <f t="shared" ca="1" si="58"/>
        <v>0.25889556112774464</v>
      </c>
      <c r="L191" s="91">
        <f t="shared" ca="1" si="58"/>
        <v>0.18580383394556932</v>
      </c>
      <c r="M191" s="91">
        <f t="shared" ca="1" si="58"/>
        <v>0.3625217580646824</v>
      </c>
      <c r="N191" s="91">
        <f t="shared" ca="1" si="58"/>
        <v>0.48328315800592975</v>
      </c>
      <c r="O191" s="91">
        <f t="shared" ca="1" si="58"/>
        <v>0.54769957097658462</v>
      </c>
      <c r="P191" s="91">
        <f t="shared" ca="1" si="58"/>
        <v>0.57689121338558724</v>
      </c>
      <c r="Q191" s="91">
        <f t="shared" ca="1" si="58"/>
        <v>0.55747178092505645</v>
      </c>
      <c r="R191" s="91">
        <f t="shared" ca="1" si="58"/>
        <v>0.5499626747849381</v>
      </c>
      <c r="S191" s="91">
        <f t="shared" ca="1" si="58"/>
        <v>0.5080800425589026</v>
      </c>
    </row>
    <row r="192" spans="1:19">
      <c r="A192" s="5" t="s">
        <v>1129</v>
      </c>
      <c r="B192" s="3"/>
      <c r="C192" s="3"/>
      <c r="D192" s="91">
        <f t="shared" ref="D192:S192" si="59">1-D191</f>
        <v>0</v>
      </c>
      <c r="E192" s="91">
        <f t="shared" si="59"/>
        <v>0</v>
      </c>
      <c r="F192" s="91">
        <f t="shared" ca="1" si="59"/>
        <v>4.8022053518048669E-4</v>
      </c>
      <c r="G192" s="91">
        <f t="shared" ca="1" si="59"/>
        <v>8.425931383459595E-3</v>
      </c>
      <c r="H192" s="91">
        <f t="shared" ca="1" si="59"/>
        <v>0.1143057688007888</v>
      </c>
      <c r="I192" s="91">
        <f t="shared" ca="1" si="59"/>
        <v>0.70140527437508937</v>
      </c>
      <c r="J192" s="91">
        <f t="shared" ca="1" si="59"/>
        <v>0.45995208338158544</v>
      </c>
      <c r="K192" s="91">
        <f t="shared" ca="1" si="59"/>
        <v>0.74110443887225541</v>
      </c>
      <c r="L192" s="91">
        <f t="shared" ca="1" si="59"/>
        <v>0.81419616605443068</v>
      </c>
      <c r="M192" s="91">
        <f t="shared" ca="1" si="59"/>
        <v>0.63747824193531755</v>
      </c>
      <c r="N192" s="91">
        <f t="shared" ca="1" si="59"/>
        <v>0.5167168419940702</v>
      </c>
      <c r="O192" s="91">
        <f t="shared" ca="1" si="59"/>
        <v>0.45230042902341538</v>
      </c>
      <c r="P192" s="91">
        <f t="shared" ca="1" si="59"/>
        <v>0.42310878661441276</v>
      </c>
      <c r="Q192" s="91">
        <f t="shared" ca="1" si="59"/>
        <v>0.44252821907494355</v>
      </c>
      <c r="R192" s="91">
        <f t="shared" ca="1" si="59"/>
        <v>0.4500373252150619</v>
      </c>
      <c r="S192" s="91">
        <f t="shared" ca="1" si="59"/>
        <v>0.4919199574410974</v>
      </c>
    </row>
    <row r="193" spans="1:19">
      <c r="A193" s="5" t="s">
        <v>1130</v>
      </c>
      <c r="B193" s="3"/>
      <c r="C193" s="3"/>
      <c r="D193" s="71">
        <f t="shared" ref="D193:S193" si="60">IF(D$29=1, D125, D113)</f>
        <v>1.1479807692307693</v>
      </c>
      <c r="E193" s="71">
        <f t="shared" si="60"/>
        <v>1.1605523122710624</v>
      </c>
      <c r="F193" s="71">
        <f t="shared" ca="1" si="60"/>
        <v>1.6698542334367585</v>
      </c>
      <c r="G193" s="71">
        <f t="shared" ca="1" si="60"/>
        <v>1.5893285251246878</v>
      </c>
      <c r="H193" s="71">
        <f t="shared" ca="1" si="60"/>
        <v>1.4810863071188132</v>
      </c>
      <c r="I193" s="71">
        <f t="shared" ca="1" si="60"/>
        <v>1.3630977700298692</v>
      </c>
      <c r="J193" s="71">
        <f t="shared" ca="1" si="60"/>
        <v>1.2770076744242402</v>
      </c>
      <c r="K193" s="71">
        <f t="shared" ca="1" si="60"/>
        <v>1.2087558006598027</v>
      </c>
      <c r="L193" s="71">
        <f t="shared" ca="1" si="60"/>
        <v>1.1617272065703264</v>
      </c>
      <c r="M193" s="71">
        <f t="shared" ca="1" si="60"/>
        <v>1.137399321721591</v>
      </c>
      <c r="N193" s="71">
        <f t="shared" ca="1" si="60"/>
        <v>1.1028431858335133</v>
      </c>
      <c r="O193" s="71">
        <f t="shared" ca="1" si="60"/>
        <v>1.0761869011123728</v>
      </c>
      <c r="P193" s="71">
        <f t="shared" ca="1" si="60"/>
        <v>1.0497318344111062</v>
      </c>
      <c r="Q193" s="71">
        <f t="shared" ca="1" si="60"/>
        <v>1.0259429391840549</v>
      </c>
      <c r="R193" s="71">
        <f t="shared" ca="1" si="60"/>
        <v>1.0102255265380047</v>
      </c>
      <c r="S193" s="71">
        <f t="shared" ca="1" si="60"/>
        <v>0.9991378600437274</v>
      </c>
    </row>
    <row r="194" spans="1:19">
      <c r="A194" s="5" t="s">
        <v>1131</v>
      </c>
      <c r="B194" s="3"/>
      <c r="C194" s="3"/>
      <c r="D194" s="71">
        <f t="shared" ref="D194:S194" si="61">IF(D$29=1, D131, D119)</f>
        <v>1.1479807692307693</v>
      </c>
      <c r="E194" s="71">
        <f t="shared" si="61"/>
        <v>1.1605523122710624</v>
      </c>
      <c r="F194" s="71">
        <f t="shared" ca="1" si="61"/>
        <v>1.6698542334367585</v>
      </c>
      <c r="G194" s="71">
        <f t="shared" ca="1" si="61"/>
        <v>1.5893285251246878</v>
      </c>
      <c r="H194" s="71">
        <f t="shared" ca="1" si="61"/>
        <v>1.4810863071188132</v>
      </c>
      <c r="I194" s="71">
        <f t="shared" ca="1" si="61"/>
        <v>1.3630977700298692</v>
      </c>
      <c r="J194" s="71">
        <f t="shared" ca="1" si="61"/>
        <v>1.2770076744242402</v>
      </c>
      <c r="K194" s="71">
        <f t="shared" ca="1" si="61"/>
        <v>1.2087558006598027</v>
      </c>
      <c r="L194" s="71">
        <f t="shared" ca="1" si="61"/>
        <v>1.1617272065703264</v>
      </c>
      <c r="M194" s="71">
        <f t="shared" ca="1" si="61"/>
        <v>1.137399321721591</v>
      </c>
      <c r="N194" s="71">
        <f t="shared" ca="1" si="61"/>
        <v>1.1028431858335133</v>
      </c>
      <c r="O194" s="71">
        <f t="shared" ca="1" si="61"/>
        <v>1.0761869011123728</v>
      </c>
      <c r="P194" s="71">
        <f t="shared" ca="1" si="61"/>
        <v>1.0497318344111062</v>
      </c>
      <c r="Q194" s="71">
        <f t="shared" ca="1" si="61"/>
        <v>1.0259429391840549</v>
      </c>
      <c r="R194" s="71">
        <f t="shared" ca="1" si="61"/>
        <v>1.0102255265380047</v>
      </c>
      <c r="S194" s="71">
        <f t="shared" ca="1" si="61"/>
        <v>0.9991378600437274</v>
      </c>
    </row>
    <row r="195" spans="1:19">
      <c r="A195" s="5" t="s">
        <v>1132</v>
      </c>
      <c r="B195" s="3"/>
      <c r="C195" s="3"/>
      <c r="D195" s="29">
        <f t="shared" ref="D195:S195" si="62">D$19*D191</f>
        <v>0</v>
      </c>
      <c r="E195" s="29">
        <f t="shared" ca="1" si="62"/>
        <v>13695.090418447</v>
      </c>
      <c r="F195" s="29">
        <f t="shared" ca="1" si="62"/>
        <v>56649.962920179736</v>
      </c>
      <c r="G195" s="29">
        <f t="shared" ca="1" si="62"/>
        <v>57287.302836399984</v>
      </c>
      <c r="H195" s="29">
        <f t="shared" ca="1" si="62"/>
        <v>60045.819469084272</v>
      </c>
      <c r="I195" s="29">
        <f t="shared" ca="1" si="62"/>
        <v>20488.87936401464</v>
      </c>
      <c r="J195" s="29">
        <f t="shared" ca="1" si="62"/>
        <v>36965.426308310583</v>
      </c>
      <c r="K195" s="29">
        <f t="shared" ca="1" si="62"/>
        <v>19823.666244131255</v>
      </c>
      <c r="L195" s="29">
        <f t="shared" ca="1" si="62"/>
        <v>5656.3042549146639</v>
      </c>
      <c r="M195" s="29">
        <f t="shared" ca="1" si="62"/>
        <v>25870.26938977648</v>
      </c>
      <c r="N195" s="29">
        <f t="shared" ca="1" si="62"/>
        <v>46800.214175270827</v>
      </c>
      <c r="O195" s="29">
        <f t="shared" ca="1" si="62"/>
        <v>79338.706498051295</v>
      </c>
      <c r="P195" s="29">
        <f t="shared" ca="1" si="62"/>
        <v>54398.102046602427</v>
      </c>
      <c r="Q195" s="29">
        <f t="shared" ca="1" si="62"/>
        <v>31117.255132580736</v>
      </c>
      <c r="R195" s="29">
        <f t="shared" ca="1" si="62"/>
        <v>16081.740892378657</v>
      </c>
      <c r="S195" s="29">
        <f t="shared" ca="1" si="62"/>
        <v>18159.205391541644</v>
      </c>
    </row>
    <row r="196" spans="1:19">
      <c r="A196" s="5" t="s">
        <v>1133</v>
      </c>
      <c r="B196" s="3"/>
      <c r="C196" s="3"/>
      <c r="D196" s="29"/>
      <c r="E196" s="29"/>
      <c r="F196" s="29">
        <f t="shared" ref="F196:S196" ca="1" si="63">F$19*F192</f>
        <v>27.217545935959105</v>
      </c>
      <c r="G196" s="29">
        <f t="shared" ca="1" si="63"/>
        <v>486.80063156194223</v>
      </c>
      <c r="H196" s="29">
        <f t="shared" ca="1" si="63"/>
        <v>7749.3827055798965</v>
      </c>
      <c r="I196" s="29">
        <f t="shared" ca="1" si="63"/>
        <v>48128.807439175602</v>
      </c>
      <c r="J196" s="29">
        <f t="shared" ca="1" si="63"/>
        <v>31482.993120422263</v>
      </c>
      <c r="K196" s="29">
        <f t="shared" ca="1" si="63"/>
        <v>56746.461717042373</v>
      </c>
      <c r="L196" s="29">
        <f t="shared" ca="1" si="63"/>
        <v>24786.039881921941</v>
      </c>
      <c r="M196" s="29">
        <f t="shared" ca="1" si="63"/>
        <v>45491.707689570612</v>
      </c>
      <c r="N196" s="29">
        <f t="shared" ca="1" si="63"/>
        <v>50037.868013176958</v>
      </c>
      <c r="O196" s="29">
        <f t="shared" ca="1" si="63"/>
        <v>65519.370269445761</v>
      </c>
      <c r="P196" s="29">
        <f t="shared" ca="1" si="63"/>
        <v>39897.149439995243</v>
      </c>
      <c r="Q196" s="29">
        <f t="shared" ca="1" si="63"/>
        <v>24701.274517378311</v>
      </c>
      <c r="R196" s="29">
        <f t="shared" ca="1" si="63"/>
        <v>13159.7724497175</v>
      </c>
      <c r="S196" s="29">
        <f t="shared" ca="1" si="63"/>
        <v>17581.630442285492</v>
      </c>
    </row>
    <row r="197" spans="1:19">
      <c r="A197" s="5" t="s">
        <v>1134</v>
      </c>
      <c r="B197" s="3"/>
      <c r="C197" s="3"/>
      <c r="D197" s="29">
        <f t="shared" ref="D197:S197" si="64">IFERROR(D195/D193, 0)</f>
        <v>0</v>
      </c>
      <c r="E197" s="29">
        <f t="shared" ca="1" si="64"/>
        <v>11800.493845596104</v>
      </c>
      <c r="F197" s="29">
        <f t="shared" ca="1" si="64"/>
        <v>33925.094649481696</v>
      </c>
      <c r="G197" s="29">
        <f t="shared" ca="1" si="64"/>
        <v>36044.972408650137</v>
      </c>
      <c r="H197" s="29">
        <f t="shared" ca="1" si="64"/>
        <v>40541.74235523965</v>
      </c>
      <c r="I197" s="29">
        <f t="shared" ca="1" si="64"/>
        <v>15031.115019405888</v>
      </c>
      <c r="J197" s="29">
        <f t="shared" ca="1" si="64"/>
        <v>28946.910068474765</v>
      </c>
      <c r="K197" s="29">
        <f t="shared" ca="1" si="64"/>
        <v>16400.058831825627</v>
      </c>
      <c r="L197" s="29">
        <f t="shared" ca="1" si="64"/>
        <v>4868.874743506537</v>
      </c>
      <c r="M197" s="29">
        <f t="shared" ca="1" si="64"/>
        <v>22745.10710153995</v>
      </c>
      <c r="N197" s="29">
        <f t="shared" ca="1" si="64"/>
        <v>42435.964402228128</v>
      </c>
      <c r="O197" s="29">
        <f t="shared" ca="1" si="64"/>
        <v>73722.051825798</v>
      </c>
      <c r="P197" s="29">
        <f t="shared" ca="1" si="64"/>
        <v>51820.951088064758</v>
      </c>
      <c r="Q197" s="29">
        <f t="shared" ca="1" si="64"/>
        <v>30330.395526020846</v>
      </c>
      <c r="R197" s="29">
        <f t="shared" ca="1" si="64"/>
        <v>15918.961132857161</v>
      </c>
      <c r="S197" s="29">
        <f t="shared" ca="1" si="64"/>
        <v>18174.874677201107</v>
      </c>
    </row>
    <row r="198" spans="1:19">
      <c r="A198" s="5" t="s">
        <v>1135</v>
      </c>
      <c r="B198" s="3"/>
      <c r="C198" s="3"/>
      <c r="D198" s="29">
        <f t="shared" ref="D198:S198" si="65">IFERROR(D196/D194, 0)</f>
        <v>0</v>
      </c>
      <c r="E198" s="29">
        <f t="shared" si="65"/>
        <v>0</v>
      </c>
      <c r="F198" s="29">
        <f t="shared" ca="1" si="65"/>
        <v>16.299354393312619</v>
      </c>
      <c r="G198" s="29">
        <f t="shared" ca="1" si="65"/>
        <v>306.29327031285192</v>
      </c>
      <c r="H198" s="29">
        <f t="shared" ca="1" si="65"/>
        <v>5232.2289851257392</v>
      </c>
      <c r="I198" s="29">
        <f t="shared" ca="1" si="65"/>
        <v>35308.40450140342</v>
      </c>
      <c r="J198" s="29">
        <f t="shared" ca="1" si="65"/>
        <v>24653.722723018782</v>
      </c>
      <c r="K198" s="29">
        <f t="shared" ca="1" si="65"/>
        <v>46946.17530361977</v>
      </c>
      <c r="L198" s="29">
        <f t="shared" ca="1" si="65"/>
        <v>21335.507804018613</v>
      </c>
      <c r="M198" s="29">
        <f t="shared" ca="1" si="65"/>
        <v>39996.250059929196</v>
      </c>
      <c r="N198" s="29">
        <f t="shared" ca="1" si="65"/>
        <v>45371.698040060925</v>
      </c>
      <c r="O198" s="29">
        <f t="shared" ca="1" si="65"/>
        <v>60881.033026627025</v>
      </c>
      <c r="P198" s="29">
        <f t="shared" ca="1" si="65"/>
        <v>38006.992007037043</v>
      </c>
      <c r="Q198" s="29">
        <f t="shared" ca="1" si="65"/>
        <v>24076.655312841805</v>
      </c>
      <c r="R198" s="29">
        <f t="shared" ca="1" si="65"/>
        <v>13026.568923491193</v>
      </c>
      <c r="S198" s="29">
        <f t="shared" ca="1" si="65"/>
        <v>17596.801347830049</v>
      </c>
    </row>
    <row r="199" spans="1:19">
      <c r="A199" s="78" t="s">
        <v>1136</v>
      </c>
      <c r="B199" s="78"/>
      <c r="C199" s="78"/>
      <c r="D199" s="81">
        <f t="shared" ref="D199:S199" si="66">D197+D198</f>
        <v>0</v>
      </c>
      <c r="E199" s="81">
        <f t="shared" ca="1" si="66"/>
        <v>11800.493845596104</v>
      </c>
      <c r="F199" s="81">
        <f t="shared" ca="1" si="66"/>
        <v>33941.394003875008</v>
      </c>
      <c r="G199" s="81">
        <f t="shared" ca="1" si="66"/>
        <v>36351.265678962991</v>
      </c>
      <c r="H199" s="81">
        <f t="shared" ca="1" si="66"/>
        <v>45773.971340365388</v>
      </c>
      <c r="I199" s="81">
        <f t="shared" ca="1" si="66"/>
        <v>50339.519520809306</v>
      </c>
      <c r="J199" s="81">
        <f t="shared" ca="1" si="66"/>
        <v>53600.632791493546</v>
      </c>
      <c r="K199" s="81">
        <f t="shared" ca="1" si="66"/>
        <v>63346.234135445397</v>
      </c>
      <c r="L199" s="81">
        <f t="shared" ca="1" si="66"/>
        <v>26204.382547525151</v>
      </c>
      <c r="M199" s="81">
        <f t="shared" ca="1" si="66"/>
        <v>62741.357161469146</v>
      </c>
      <c r="N199" s="81">
        <f t="shared" ca="1" si="66"/>
        <v>87807.66244228906</v>
      </c>
      <c r="O199" s="81">
        <f t="shared" ca="1" si="66"/>
        <v>134603.08485242503</v>
      </c>
      <c r="P199" s="81">
        <f t="shared" ca="1" si="66"/>
        <v>89827.9430951018</v>
      </c>
      <c r="Q199" s="81">
        <f t="shared" ca="1" si="66"/>
        <v>54407.050838862648</v>
      </c>
      <c r="R199" s="81">
        <f t="shared" ca="1" si="66"/>
        <v>28945.530056348354</v>
      </c>
      <c r="S199" s="81">
        <f t="shared" ca="1" si="66"/>
        <v>35771.676025031156</v>
      </c>
    </row>
    <row r="200" spans="1:19">
      <c r="A200" s="5" t="s">
        <v>1137</v>
      </c>
      <c r="B200" s="3"/>
      <c r="C200" s="3"/>
      <c r="D200" s="70"/>
      <c r="E200" s="70">
        <f ca="1">MIN( E38, E162, IF(E$4=INDEX(Assumptions!$B:$B,MATCH("Launch-pacing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3120</v>
      </c>
      <c r="F200" s="70">
        <f ca="1">MIN( F38, F162, IF(F$4=INDEX(Assumptions!$B:$B,MATCH("Launch-pacing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3918.7353004899928</v>
      </c>
      <c r="G200" s="70">
        <f ca="1">MIN( G38, G162, IF(G$4=INDEX(Assumptions!$B:$B,MATCH("Launch-pacing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9497.3799641733185</v>
      </c>
      <c r="H200" s="70">
        <f ca="1">MIN( H38, H162, IF(H$4=INDEX(Assumptions!$B:$B,MATCH("Launch-pacing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27023.504194008074</v>
      </c>
      <c r="I200" s="70">
        <f ca="1">MIN( I38, I162, IF(I$4=INDEX(Assumptions!$B:$B,MATCH("Launch-pacing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62669.92310714387</v>
      </c>
      <c r="J200" s="70">
        <f ca="1">MIN( J38, J162, IF(J$4=INDEX(Assumptions!$B:$B,MATCH("Launch-pacing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132397.3177488728</v>
      </c>
      <c r="K200" s="70">
        <f ca="1">MIN( K38, K162, IF(K$4=INDEX(Assumptions!$B:$B,MATCH("Launch-pacing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168753.20400509943</v>
      </c>
      <c r="L200" s="70">
        <f ca="1">MIN( L38, L162, IF(L$4=INDEX(Assumptions!$B:$B,MATCH("Launch-pacing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156269.99861660055</v>
      </c>
      <c r="M200" s="70">
        <f ca="1">MIN( M38, M162, IF(M$4=INDEX(Assumptions!$B:$B,MATCH("Launch-pacing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160818.47956536658</v>
      </c>
      <c r="N200" s="70">
        <f ca="1">MIN( N38, N162, IF(N$4=INDEX(Assumptions!$B:$B,MATCH("Launch-pacing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162007.93423524726</v>
      </c>
      <c r="O200" s="70">
        <f ca="1">MIN( O38, O162, IF(O$4=INDEX(Assumptions!$B:$B,MATCH("Launch-pacing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134603.08485242503</v>
      </c>
      <c r="P200" s="70">
        <f ca="1">MIN( P38, P162, IF(P$4=INDEX(Assumptions!$B:$B,MATCH("Launch-pacing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89827.9430951018</v>
      </c>
      <c r="Q200" s="70">
        <f ca="1">MIN( Q38, Q162, IF(Q$4=INDEX(Assumptions!$B:$B,MATCH("Launch-pacing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54407.050838862655</v>
      </c>
      <c r="R200" s="70">
        <f ca="1">MIN( R38, R162, IF(R$4=INDEX(Assumptions!$B:$B,MATCH("Launch-pacing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28945.530056348354</v>
      </c>
      <c r="S200" s="70">
        <f ca="1">MIN( S38, S162, IF(S$4=INDEX(Assumptions!$B:$B,MATCH("Launch-pacing year (apply caps in this year only)",Assumptions!$A$1:$A$367,0)), INDEX(Assumptions!$B:$B,MATCH("F9 Starlink launch cap, annualized (launches/yr): derived",Assumptions!$A$1:$A$367,0))*INDEX(Assumptions!$B:$B,MATCH("F9 sats per launch (V2 packing)",Assumptions!$A$1:$A$367,0)), 1000000000000) )</f>
        <v>33596.99383796101</v>
      </c>
    </row>
    <row r="201" spans="1:19">
      <c r="A201" s="5" t="s">
        <v>1138</v>
      </c>
      <c r="B201" s="3"/>
      <c r="C201" s="3"/>
      <c r="D201" s="31">
        <f t="shared" ref="D201:S201" si="67">IFERROR(MIN(1, D200/D199), 1)</f>
        <v>1</v>
      </c>
      <c r="E201" s="31">
        <f t="shared" ca="1" si="67"/>
        <v>0.26439571435091858</v>
      </c>
      <c r="F201" s="31">
        <f t="shared" ca="1" si="67"/>
        <v>0.11545593265976642</v>
      </c>
      <c r="G201" s="31">
        <f t="shared" ca="1" si="67"/>
        <v>0.26126683037805726</v>
      </c>
      <c r="H201" s="31">
        <f t="shared" ca="1" si="67"/>
        <v>0.59036835569863755</v>
      </c>
      <c r="I201" s="31">
        <f t="shared" ca="1" si="67"/>
        <v>1</v>
      </c>
      <c r="J201" s="31">
        <f t="shared" ca="1" si="67"/>
        <v>1</v>
      </c>
      <c r="K201" s="31">
        <f t="shared" ca="1" si="67"/>
        <v>1</v>
      </c>
      <c r="L201" s="31">
        <f t="shared" ca="1" si="67"/>
        <v>1</v>
      </c>
      <c r="M201" s="31">
        <f t="shared" ca="1" si="67"/>
        <v>1</v>
      </c>
      <c r="N201" s="31">
        <f t="shared" ca="1" si="67"/>
        <v>1</v>
      </c>
      <c r="O201" s="31">
        <f t="shared" ca="1" si="67"/>
        <v>1</v>
      </c>
      <c r="P201" s="31">
        <f t="shared" ca="1" si="67"/>
        <v>1</v>
      </c>
      <c r="Q201" s="31">
        <f t="shared" ca="1" si="67"/>
        <v>1</v>
      </c>
      <c r="R201" s="31">
        <f t="shared" ca="1" si="67"/>
        <v>1</v>
      </c>
      <c r="S201" s="31">
        <f t="shared" ca="1" si="67"/>
        <v>0.93920658943829138</v>
      </c>
    </row>
    <row r="202" spans="1:19">
      <c r="A202" s="5" t="s">
        <v>1139</v>
      </c>
      <c r="B202" s="3"/>
      <c r="C202" s="3"/>
      <c r="D202" s="29">
        <f t="shared" ref="D202:S202" si="68">D197*D201</f>
        <v>0</v>
      </c>
      <c r="E202" s="29">
        <f t="shared" ca="1" si="68"/>
        <v>3120</v>
      </c>
      <c r="F202" s="29">
        <f t="shared" ca="1" si="68"/>
        <v>3916.853443326761</v>
      </c>
      <c r="G202" s="29">
        <f t="shared" ca="1" si="68"/>
        <v>9417.3556922725493</v>
      </c>
      <c r="H202" s="29">
        <f t="shared" ca="1" si="68"/>
        <v>23934.561771420642</v>
      </c>
      <c r="I202" s="29">
        <f t="shared" ca="1" si="68"/>
        <v>15031.115019405888</v>
      </c>
      <c r="J202" s="29">
        <f t="shared" ca="1" si="68"/>
        <v>28946.910068474765</v>
      </c>
      <c r="K202" s="29">
        <f t="shared" ca="1" si="68"/>
        <v>16400.058831825627</v>
      </c>
      <c r="L202" s="29">
        <f t="shared" ca="1" si="68"/>
        <v>4868.874743506537</v>
      </c>
      <c r="M202" s="29">
        <f t="shared" ca="1" si="68"/>
        <v>22745.10710153995</v>
      </c>
      <c r="N202" s="29">
        <f t="shared" ca="1" si="68"/>
        <v>42435.964402228128</v>
      </c>
      <c r="O202" s="29">
        <f t="shared" ca="1" si="68"/>
        <v>73722.051825798</v>
      </c>
      <c r="P202" s="29">
        <f t="shared" ca="1" si="68"/>
        <v>51820.951088064758</v>
      </c>
      <c r="Q202" s="29">
        <f t="shared" ca="1" si="68"/>
        <v>30330.395526020846</v>
      </c>
      <c r="R202" s="29">
        <f t="shared" ca="1" si="68"/>
        <v>15918.961132857161</v>
      </c>
      <c r="S202" s="29">
        <f t="shared" ca="1" si="68"/>
        <v>17069.96205904242</v>
      </c>
    </row>
    <row r="203" spans="1:19">
      <c r="A203" s="5" t="s">
        <v>1140</v>
      </c>
      <c r="B203" s="3"/>
      <c r="C203" s="3"/>
      <c r="D203" s="29">
        <f t="shared" ref="D203:S203" si="69">D198*D201</f>
        <v>0</v>
      </c>
      <c r="E203" s="29">
        <f t="shared" ca="1" si="69"/>
        <v>0</v>
      </c>
      <c r="F203" s="29">
        <f t="shared" ca="1" si="69"/>
        <v>1.8818571632319696</v>
      </c>
      <c r="G203" s="29">
        <f t="shared" ca="1" si="69"/>
        <v>80.024271900768326</v>
      </c>
      <c r="H203" s="29">
        <f t="shared" ca="1" si="69"/>
        <v>3088.9424225874336</v>
      </c>
      <c r="I203" s="29">
        <f t="shared" ca="1" si="69"/>
        <v>35308.40450140342</v>
      </c>
      <c r="J203" s="29">
        <f t="shared" ca="1" si="69"/>
        <v>24653.722723018782</v>
      </c>
      <c r="K203" s="29">
        <f t="shared" ca="1" si="69"/>
        <v>46946.17530361977</v>
      </c>
      <c r="L203" s="29">
        <f t="shared" ca="1" si="69"/>
        <v>21335.507804018613</v>
      </c>
      <c r="M203" s="29">
        <f t="shared" ca="1" si="69"/>
        <v>39996.250059929196</v>
      </c>
      <c r="N203" s="29">
        <f t="shared" ca="1" si="69"/>
        <v>45371.698040060925</v>
      </c>
      <c r="O203" s="29">
        <f t="shared" ca="1" si="69"/>
        <v>60881.033026627025</v>
      </c>
      <c r="P203" s="29">
        <f t="shared" ca="1" si="69"/>
        <v>38006.992007037043</v>
      </c>
      <c r="Q203" s="29">
        <f t="shared" ca="1" si="69"/>
        <v>24076.655312841805</v>
      </c>
      <c r="R203" s="29">
        <f t="shared" ca="1" si="69"/>
        <v>13026.568923491193</v>
      </c>
      <c r="S203" s="29">
        <f t="shared" ca="1" si="69"/>
        <v>16527.03177891859</v>
      </c>
    </row>
    <row r="204" spans="1:19">
      <c r="A204" s="5" t="s">
        <v>1141</v>
      </c>
      <c r="B204" s="47"/>
      <c r="C204" s="47"/>
      <c r="D204" s="47">
        <f>FLOOR( D25 / INDEX(Assumptions!$B:$B, MATCH("V3 BB sat mass (kg)", Assumptions!$A:$A, 0)), 1 )</f>
        <v>50</v>
      </c>
      <c r="E204" s="47">
        <f>FLOOR( E25 / INDEX(Assumptions!$B:$B, MATCH("V3 BB sat mass (kg)", Assumptions!$A:$A, 0)), 1 )</f>
        <v>57</v>
      </c>
      <c r="F204" s="47">
        <f>FLOOR( F25 / INDEX(Assumptions!$B:$B, MATCH("V3 BB sat mass (kg)", Assumptions!$A:$A, 0)), 1 )</f>
        <v>65</v>
      </c>
      <c r="G204" s="47">
        <f>FLOOR( G25 / INDEX(Assumptions!$B:$B, MATCH("V3 BB sat mass (kg)", Assumptions!$A:$A, 0)), 1 )</f>
        <v>75</v>
      </c>
      <c r="H204" s="47">
        <f>FLOOR( H25 / INDEX(Assumptions!$B:$B, MATCH("V3 BB sat mass (kg)", Assumptions!$A:$A, 0)), 1 )</f>
        <v>87</v>
      </c>
      <c r="I204" s="47">
        <f>FLOOR( I25 / INDEX(Assumptions!$B:$B, MATCH("V3 BB sat mass (kg)", Assumptions!$A:$A, 0)), 1 )</f>
        <v>100</v>
      </c>
      <c r="J204" s="47">
        <f>FLOOR( J25 / INDEX(Assumptions!$B:$B, MATCH("V3 BB sat mass (kg)", Assumptions!$A:$A, 0)), 1 )</f>
        <v>100</v>
      </c>
      <c r="K204" s="47">
        <f>FLOOR( K25 / INDEX(Assumptions!$B:$B, MATCH("V3 BB sat mass (kg)", Assumptions!$A:$A, 0)), 1 )</f>
        <v>100</v>
      </c>
      <c r="L204" s="47">
        <f>FLOOR( L25 / INDEX(Assumptions!$B:$B, MATCH("V3 BB sat mass (kg)", Assumptions!$A:$A, 0)), 1 )</f>
        <v>100</v>
      </c>
      <c r="M204" s="47">
        <f>FLOOR( M25 / INDEX(Assumptions!$B:$B, MATCH("V3 BB sat mass (kg)", Assumptions!$A:$A, 0)), 1 )</f>
        <v>100</v>
      </c>
      <c r="N204" s="47">
        <f>FLOOR( N25 / INDEX(Assumptions!$B:$B, MATCH("V3 BB sat mass (kg)", Assumptions!$A:$A, 0)), 1 )</f>
        <v>100</v>
      </c>
      <c r="O204" s="47">
        <f>FLOOR( O25 / INDEX(Assumptions!$B:$B, MATCH("V3 BB sat mass (kg)", Assumptions!$A:$A, 0)), 1 )</f>
        <v>100</v>
      </c>
      <c r="P204" s="47">
        <f>FLOOR( P25 / INDEX(Assumptions!$B:$B, MATCH("V3 BB sat mass (kg)", Assumptions!$A:$A, 0)), 1 )</f>
        <v>100</v>
      </c>
      <c r="Q204" s="47">
        <f>FLOOR( Q25 / INDEX(Assumptions!$B:$B, MATCH("V3 BB sat mass (kg)", Assumptions!$A:$A, 0)), 1 )</f>
        <v>100</v>
      </c>
      <c r="R204" s="47">
        <f>FLOOR( R25 / INDEX(Assumptions!$B:$B, MATCH("V3 BB sat mass (kg)", Assumptions!$A:$A, 0)), 1 )</f>
        <v>100</v>
      </c>
      <c r="S204" s="47">
        <f>FLOOR( S25 / INDEX(Assumptions!$B:$B, MATCH("V3 BB sat mass (kg)", Assumptions!$A:$A, 0)), 1 )</f>
        <v>100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3"/>
  <sheetViews>
    <sheetView showGridLines="0" zoomScale="87" zoomScaleNormal="87" workbookViewId="0">
      <selection activeCell="W154" sqref="W154"/>
    </sheetView>
  </sheetViews>
  <sheetFormatPr baseColWidth="10" defaultColWidth="10.6640625" defaultRowHeight="16"/>
  <cols>
    <col min="1" max="1" width="56.6640625" customWidth="1"/>
  </cols>
  <sheetData>
    <row r="1" spans="1:19" ht="21.75" customHeight="1">
      <c r="A1" s="74" t="s">
        <v>1142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106" t="s">
        <v>1143</v>
      </c>
      <c r="B4" s="64"/>
      <c r="C4" s="64"/>
      <c r="D4" s="75">
        <v>2025</v>
      </c>
      <c r="E4" s="75">
        <v>2026</v>
      </c>
      <c r="F4" s="75">
        <v>2027</v>
      </c>
      <c r="G4" s="75">
        <v>2028</v>
      </c>
      <c r="H4" s="75">
        <v>2029</v>
      </c>
      <c r="I4" s="75">
        <v>2030</v>
      </c>
      <c r="J4" s="75">
        <v>2031</v>
      </c>
      <c r="K4" s="75">
        <v>2032</v>
      </c>
      <c r="L4" s="75">
        <v>2033</v>
      </c>
      <c r="M4" s="75">
        <v>2034</v>
      </c>
      <c r="N4" s="75">
        <v>2035</v>
      </c>
      <c r="O4" s="75">
        <v>2036</v>
      </c>
      <c r="P4" s="75">
        <v>2037</v>
      </c>
      <c r="Q4" s="75">
        <v>2038</v>
      </c>
      <c r="R4" s="75">
        <v>2039</v>
      </c>
      <c r="S4" s="75">
        <v>2040</v>
      </c>
    </row>
    <row r="5" spans="1:19">
      <c r="A5" s="107" t="s">
        <v>1144</v>
      </c>
      <c r="B5" s="66"/>
      <c r="C5" s="66"/>
      <c r="D5" s="76">
        <v>0</v>
      </c>
      <c r="E5" s="76">
        <v>1</v>
      </c>
      <c r="F5" s="76">
        <v>2</v>
      </c>
      <c r="G5" s="76">
        <v>3</v>
      </c>
      <c r="H5" s="76">
        <v>4</v>
      </c>
      <c r="I5" s="76">
        <v>5</v>
      </c>
      <c r="J5" s="76">
        <v>6</v>
      </c>
      <c r="K5" s="76">
        <v>7</v>
      </c>
      <c r="L5" s="76">
        <v>8</v>
      </c>
      <c r="M5" s="76">
        <v>9</v>
      </c>
      <c r="N5" s="76">
        <v>10</v>
      </c>
      <c r="O5" s="76">
        <v>11</v>
      </c>
      <c r="P5" s="76">
        <v>12</v>
      </c>
      <c r="Q5" s="76">
        <v>13</v>
      </c>
      <c r="R5" s="76">
        <v>14</v>
      </c>
      <c r="S5" s="76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13" t="s">
        <v>1145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>
      <c r="A9" s="5" t="s">
        <v>1003</v>
      </c>
      <c r="B9" s="3"/>
      <c r="C9" s="3"/>
      <c r="D9" s="18">
        <f t="array" ref="D9">INDEX(Starlink!$D:$AC, MATCH("F9 internal launches per year (Starlink-driven)", Starlink!$A$1:$A$204, 0), COLUMN()-COLUMN($D9)+1)</f>
        <v>166</v>
      </c>
      <c r="E9" s="18">
        <f t="array" aca="1" ref="E9" ca="1">INDEX(Starlink!$D:$AC, MATCH("F9 internal launches per year (Starlink-driven)", Starlink!$A$1:$A$204, 0), COLUMN()-COLUMN($D9)+1)</f>
        <v>138</v>
      </c>
      <c r="F9" s="18">
        <f t="array" ref="F9">INDEX(Starlink!$D:$AC, MATCH("F9 internal launches per year (Starlink-driven)", Starlink!$A$1:$A$204, 0), COLUMN()-COLUMN($D9)+1)</f>
        <v>0</v>
      </c>
      <c r="G9" s="18">
        <f t="array" ref="G9">INDEX(Starlink!$D:$AC, MATCH("F9 internal launches per year (Starlink-driven)", Starlink!$A$1:$A$204, 0), COLUMN()-COLUMN($D9)+1)</f>
        <v>0</v>
      </c>
      <c r="H9" s="18">
        <f t="array" ref="H9">INDEX(Starlink!$D:$AC, MATCH("F9 internal launches per year (Starlink-driven)", Starlink!$A$1:$A$204, 0), COLUMN()-COLUMN($D9)+1)</f>
        <v>0</v>
      </c>
      <c r="I9" s="18">
        <f t="array" ref="I9">INDEX(Starlink!$D:$AC, MATCH("F9 internal launches per year (Starlink-driven)", Starlink!$A$1:$A$204, 0), COLUMN()-COLUMN($D9)+1)</f>
        <v>0</v>
      </c>
      <c r="J9" s="18">
        <f t="array" ref="J9">INDEX(Starlink!$D:$AC, MATCH("F9 internal launches per year (Starlink-driven)", Starlink!$A$1:$A$204, 0), COLUMN()-COLUMN($D9)+1)</f>
        <v>0</v>
      </c>
      <c r="K9" s="18">
        <f t="array" ref="K9">INDEX(Starlink!$D:$AC, MATCH("F9 internal launches per year (Starlink-driven)", Starlink!$A$1:$A$204, 0), COLUMN()-COLUMN($D9)+1)</f>
        <v>0</v>
      </c>
      <c r="L9" s="18">
        <f t="array" ref="L9">INDEX(Starlink!$D:$AC, MATCH("F9 internal launches per year (Starlink-driven)", Starlink!$A$1:$A$204, 0), COLUMN()-COLUMN($D9)+1)</f>
        <v>0</v>
      </c>
      <c r="M9" s="18">
        <f t="array" ref="M9">INDEX(Starlink!$D:$AC, MATCH("F9 internal launches per year (Starlink-driven)", Starlink!$A$1:$A$204, 0), COLUMN()-COLUMN($D9)+1)</f>
        <v>0</v>
      </c>
      <c r="N9" s="18">
        <f t="array" ref="N9">INDEX(Starlink!$D:$AC, MATCH("F9 internal launches per year (Starlink-driven)", Starlink!$A$1:$A$204, 0), COLUMN()-COLUMN($D9)+1)</f>
        <v>0</v>
      </c>
      <c r="O9" s="18">
        <f t="array" ref="O9">INDEX(Starlink!$D:$AC, MATCH("F9 internal launches per year (Starlink-driven)", Starlink!$A$1:$A$204, 0), COLUMN()-COLUMN($D9)+1)</f>
        <v>0</v>
      </c>
      <c r="P9" s="18">
        <f t="array" ref="P9">INDEX(Starlink!$D:$AC, MATCH("F9 internal launches per year (Starlink-driven)", Starlink!$A$1:$A$204, 0), COLUMN()-COLUMN($D9)+1)</f>
        <v>0</v>
      </c>
      <c r="Q9" s="18">
        <f t="array" ref="Q9">INDEX(Starlink!$D:$AC, MATCH("F9 internal launches per year (Starlink-driven)", Starlink!$A$1:$A$204, 0), COLUMN()-COLUMN($D9)+1)</f>
        <v>0</v>
      </c>
      <c r="R9" s="18">
        <f t="array" ref="R9">INDEX(Starlink!$D:$AC, MATCH("F9 internal launches per year (Starlink-driven)", Starlink!$A$1:$A$204, 0), COLUMN()-COLUMN($D9)+1)</f>
        <v>0</v>
      </c>
      <c r="S9" s="18">
        <f t="array" ref="S9">INDEX(Starlink!$D:$AC, MATCH("F9 internal launches per year (Starlink-driven)", Starlink!$A$1:$A$204, 0), COLUMN()-COLUMN($D9)+1)</f>
        <v>0</v>
      </c>
    </row>
    <row r="10" spans="1:19">
      <c r="A10" s="5" t="s">
        <v>1004</v>
      </c>
      <c r="B10" s="3"/>
      <c r="C10" s="3"/>
      <c r="D10" s="18">
        <f t="array" ref="D10">INDEX(Starlink!$D:$AC, MATCH("Starship internal launches per year (Starlink-driven)", Starlink!$A$1:$A$204, 0), COLUMN()-COLUMN($D10)+1)</f>
        <v>0</v>
      </c>
      <c r="E10" s="18">
        <f t="array" ref="E10">INDEX(Starlink!$D:$AC, MATCH("Starship internal launches per year (Starlink-driven)", Starlink!$A$1:$A$204, 0), COLUMN()-COLUMN($D10)+1)</f>
        <v>0</v>
      </c>
      <c r="F10" s="18">
        <f t="array" aca="1" ref="F10" ca="1">INDEX(Starlink!$D:$AC, MATCH("Starship internal launches per year (Starlink-driven)", Starlink!$A$1:$A$204, 0), COLUMN()-COLUMN($D10)+1)</f>
        <v>61</v>
      </c>
      <c r="G10" s="18">
        <f t="array" aca="1" ref="G10" ca="1">INDEX(Starlink!$D:$AC, MATCH("Starship internal launches per year (Starlink-driven)", Starlink!$A$1:$A$204, 0), COLUMN()-COLUMN($D10)+1)</f>
        <v>127</v>
      </c>
      <c r="H10" s="18">
        <f t="array" aca="1" ref="H10" ca="1">INDEX(Starlink!$D:$AC, MATCH("Starship internal launches per year (Starlink-driven)", Starlink!$A$1:$A$204, 0), COLUMN()-COLUMN($D10)+1)</f>
        <v>311</v>
      </c>
      <c r="I10" s="18">
        <f t="array" aca="1" ref="I10" ca="1">INDEX(Starlink!$D:$AC, MATCH("Starship internal launches per year (Starlink-driven)", Starlink!$A$1:$A$204, 0), COLUMN()-COLUMN($D10)+1)</f>
        <v>504</v>
      </c>
      <c r="J10" s="18">
        <f t="array" aca="1" ref="J10" ca="1">INDEX(Starlink!$D:$AC, MATCH("Starship internal launches per year (Starlink-driven)", Starlink!$A$1:$A$204, 0), COLUMN()-COLUMN($D10)+1)</f>
        <v>537</v>
      </c>
      <c r="K10" s="18">
        <f t="array" aca="1" ref="K10" ca="1">INDEX(Starlink!$D:$AC, MATCH("Starship internal launches per year (Starlink-driven)", Starlink!$A$1:$A$204, 0), COLUMN()-COLUMN($D10)+1)</f>
        <v>634</v>
      </c>
      <c r="L10" s="18">
        <f t="array" aca="1" ref="L10" ca="1">INDEX(Starlink!$D:$AC, MATCH("Starship internal launches per year (Starlink-driven)", Starlink!$A$1:$A$204, 0), COLUMN()-COLUMN($D10)+1)</f>
        <v>263</v>
      </c>
      <c r="M10" s="18">
        <f t="array" aca="1" ref="M10" ca="1">INDEX(Starlink!$D:$AC, MATCH("Starship internal launches per year (Starlink-driven)", Starlink!$A$1:$A$204, 0), COLUMN()-COLUMN($D10)+1)</f>
        <v>628</v>
      </c>
      <c r="N10" s="18">
        <f t="array" aca="1" ref="N10" ca="1">INDEX(Starlink!$D:$AC, MATCH("Starship internal launches per year (Starlink-driven)", Starlink!$A$1:$A$204, 0), COLUMN()-COLUMN($D10)+1)</f>
        <v>879</v>
      </c>
      <c r="O10" s="18">
        <f t="array" aca="1" ref="O10" ca="1">INDEX(Starlink!$D:$AC, MATCH("Starship internal launches per year (Starlink-driven)", Starlink!$A$1:$A$204, 0), COLUMN()-COLUMN($D10)+1)</f>
        <v>1347</v>
      </c>
      <c r="P10" s="18">
        <f t="array" aca="1" ref="P10" ca="1">INDEX(Starlink!$D:$AC, MATCH("Starship internal launches per year (Starlink-driven)", Starlink!$A$1:$A$204, 0), COLUMN()-COLUMN($D10)+1)</f>
        <v>899</v>
      </c>
      <c r="Q10" s="18">
        <f t="array" aca="1" ref="Q10" ca="1">INDEX(Starlink!$D:$AC, MATCH("Starship internal launches per year (Starlink-driven)", Starlink!$A$1:$A$204, 0), COLUMN()-COLUMN($D10)+1)</f>
        <v>545</v>
      </c>
      <c r="R10" s="18">
        <f t="array" aca="1" ref="R10" ca="1">INDEX(Starlink!$D:$AC, MATCH("Starship internal launches per year (Starlink-driven)", Starlink!$A$1:$A$204, 0), COLUMN()-COLUMN($D10)+1)</f>
        <v>290</v>
      </c>
      <c r="S10" s="18">
        <f t="array" aca="1" ref="S10" ca="1">INDEX(Starlink!$D:$AC, MATCH("Starship internal launches per year (Starlink-driven)", Starlink!$A$1:$A$204, 0), COLUMN()-COLUMN($D10)+1)</f>
        <v>336</v>
      </c>
    </row>
    <row r="11" spans="1:19">
      <c r="A11" s="5" t="s">
        <v>87</v>
      </c>
      <c r="B11" s="3"/>
      <c r="C11" s="3"/>
      <c r="D11" s="70">
        <f>INDEX(Assumptions!$B:$B, MATCH("F9 customer launch price ($mm/launch)", Assumptions!$A$1:$A$257, 0))</f>
        <v>54.8</v>
      </c>
      <c r="E11" s="70">
        <f>INDEX(Assumptions!$B:$B, MATCH("F9 customer launch price ($mm/launch)", Assumptions!$A$1:$A$257, 0))</f>
        <v>54.8</v>
      </c>
      <c r="F11" s="70">
        <f>INDEX(Assumptions!$B:$B, MATCH("F9 customer launch price ($mm/launch)", Assumptions!$A$1:$A$257, 0))</f>
        <v>54.8</v>
      </c>
      <c r="G11" s="70">
        <f>INDEX(Assumptions!$B:$B, MATCH("F9 customer launch price ($mm/launch)", Assumptions!$A$1:$A$257, 0))</f>
        <v>54.8</v>
      </c>
      <c r="H11" s="70">
        <f>INDEX(Assumptions!$B:$B, MATCH("F9 customer launch price ($mm/launch)", Assumptions!$A$1:$A$257, 0))</f>
        <v>54.8</v>
      </c>
      <c r="I11" s="70">
        <f>INDEX(Assumptions!$B:$B, MATCH("F9 customer launch price ($mm/launch)", Assumptions!$A$1:$A$257, 0))</f>
        <v>54.8</v>
      </c>
      <c r="J11" s="70">
        <f>INDEX(Assumptions!$B:$B, MATCH("F9 customer launch price ($mm/launch)", Assumptions!$A$1:$A$257, 0))</f>
        <v>54.8</v>
      </c>
      <c r="K11" s="70">
        <f>INDEX(Assumptions!$B:$B, MATCH("F9 customer launch price ($mm/launch)", Assumptions!$A$1:$A$257, 0))</f>
        <v>54.8</v>
      </c>
      <c r="L11" s="70">
        <f>INDEX(Assumptions!$B:$B, MATCH("F9 customer launch price ($mm/launch)", Assumptions!$A$1:$A$257, 0))</f>
        <v>54.8</v>
      </c>
      <c r="M11" s="70">
        <f>INDEX(Assumptions!$B:$B, MATCH("F9 customer launch price ($mm/launch)", Assumptions!$A$1:$A$257, 0))</f>
        <v>54.8</v>
      </c>
      <c r="N11" s="70">
        <f>INDEX(Assumptions!$B:$B, MATCH("F9 customer launch price ($mm/launch)", Assumptions!$A$1:$A$257, 0))</f>
        <v>54.8</v>
      </c>
      <c r="O11" s="70">
        <f>INDEX(Assumptions!$B:$B, MATCH("F9 customer launch price ($mm/launch)", Assumptions!$A$1:$A$257, 0))</f>
        <v>54.8</v>
      </c>
      <c r="P11" s="70">
        <f>INDEX(Assumptions!$B:$B, MATCH("F9 customer launch price ($mm/launch)", Assumptions!$A$1:$A$257, 0))</f>
        <v>54.8</v>
      </c>
      <c r="Q11" s="70">
        <f>INDEX(Assumptions!$B:$B, MATCH("F9 customer launch price ($mm/launch)", Assumptions!$A$1:$A$257, 0))</f>
        <v>54.8</v>
      </c>
      <c r="R11" s="70">
        <f>INDEX(Assumptions!$B:$B, MATCH("F9 customer launch price ($mm/launch)", Assumptions!$A$1:$A$257, 0))</f>
        <v>54.8</v>
      </c>
      <c r="S11" s="70">
        <f>INDEX(Assumptions!$B:$B, MATCH("F9 customer launch price ($mm/launch)", Assumptions!$A$1:$A$257, 0))</f>
        <v>54.8</v>
      </c>
    </row>
    <row r="12" spans="1:19">
      <c r="A12" s="5" t="s">
        <v>1146</v>
      </c>
      <c r="B12" s="3"/>
      <c r="C12" s="3"/>
      <c r="D12" s="70">
        <f t="array" ref="D12">INDEX(Assumptions!$D:$S, MATCH("Starship customer launch price ($mm/launch): year-row", Assumptions!$A$1:$A$257, 0), COLUMN()-COLUMN($D12)+1)</f>
        <v>0</v>
      </c>
      <c r="E12" s="70">
        <f t="array" ref="E12">INDEX(Assumptions!$D:$S, MATCH("Starship customer launch price ($mm/launch): year-row", Assumptions!$A$1:$A$257, 0), COLUMN()-COLUMN($D12)+1)</f>
        <v>0</v>
      </c>
      <c r="F12" s="70">
        <f t="array" ref="F12">INDEX(Assumptions!$D:$S, MATCH("Starship customer launch price ($mm/launch): year-row", Assumptions!$A$1:$A$257, 0), COLUMN()-COLUMN($D12)+1)</f>
        <v>100</v>
      </c>
      <c r="G12" s="70">
        <f t="array" ref="G12">INDEX(Assumptions!$D:$S, MATCH("Starship customer launch price ($mm/launch): year-row", Assumptions!$A$1:$A$257, 0), COLUMN()-COLUMN($D12)+1)</f>
        <v>92</v>
      </c>
      <c r="H12" s="70">
        <f t="array" ref="H12">INDEX(Assumptions!$D:$S, MATCH("Starship customer launch price ($mm/launch): year-row", Assumptions!$A$1:$A$257, 0), COLUMN()-COLUMN($D12)+1)</f>
        <v>84.64</v>
      </c>
      <c r="I12" s="70">
        <f t="array" ref="I12">INDEX(Assumptions!$D:$S, MATCH("Starship customer launch price ($mm/launch): year-row", Assumptions!$A$1:$A$257, 0), COLUMN()-COLUMN($D12)+1)</f>
        <v>77.868800000000007</v>
      </c>
      <c r="J12" s="70">
        <f t="array" ref="J12">INDEX(Assumptions!$D:$S, MATCH("Starship customer launch price ($mm/launch): year-row", Assumptions!$A$1:$A$257, 0), COLUMN()-COLUMN($D12)+1)</f>
        <v>71.639296000000002</v>
      </c>
      <c r="K12" s="70">
        <f t="array" ref="K12">INDEX(Assumptions!$D:$S, MATCH("Starship customer launch price ($mm/launch): year-row", Assumptions!$A$1:$A$257, 0), COLUMN()-COLUMN($D12)+1)</f>
        <v>65.908152320000013</v>
      </c>
      <c r="L12" s="70">
        <f t="array" ref="L12">INDEX(Assumptions!$D:$S, MATCH("Starship customer launch price ($mm/launch): year-row", Assumptions!$A$1:$A$257, 0), COLUMN()-COLUMN($D12)+1)</f>
        <v>60.635500134400012</v>
      </c>
      <c r="M12" s="70">
        <f t="array" ref="M12">INDEX(Assumptions!$D:$S, MATCH("Starship customer launch price ($mm/launch): year-row", Assumptions!$A$1:$A$257, 0), COLUMN()-COLUMN($D12)+1)</f>
        <v>55.78466012364801</v>
      </c>
      <c r="N12" s="70">
        <f t="array" ref="N12">INDEX(Assumptions!$D:$S, MATCH("Starship customer launch price ($mm/launch): year-row", Assumptions!$A$1:$A$257, 0), COLUMN()-COLUMN($D12)+1)</f>
        <v>51.321887313756179</v>
      </c>
      <c r="O12" s="70">
        <f t="array" ref="O12">INDEX(Assumptions!$D:$S, MATCH("Starship customer launch price ($mm/launch): year-row", Assumptions!$A$1:$A$257, 0), COLUMN()-COLUMN($D12)+1)</f>
        <v>47.216136328655686</v>
      </c>
      <c r="P12" s="70">
        <f t="array" ref="P12">INDEX(Assumptions!$D:$S, MATCH("Starship customer launch price ($mm/launch): year-row", Assumptions!$A$1:$A$257, 0), COLUMN()-COLUMN($D12)+1)</f>
        <v>43.438845422363229</v>
      </c>
      <c r="Q12" s="70">
        <f t="array" ref="Q12">INDEX(Assumptions!$D:$S, MATCH("Starship customer launch price ($mm/launch): year-row", Assumptions!$A$1:$A$257, 0), COLUMN()-COLUMN($D12)+1)</f>
        <v>39.963737788574171</v>
      </c>
      <c r="R12" s="70">
        <f t="array" ref="R12">INDEX(Assumptions!$D:$S, MATCH("Starship customer launch price ($mm/launch): year-row", Assumptions!$A$1:$A$257, 0), COLUMN()-COLUMN($D12)+1)</f>
        <v>36.766638765488239</v>
      </c>
      <c r="S12" s="70">
        <f t="array" ref="S12">INDEX(Assumptions!$D:$S, MATCH("Starship customer launch price ($mm/launch): year-row", Assumptions!$A$1:$A$257, 0), COLUMN()-COLUMN($D12)+1)</f>
        <v>33.825307664249181</v>
      </c>
    </row>
    <row r="13" spans="1:19">
      <c r="A13" s="5" t="s">
        <v>1147</v>
      </c>
      <c r="B13" s="3"/>
      <c r="C13" s="3"/>
      <c r="D13" s="70">
        <f t="array" ref="D13">INDEX(Assumptions!$D:$S, MATCH("Commercial launch market size ($mm/year): year-row", Assumptions!$A$1:$A$257, 0), COLUMN()-COLUMN($D13)+1)</f>
        <v>8000</v>
      </c>
      <c r="E13" s="70">
        <f t="array" ref="E13">INDEX(Assumptions!$D:$S, MATCH("Commercial launch market size ($mm/year): year-row", Assumptions!$A$1:$A$257, 0), COLUMN()-COLUMN($D13)+1)</f>
        <v>8640</v>
      </c>
      <c r="F13" s="70">
        <f t="array" ref="F13">INDEX(Assumptions!$D:$S, MATCH("Commercial launch market size ($mm/year): year-row", Assumptions!$A$1:$A$257, 0), COLUMN()-COLUMN($D13)+1)</f>
        <v>9331.2000000000007</v>
      </c>
      <c r="G13" s="70">
        <f t="array" ref="G13">INDEX(Assumptions!$D:$S, MATCH("Commercial launch market size ($mm/year): year-row", Assumptions!$A$1:$A$257, 0), COLUMN()-COLUMN($D13)+1)</f>
        <v>10077.696000000002</v>
      </c>
      <c r="H13" s="70">
        <f t="array" ref="H13">INDEX(Assumptions!$D:$S, MATCH("Commercial launch market size ($mm/year): year-row", Assumptions!$A$1:$A$257, 0), COLUMN()-COLUMN($D13)+1)</f>
        <v>10883.911680000003</v>
      </c>
      <c r="I13" s="70">
        <f t="array" ref="I13">INDEX(Assumptions!$D:$S, MATCH("Commercial launch market size ($mm/year): year-row", Assumptions!$A$1:$A$257, 0), COLUMN()-COLUMN($D13)+1)</f>
        <v>11754.624614400003</v>
      </c>
      <c r="J13" s="70">
        <f t="array" ref="J13">INDEX(Assumptions!$D:$S, MATCH("Commercial launch market size ($mm/year): year-row", Assumptions!$A$1:$A$257, 0), COLUMN()-COLUMN($D13)+1)</f>
        <v>12694.994583552005</v>
      </c>
      <c r="K13" s="70">
        <f t="array" ref="K13">INDEX(Assumptions!$D:$S, MATCH("Commercial launch market size ($mm/year): year-row", Assumptions!$A$1:$A$257, 0), COLUMN()-COLUMN($D13)+1)</f>
        <v>13710.594150236166</v>
      </c>
      <c r="L13" s="70">
        <f t="array" ref="L13">INDEX(Assumptions!$D:$S, MATCH("Commercial launch market size ($mm/year): year-row", Assumptions!$A$1:$A$257, 0), COLUMN()-COLUMN($D13)+1)</f>
        <v>14807.441682255059</v>
      </c>
      <c r="M13" s="70">
        <f t="array" ref="M13">INDEX(Assumptions!$D:$S, MATCH("Commercial launch market size ($mm/year): year-row", Assumptions!$A$1:$A$257, 0), COLUMN()-COLUMN($D13)+1)</f>
        <v>15992.037016835464</v>
      </c>
      <c r="N13" s="70">
        <f t="array" ref="N13">INDEX(Assumptions!$D:$S, MATCH("Commercial launch market size ($mm/year): year-row", Assumptions!$A$1:$A$257, 0), COLUMN()-COLUMN($D13)+1)</f>
        <v>17271.3999781823</v>
      </c>
      <c r="O13" s="70">
        <f t="array" ref="O13">INDEX(Assumptions!$D:$S, MATCH("Commercial launch market size ($mm/year): year-row", Assumptions!$A$1:$A$257, 0), COLUMN()-COLUMN($D13)+1)</f>
        <v>18653.111976436885</v>
      </c>
      <c r="P13" s="70">
        <f t="array" ref="P13">INDEX(Assumptions!$D:$S, MATCH("Commercial launch market size ($mm/year): year-row", Assumptions!$A$1:$A$257, 0), COLUMN()-COLUMN($D13)+1)</f>
        <v>20145.360934551838</v>
      </c>
      <c r="Q13" s="70">
        <f t="array" ref="Q13">INDEX(Assumptions!$D:$S, MATCH("Commercial launch market size ($mm/year): year-row", Assumptions!$A$1:$A$257, 0), COLUMN()-COLUMN($D13)+1)</f>
        <v>21756.989809315986</v>
      </c>
      <c r="R13" s="70">
        <f t="array" ref="R13">INDEX(Assumptions!$D:$S, MATCH("Commercial launch market size ($mm/year): year-row", Assumptions!$A$1:$A$257, 0), COLUMN()-COLUMN($D13)+1)</f>
        <v>23497.548994061268</v>
      </c>
      <c r="S13" s="70">
        <f t="array" ref="S13">INDEX(Assumptions!$D:$S, MATCH("Commercial launch market size ($mm/year): year-row", Assumptions!$A$1:$A$257, 0), COLUMN()-COLUMN($D13)+1)</f>
        <v>25377.352913586172</v>
      </c>
    </row>
    <row r="14" spans="1:19">
      <c r="A14" s="5" t="s">
        <v>1148</v>
      </c>
      <c r="B14" s="3"/>
      <c r="C14" s="3"/>
      <c r="D14" s="70">
        <f t="array" ref="D14">INDEX(Assumptions!$D:$S, MATCH("Government launch market size ($mm/year): year-row", Assumptions!$A$1:$A$257, 0), COLUMN()-COLUMN($D14)+1)</f>
        <v>4000</v>
      </c>
      <c r="E14" s="70">
        <f t="array" ref="E14">INDEX(Assumptions!$D:$S, MATCH("Government launch market size ($mm/year): year-row", Assumptions!$A$1:$A$257, 0), COLUMN()-COLUMN($D14)+1)</f>
        <v>4200</v>
      </c>
      <c r="F14" s="70">
        <f t="array" ref="F14">INDEX(Assumptions!$D:$S, MATCH("Government launch market size ($mm/year): year-row", Assumptions!$A$1:$A$257, 0), COLUMN()-COLUMN($D14)+1)</f>
        <v>4410</v>
      </c>
      <c r="G14" s="70">
        <f t="array" ref="G14">INDEX(Assumptions!$D:$S, MATCH("Government launch market size ($mm/year): year-row", Assumptions!$A$1:$A$257, 0), COLUMN()-COLUMN($D14)+1)</f>
        <v>4630.5000000000009</v>
      </c>
      <c r="H14" s="70">
        <f t="array" ref="H14">INDEX(Assumptions!$D:$S, MATCH("Government launch market size ($mm/year): year-row", Assumptions!$A$1:$A$257, 0), COLUMN()-COLUMN($D14)+1)</f>
        <v>4862.0249999999996</v>
      </c>
      <c r="I14" s="70">
        <f t="array" ref="I14">INDEX(Assumptions!$D:$S, MATCH("Government launch market size ($mm/year): year-row", Assumptions!$A$1:$A$257, 0), COLUMN()-COLUMN($D14)+1)</f>
        <v>5105.1262500000003</v>
      </c>
      <c r="J14" s="70">
        <f t="array" ref="J14">INDEX(Assumptions!$D:$S, MATCH("Government launch market size ($mm/year): year-row", Assumptions!$A$1:$A$257, 0), COLUMN()-COLUMN($D14)+1)</f>
        <v>5360.3825624999999</v>
      </c>
      <c r="K14" s="70">
        <f t="array" ref="K14">INDEX(Assumptions!$D:$S, MATCH("Government launch market size ($mm/year): year-row", Assumptions!$A$1:$A$257, 0), COLUMN()-COLUMN($D14)+1)</f>
        <v>5628.4016906250008</v>
      </c>
      <c r="L14" s="70">
        <f t="array" ref="L14">INDEX(Assumptions!$D:$S, MATCH("Government launch market size ($mm/year): year-row", Assumptions!$A$1:$A$257, 0), COLUMN()-COLUMN($D14)+1)</f>
        <v>5909.8217751562506</v>
      </c>
      <c r="M14" s="70">
        <f t="array" ref="M14">INDEX(Assumptions!$D:$S, MATCH("Government launch market size ($mm/year): year-row", Assumptions!$A$1:$A$257, 0), COLUMN()-COLUMN($D14)+1)</f>
        <v>6205.3128639140632</v>
      </c>
      <c r="N14" s="70">
        <f t="array" ref="N14">INDEX(Assumptions!$D:$S, MATCH("Government launch market size ($mm/year): year-row", Assumptions!$A$1:$A$257, 0), COLUMN()-COLUMN($D14)+1)</f>
        <v>6515.5785071097662</v>
      </c>
      <c r="O14" s="70">
        <f t="array" ref="O14">INDEX(Assumptions!$D:$S, MATCH("Government launch market size ($mm/year): year-row", Assumptions!$A$1:$A$257, 0), COLUMN()-COLUMN($D14)+1)</f>
        <v>6841.3574324652554</v>
      </c>
      <c r="P14" s="70">
        <f t="array" ref="P14">INDEX(Assumptions!$D:$S, MATCH("Government launch market size ($mm/year): year-row", Assumptions!$A$1:$A$257, 0), COLUMN()-COLUMN($D14)+1)</f>
        <v>7183.4253040885169</v>
      </c>
      <c r="Q14" s="70">
        <f t="array" ref="Q14">INDEX(Assumptions!$D:$S, MATCH("Government launch market size ($mm/year): year-row", Assumptions!$A$1:$A$257, 0), COLUMN()-COLUMN($D14)+1)</f>
        <v>7542.596569292944</v>
      </c>
      <c r="R14" s="70">
        <f t="array" ref="R14">INDEX(Assumptions!$D:$S, MATCH("Government launch market size ($mm/year): year-row", Assumptions!$A$1:$A$257, 0), COLUMN()-COLUMN($D14)+1)</f>
        <v>7919.7263977575894</v>
      </c>
      <c r="S14" s="70">
        <f t="array" ref="S14">INDEX(Assumptions!$D:$S, MATCH("Government launch market size ($mm/year): year-row", Assumptions!$A$1:$A$257, 0), COLUMN()-COLUMN($D14)+1)</f>
        <v>8315.7127176454724</v>
      </c>
    </row>
    <row r="15" spans="1:19">
      <c r="A15" s="5" t="s">
        <v>1149</v>
      </c>
      <c r="B15" s="3"/>
      <c r="C15" s="3"/>
      <c r="D15" s="9">
        <f t="array" ref="D15">INDEX(Assumptions!$D:$S, MATCH("SpaceX commercial market share %", Assumptions!$A$1:$A$257, 0), COLUMN()-COLUMN($D15)+1)</f>
        <v>0.75</v>
      </c>
      <c r="E15" s="9">
        <f t="array" ref="E15">INDEX(Assumptions!$D:$S, MATCH("SpaceX commercial market share %", Assumptions!$A$1:$A$257, 0), COLUMN()-COLUMN($D15)+1)</f>
        <v>0.75333333329999996</v>
      </c>
      <c r="F15" s="9">
        <f t="array" ref="F15">INDEX(Assumptions!$D:$S, MATCH("SpaceX commercial market share %", Assumptions!$A$1:$A$257, 0), COLUMN()-COLUMN($D15)+1)</f>
        <v>0.75666666660000004</v>
      </c>
      <c r="G15" s="9">
        <f t="array" ref="G15">INDEX(Assumptions!$D:$S, MATCH("SpaceX commercial market share %", Assumptions!$A$1:$A$257, 0), COLUMN()-COLUMN($D15)+1)</f>
        <v>0.7599999999</v>
      </c>
      <c r="H15" s="9">
        <f t="array" ref="H15">INDEX(Assumptions!$D:$S, MATCH("SpaceX commercial market share %", Assumptions!$A$1:$A$257, 0), COLUMN()-COLUMN($D15)+1)</f>
        <v>0.76333333319999996</v>
      </c>
      <c r="I15" s="9">
        <f t="array" ref="I15">INDEX(Assumptions!$D:$S, MATCH("SpaceX commercial market share %", Assumptions!$A$1:$A$257, 0), COLUMN()-COLUMN($D15)+1)</f>
        <v>0.76666666650000004</v>
      </c>
      <c r="J15" s="9">
        <f t="array" ref="J15">INDEX(Assumptions!$D:$S, MATCH("SpaceX commercial market share %", Assumptions!$A$1:$A$257, 0), COLUMN()-COLUMN($D15)+1)</f>
        <v>0.7699999998</v>
      </c>
      <c r="K15" s="9">
        <f t="array" ref="K15">INDEX(Assumptions!$D:$S, MATCH("SpaceX commercial market share %", Assumptions!$A$1:$A$257, 0), COLUMN()-COLUMN($D15)+1)</f>
        <v>0.77333333309999996</v>
      </c>
      <c r="L15" s="9">
        <f t="array" ref="L15">INDEX(Assumptions!$D:$S, MATCH("SpaceX commercial market share %", Assumptions!$A$1:$A$257, 0), COLUMN()-COLUMN($D15)+1)</f>
        <v>0.77666666640000004</v>
      </c>
      <c r="M15" s="9">
        <f t="array" ref="M15">INDEX(Assumptions!$D:$S, MATCH("SpaceX commercial market share %", Assumptions!$A$1:$A$257, 0), COLUMN()-COLUMN($D15)+1)</f>
        <v>0.7799999997</v>
      </c>
      <c r="N15" s="9">
        <f t="array" ref="N15">INDEX(Assumptions!$D:$S, MATCH("SpaceX commercial market share %", Assumptions!$A$1:$A$257, 0), COLUMN()-COLUMN($D15)+1)</f>
        <v>0.78333333299999997</v>
      </c>
      <c r="O15" s="9">
        <f t="array" ref="O15">INDEX(Assumptions!$D:$S, MATCH("SpaceX commercial market share %", Assumptions!$A$1:$A$257, 0), COLUMN()-COLUMN($D15)+1)</f>
        <v>0.78666666630000004</v>
      </c>
      <c r="P15" s="9">
        <f t="array" ref="P15">INDEX(Assumptions!$D:$S, MATCH("SpaceX commercial market share %", Assumptions!$A$1:$A$257, 0), COLUMN()-COLUMN($D15)+1)</f>
        <v>0.7899999996</v>
      </c>
      <c r="Q15" s="9">
        <f t="array" ref="Q15">INDEX(Assumptions!$D:$S, MATCH("SpaceX commercial market share %", Assumptions!$A$1:$A$257, 0), COLUMN()-COLUMN($D15)+1)</f>
        <v>0.79333333289999997</v>
      </c>
      <c r="R15" s="9">
        <f t="array" ref="R15">INDEX(Assumptions!$D:$S, MATCH("SpaceX commercial market share %", Assumptions!$A$1:$A$257, 0), COLUMN()-COLUMN($D15)+1)</f>
        <v>0.79666666620000004</v>
      </c>
      <c r="S15" s="9">
        <f t="array" ref="S15">INDEX(Assumptions!$D:$S, MATCH("SpaceX commercial market share %", Assumptions!$A$1:$A$257, 0), COLUMN()-COLUMN($D15)+1)</f>
        <v>0.7999999995</v>
      </c>
    </row>
    <row r="16" spans="1:19">
      <c r="A16" s="5" t="s">
        <v>1150</v>
      </c>
      <c r="B16" s="3"/>
      <c r="C16" s="3"/>
      <c r="D16" s="9">
        <f t="array" ref="D16">INDEX(Assumptions!$D:$S, MATCH("SpaceX government market share %", Assumptions!$A$1:$A$257, 0), COLUMN()-COLUMN($D16)+1)</f>
        <v>0.9</v>
      </c>
      <c r="E16" s="9">
        <f t="array" ref="E16">INDEX(Assumptions!$D:$S, MATCH("SpaceX government market share %", Assumptions!$A$1:$A$257, 0), COLUMN()-COLUMN($D16)+1)</f>
        <v>0.89333333329999998</v>
      </c>
      <c r="F16" s="9">
        <f t="array" ref="F16">INDEX(Assumptions!$D:$S, MATCH("SpaceX government market share %", Assumptions!$A$1:$A$257, 0), COLUMN()-COLUMN($D16)+1)</f>
        <v>0.88666666660000004</v>
      </c>
      <c r="G16" s="9">
        <f t="array" ref="G16">INDEX(Assumptions!$D:$S, MATCH("SpaceX government market share %", Assumptions!$A$1:$A$257, 0), COLUMN()-COLUMN($D16)+1)</f>
        <v>0.8799999999</v>
      </c>
      <c r="H16" s="9">
        <f t="array" ref="H16">INDEX(Assumptions!$D:$S, MATCH("SpaceX government market share %", Assumptions!$A$1:$A$257, 0), COLUMN()-COLUMN($D16)+1)</f>
        <v>0.87333333320000006</v>
      </c>
      <c r="I16" s="9">
        <f t="array" ref="I16">INDEX(Assumptions!$D:$S, MATCH("SpaceX government market share %", Assumptions!$A$1:$A$257, 0), COLUMN()-COLUMN($D16)+1)</f>
        <v>0.86666666650000002</v>
      </c>
      <c r="J16" s="9">
        <f t="array" ref="J16">INDEX(Assumptions!$D:$S, MATCH("SpaceX government market share %", Assumptions!$A$1:$A$257, 0), COLUMN()-COLUMN($D16)+1)</f>
        <v>0.85999999980000008</v>
      </c>
      <c r="K16" s="9">
        <f t="array" ref="K16">INDEX(Assumptions!$D:$S, MATCH("SpaceX government market share %", Assumptions!$A$1:$A$257, 0), COLUMN()-COLUMN($D16)+1)</f>
        <v>0.85333333310000004</v>
      </c>
      <c r="L16" s="9">
        <f t="array" ref="L16">INDEX(Assumptions!$D:$S, MATCH("SpaceX government market share %", Assumptions!$A$1:$A$257, 0), COLUMN()-COLUMN($D16)+1)</f>
        <v>0.84666666639999999</v>
      </c>
      <c r="M16" s="9">
        <f t="array" ref="M16">INDEX(Assumptions!$D:$S, MATCH("SpaceX government market share %", Assumptions!$A$1:$A$257, 0), COLUMN()-COLUMN($D16)+1)</f>
        <v>0.83999999970000006</v>
      </c>
      <c r="N16" s="9">
        <f t="array" ref="N16">INDEX(Assumptions!$D:$S, MATCH("SpaceX government market share %", Assumptions!$A$1:$A$257, 0), COLUMN()-COLUMN($D16)+1)</f>
        <v>0.83333333300000001</v>
      </c>
      <c r="O16" s="9">
        <f t="array" ref="O16">INDEX(Assumptions!$D:$S, MATCH("SpaceX government market share %", Assumptions!$A$1:$A$257, 0), COLUMN()-COLUMN($D16)+1)</f>
        <v>0.82666666629999996</v>
      </c>
      <c r="P16" s="9">
        <f t="array" ref="P16">INDEX(Assumptions!$D:$S, MATCH("SpaceX government market share %", Assumptions!$A$1:$A$257, 0), COLUMN()-COLUMN($D16)+1)</f>
        <v>0.81999999960000003</v>
      </c>
      <c r="Q16" s="9">
        <f t="array" ref="Q16">INDEX(Assumptions!$D:$S, MATCH("SpaceX government market share %", Assumptions!$A$1:$A$257, 0), COLUMN()-COLUMN($D16)+1)</f>
        <v>0.81333333289999998</v>
      </c>
      <c r="R16" s="9">
        <f t="array" ref="R16">INDEX(Assumptions!$D:$S, MATCH("SpaceX government market share %", Assumptions!$A$1:$A$257, 0), COLUMN()-COLUMN($D16)+1)</f>
        <v>0.80666666620000005</v>
      </c>
      <c r="S16" s="9">
        <f t="array" ref="S16">INDEX(Assumptions!$D:$S, MATCH("SpaceX government market share %", Assumptions!$A$1:$A$257, 0), COLUMN()-COLUMN($D16)+1)</f>
        <v>0.8</v>
      </c>
    </row>
    <row r="17" spans="1:19">
      <c r="A17" s="5" t="s">
        <v>1151</v>
      </c>
      <c r="B17" s="3"/>
      <c r="C17" s="3"/>
      <c r="D17" s="70">
        <f t="array" ref="D17">INDEX(Assumptions!$D:$S, MATCH("Launch &amp; Development revenue ($mm/yr): year-row", Assumptions!$A$1:$A$257, 0), COLUMN()-COLUMN($D17)+1)</f>
        <v>1510</v>
      </c>
      <c r="E17" s="70">
        <f t="array" ref="E17">INDEX(Assumptions!$D:$S, MATCH("Launch &amp; Development revenue ($mm/yr): year-row", Assumptions!$A$1:$A$257, 0), COLUMN()-COLUMN($D17)+1)</f>
        <v>1585.5</v>
      </c>
      <c r="F17" s="70">
        <f t="array" ref="F17">INDEX(Assumptions!$D:$S, MATCH("Launch &amp; Development revenue ($mm/yr): year-row", Assumptions!$A$1:$A$257, 0), COLUMN()-COLUMN($D17)+1)</f>
        <v>1664.7750000000001</v>
      </c>
      <c r="G17" s="70">
        <f t="array" ref="G17">INDEX(Assumptions!$D:$S, MATCH("Launch &amp; Development revenue ($mm/yr): year-row", Assumptions!$A$1:$A$257, 0), COLUMN()-COLUMN($D17)+1)</f>
        <v>1748.0137500000003</v>
      </c>
      <c r="H17" s="70">
        <f t="array" ref="H17">INDEX(Assumptions!$D:$S, MATCH("Launch &amp; Development revenue ($mm/yr): year-row", Assumptions!$A$1:$A$257, 0), COLUMN()-COLUMN($D17)+1)</f>
        <v>1835.4144375000001</v>
      </c>
      <c r="I17" s="70">
        <f t="array" ref="I17">INDEX(Assumptions!$D:$S, MATCH("Launch &amp; Development revenue ($mm/yr): year-row", Assumptions!$A$1:$A$257, 0), COLUMN()-COLUMN($D17)+1)</f>
        <v>1927.1851593750002</v>
      </c>
      <c r="J17" s="70">
        <f t="array" ref="J17">INDEX(Assumptions!$D:$S, MATCH("Launch &amp; Development revenue ($mm/yr): year-row", Assumptions!$A$1:$A$257, 0), COLUMN()-COLUMN($D17)+1)</f>
        <v>2023.54441734375</v>
      </c>
      <c r="K17" s="70">
        <f t="array" ref="K17">INDEX(Assumptions!$D:$S, MATCH("Launch &amp; Development revenue ($mm/yr): year-row", Assumptions!$A$1:$A$257, 0), COLUMN()-COLUMN($D17)+1)</f>
        <v>2124.7216382109377</v>
      </c>
      <c r="L17" s="70">
        <f t="array" ref="L17">INDEX(Assumptions!$D:$S, MATCH("Launch &amp; Development revenue ($mm/yr): year-row", Assumptions!$A$1:$A$257, 0), COLUMN()-COLUMN($D17)+1)</f>
        <v>2230.9577201214843</v>
      </c>
      <c r="M17" s="70">
        <f t="array" ref="M17">INDEX(Assumptions!$D:$S, MATCH("Launch &amp; Development revenue ($mm/yr): year-row", Assumptions!$A$1:$A$257, 0), COLUMN()-COLUMN($D17)+1)</f>
        <v>2342.5056061275586</v>
      </c>
      <c r="N17" s="70">
        <f t="array" ref="N17">INDEX(Assumptions!$D:$S, MATCH("Launch &amp; Development revenue ($mm/yr): year-row", Assumptions!$A$1:$A$257, 0), COLUMN()-COLUMN($D17)+1)</f>
        <v>2459.6308864339367</v>
      </c>
      <c r="O17" s="70">
        <f t="array" ref="O17">INDEX(Assumptions!$D:$S, MATCH("Launch &amp; Development revenue ($mm/yr): year-row", Assumptions!$A$1:$A$257, 0), COLUMN()-COLUMN($D17)+1)</f>
        <v>2582.6124307556338</v>
      </c>
      <c r="P17" s="70">
        <f t="array" ref="P17">INDEX(Assumptions!$D:$S, MATCH("Launch &amp; Development revenue ($mm/yr): year-row", Assumptions!$A$1:$A$257, 0), COLUMN()-COLUMN($D17)+1)</f>
        <v>2711.7430522934151</v>
      </c>
      <c r="Q17" s="70">
        <f t="array" ref="Q17">INDEX(Assumptions!$D:$S, MATCH("Launch &amp; Development revenue ($mm/yr): year-row", Assumptions!$A$1:$A$257, 0), COLUMN()-COLUMN($D17)+1)</f>
        <v>2847.3302049080862</v>
      </c>
      <c r="R17" s="70">
        <f t="array" ref="R17">INDEX(Assumptions!$D:$S, MATCH("Launch &amp; Development revenue ($mm/yr): year-row", Assumptions!$A$1:$A$257, 0), COLUMN()-COLUMN($D17)+1)</f>
        <v>2989.69671515349</v>
      </c>
      <c r="S17" s="70">
        <f t="array" ref="S17">INDEX(Assumptions!$D:$S, MATCH("Launch &amp; Development revenue ($mm/yr): year-row", Assumptions!$A$1:$A$257, 0), COLUMN()-COLUMN($D17)+1)</f>
        <v>3139.1815509111657</v>
      </c>
    </row>
    <row r="18" spans="1:19">
      <c r="A18" s="5" t="s">
        <v>1152</v>
      </c>
      <c r="B18" s="3"/>
      <c r="C18" s="3"/>
      <c r="D18" s="72">
        <f t="array" ref="D18">INDEX(Assumptions!$D:$S, MATCH("Starship commercial-readiness factor: year-row", Assumptions!$A$1:$A$257, 0), COLUMN()-COLUMN($D18)+1)</f>
        <v>0</v>
      </c>
      <c r="E18" s="72">
        <f t="array" ref="E18">INDEX(Assumptions!$D:$S, MATCH("Starship commercial-readiness factor: year-row", Assumptions!$A$1:$A$257, 0), COLUMN()-COLUMN($D18)+1)</f>
        <v>0</v>
      </c>
      <c r="F18" s="72">
        <f t="array" ref="F18">INDEX(Assumptions!$D:$S, MATCH("Starship commercial-readiness factor: year-row", Assumptions!$A$1:$A$257, 0), COLUMN()-COLUMN($D18)+1)</f>
        <v>0</v>
      </c>
      <c r="G18" s="72">
        <f t="array" ref="G18">INDEX(Assumptions!$D:$S, MATCH("Starship commercial-readiness factor: year-row", Assumptions!$A$1:$A$257, 0), COLUMN()-COLUMN($D18)+1)</f>
        <v>7.5858180021243546E-2</v>
      </c>
      <c r="H18" s="72">
        <f t="array" ref="H18">INDEX(Assumptions!$D:$S, MATCH("Starship commercial-readiness factor: year-row", Assumptions!$A$1:$A$257, 0), COLUMN()-COLUMN($D18)+1)</f>
        <v>0.18242552380635635</v>
      </c>
      <c r="I18" s="72">
        <f t="array" ref="I18">INDEX(Assumptions!$D:$S, MATCH("Starship commercial-readiness factor: year-row", Assumptions!$A$1:$A$257, 0), COLUMN()-COLUMN($D18)+1)</f>
        <v>0.37754066879814541</v>
      </c>
      <c r="J18" s="72">
        <f t="array" ref="J18">INDEX(Assumptions!$D:$S, MATCH("Starship commercial-readiness factor: year-row", Assumptions!$A$1:$A$257, 0), COLUMN()-COLUMN($D18)+1)</f>
        <v>0.62245933120185459</v>
      </c>
      <c r="K18" s="72">
        <f t="array" ref="K18">INDEX(Assumptions!$D:$S, MATCH("Starship commercial-readiness factor: year-row", Assumptions!$A$1:$A$257, 0), COLUMN()-COLUMN($D18)+1)</f>
        <v>0.81757447619364365</v>
      </c>
      <c r="L18" s="72">
        <f t="array" ref="L18">INDEX(Assumptions!$D:$S, MATCH("Starship commercial-readiness factor: year-row", Assumptions!$A$1:$A$257, 0), COLUMN()-COLUMN($D18)+1)</f>
        <v>0.92414181997875655</v>
      </c>
      <c r="M18" s="72">
        <f t="array" ref="M18">INDEX(Assumptions!$D:$S, MATCH("Starship commercial-readiness factor: year-row", Assumptions!$A$1:$A$257, 0), COLUMN()-COLUMN($D18)+1)</f>
        <v>0.97068776924864364</v>
      </c>
      <c r="N18" s="72">
        <f t="array" ref="N18">INDEX(Assumptions!$D:$S, MATCH("Starship commercial-readiness factor: year-row", Assumptions!$A$1:$A$257, 0), COLUMN()-COLUMN($D18)+1)</f>
        <v>0.98901305736940681</v>
      </c>
      <c r="O18" s="72">
        <f t="array" ref="O18">INDEX(Assumptions!$D:$S, MATCH("Starship commercial-readiness factor: year-row", Assumptions!$A$1:$A$257, 0), COLUMN()-COLUMN($D18)+1)</f>
        <v>0.99592986228410396</v>
      </c>
      <c r="P18" s="72">
        <f t="array" ref="P18">INDEX(Assumptions!$D:$S, MATCH("Starship commercial-readiness factor: year-row", Assumptions!$A$1:$A$257, 0), COLUMN()-COLUMN($D18)+1)</f>
        <v>0.99849881774326299</v>
      </c>
      <c r="Q18" s="72">
        <f t="array" ref="Q18">INDEX(Assumptions!$D:$S, MATCH("Starship commercial-readiness factor: year-row", Assumptions!$A$1:$A$257, 0), COLUMN()-COLUMN($D18)+1)</f>
        <v>0.9994472213630764</v>
      </c>
      <c r="R18" s="72">
        <f t="array" ref="R18">INDEX(Assumptions!$D:$S, MATCH("Starship commercial-readiness factor: year-row", Assumptions!$A$1:$A$257, 0), COLUMN()-COLUMN($D18)+1)</f>
        <v>0.9997965730219448</v>
      </c>
      <c r="S18" s="72">
        <f t="array" ref="S18">INDEX(Assumptions!$D:$S, MATCH("Starship commercial-readiness factor: year-row", Assumptions!$A$1:$A$257, 0), COLUMN()-COLUMN($D18)+1)</f>
        <v>0.99992515377248947</v>
      </c>
    </row>
    <row r="19" spans="1:19">
      <c r="A19" s="5" t="s">
        <v>238</v>
      </c>
      <c r="B19" s="3"/>
      <c r="C19" s="3"/>
      <c r="D19" s="70">
        <f>INDEX(Assumptions!$B:$B, MATCH("F9 at-cost rate per launch ($mm)", Assumptions!$A$1:$A$257, 0))</f>
        <v>20</v>
      </c>
      <c r="E19" s="70">
        <f>INDEX(Assumptions!$B:$B, MATCH("F9 at-cost rate per launch ($mm)", Assumptions!$A$1:$A$257, 0))</f>
        <v>20</v>
      </c>
      <c r="F19" s="70">
        <f>INDEX(Assumptions!$B:$B, MATCH("F9 at-cost rate per launch ($mm)", Assumptions!$A$1:$A$257, 0))</f>
        <v>20</v>
      </c>
      <c r="G19" s="70">
        <f>INDEX(Assumptions!$B:$B, MATCH("F9 at-cost rate per launch ($mm)", Assumptions!$A$1:$A$257, 0))</f>
        <v>20</v>
      </c>
      <c r="H19" s="70">
        <f>INDEX(Assumptions!$B:$B, MATCH("F9 at-cost rate per launch ($mm)", Assumptions!$A$1:$A$257, 0))</f>
        <v>20</v>
      </c>
      <c r="I19" s="70">
        <f>INDEX(Assumptions!$B:$B, MATCH("F9 at-cost rate per launch ($mm)", Assumptions!$A$1:$A$257, 0))</f>
        <v>20</v>
      </c>
      <c r="J19" s="70">
        <f>INDEX(Assumptions!$B:$B, MATCH("F9 at-cost rate per launch ($mm)", Assumptions!$A$1:$A$257, 0))</f>
        <v>20</v>
      </c>
      <c r="K19" s="70">
        <f>INDEX(Assumptions!$B:$B, MATCH("F9 at-cost rate per launch ($mm)", Assumptions!$A$1:$A$257, 0))</f>
        <v>20</v>
      </c>
      <c r="L19" s="70">
        <f>INDEX(Assumptions!$B:$B, MATCH("F9 at-cost rate per launch ($mm)", Assumptions!$A$1:$A$257, 0))</f>
        <v>20</v>
      </c>
      <c r="M19" s="70">
        <f>INDEX(Assumptions!$B:$B, MATCH("F9 at-cost rate per launch ($mm)", Assumptions!$A$1:$A$257, 0))</f>
        <v>20</v>
      </c>
      <c r="N19" s="70">
        <f>INDEX(Assumptions!$B:$B, MATCH("F9 at-cost rate per launch ($mm)", Assumptions!$A$1:$A$257, 0))</f>
        <v>20</v>
      </c>
      <c r="O19" s="70">
        <f>INDEX(Assumptions!$B:$B, MATCH("F9 at-cost rate per launch ($mm)", Assumptions!$A$1:$A$257, 0))</f>
        <v>20</v>
      </c>
      <c r="P19" s="70">
        <f>INDEX(Assumptions!$B:$B, MATCH("F9 at-cost rate per launch ($mm)", Assumptions!$A$1:$A$257, 0))</f>
        <v>20</v>
      </c>
      <c r="Q19" s="70">
        <f>INDEX(Assumptions!$B:$B, MATCH("F9 at-cost rate per launch ($mm)", Assumptions!$A$1:$A$257, 0))</f>
        <v>20</v>
      </c>
      <c r="R19" s="70">
        <f>INDEX(Assumptions!$B:$B, MATCH("F9 at-cost rate per launch ($mm)", Assumptions!$A$1:$A$257, 0))</f>
        <v>20</v>
      </c>
      <c r="S19" s="70">
        <f>INDEX(Assumptions!$B:$B, MATCH("F9 at-cost rate per launch ($mm)", Assumptions!$A$1:$A$257, 0))</f>
        <v>20</v>
      </c>
    </row>
    <row r="20" spans="1:19">
      <c r="A20" s="5" t="s">
        <v>240</v>
      </c>
      <c r="B20" s="3"/>
      <c r="C20" s="3"/>
      <c r="D20" s="18">
        <f t="array" aca="1" ref="D20" ca="1">INDEX('Vehicle Build'!$D:$AC,MATCH("Starship at-cost rate, fully reusable ($mm/launch)",'Vehicle Build'!$A$1:$A$119,0),D$5+1)</f>
        <v>18.192564285070283</v>
      </c>
      <c r="E20" s="18">
        <f t="array" aca="1" ref="E20" ca="1">INDEX('Vehicle Build'!$D:$AC,MATCH("Starship at-cost rate, fully reusable ($mm/launch)",'Vehicle Build'!$A$1:$A$119,0),E$5+1)</f>
        <v>14.499423754028511</v>
      </c>
      <c r="F20" s="18">
        <f t="array" aca="1" ref="F20" ca="1">INDEX('Vehicle Build'!$D:$AC,MATCH("Starship at-cost rate, fully reusable ($mm/launch)",'Vehicle Build'!$A$1:$A$119,0),F$5+1)</f>
        <v>11.804892604145198</v>
      </c>
      <c r="G20" s="18">
        <f t="array" aca="1" ref="G20" ca="1">INDEX('Vehicle Build'!$D:$AC,MATCH("Starship at-cost rate, fully reusable ($mm/launch)",'Vehicle Build'!$A$1:$A$119,0),G$5+1)</f>
        <v>9.9704187366340875</v>
      </c>
      <c r="H20" s="18">
        <f t="array" aca="1" ref="H20" ca="1">INDEX('Vehicle Build'!$D:$AC,MATCH("Starship at-cost rate, fully reusable ($mm/launch)",'Vehicle Build'!$A$1:$A$119,0),H$5+1)</f>
        <v>8.8283342988931413</v>
      </c>
      <c r="I20" s="18">
        <f t="array" aca="1" ref="I20" ca="1">INDEX('Vehicle Build'!$D:$AC,MATCH("Starship at-cost rate, fully reusable ($mm/launch)",'Vehicle Build'!$A$1:$A$119,0),I$5+1)</f>
        <v>8.1203650367351585</v>
      </c>
      <c r="J20" s="18">
        <f t="array" aca="1" ref="J20" ca="1">INDEX('Vehicle Build'!$D:$AC,MATCH("Starship at-cost rate, fully reusable ($mm/launch)",'Vehicle Build'!$A$1:$A$119,0),J$5+1)</f>
        <v>7.5835393237515065</v>
      </c>
      <c r="K20" s="18">
        <f t="array" aca="1" ref="K20" ca="1">INDEX('Vehicle Build'!$D:$AC,MATCH("Starship at-cost rate, fully reusable ($mm/launch)",'Vehicle Build'!$A$1:$A$119,0),K$5+1)</f>
        <v>7.13549686064413</v>
      </c>
      <c r="L20" s="18">
        <f t="array" aca="1" ref="L20" ca="1">INDEX('Vehicle Build'!$D:$AC,MATCH("Starship at-cost rate, fully reusable ($mm/launch)",'Vehicle Build'!$A$1:$A$119,0),L$5+1)</f>
        <v>6.8774909056606406</v>
      </c>
      <c r="M20" s="18">
        <f t="array" aca="1" ref="M20" ca="1">INDEX('Vehicle Build'!$D:$AC,MATCH("Starship at-cost rate, fully reusable ($mm/launch)",'Vehicle Build'!$A$1:$A$119,0),M$5+1)</f>
        <v>6.700159664732225</v>
      </c>
      <c r="N20" s="18">
        <f t="array" aca="1" ref="N20" ca="1">INDEX('Vehicle Build'!$D:$AC,MATCH("Starship at-cost rate, fully reusable ($mm/launch)",'Vehicle Build'!$A$1:$A$119,0),N$5+1)</f>
        <v>6.5509332055833784</v>
      </c>
      <c r="O20" s="18">
        <f t="array" aca="1" ref="O20" ca="1">INDEX('Vehicle Build'!$D:$AC,MATCH("Starship at-cost rate, fully reusable ($mm/launch)",'Vehicle Build'!$A$1:$A$119,0),O$5+1)</f>
        <v>6.4264100193559504</v>
      </c>
      <c r="P20" s="18">
        <f t="array" aca="1" ref="P20" ca="1">INDEX('Vehicle Build'!$D:$AC,MATCH("Starship at-cost rate, fully reusable ($mm/launch)",'Vehicle Build'!$A$1:$A$119,0),P$5+1)</f>
        <v>6.3783552645310202</v>
      </c>
      <c r="Q20" s="18">
        <f t="array" aca="1" ref="Q20" ca="1">INDEX('Vehicle Build'!$D:$AC,MATCH("Starship at-cost rate, fully reusable ($mm/launch)",'Vehicle Build'!$A$1:$A$119,0),Q$5+1)</f>
        <v>6.3201067572887686</v>
      </c>
      <c r="R20" s="18">
        <f t="array" aca="1" ref="R20" ca="1">INDEX('Vehicle Build'!$D:$AC,MATCH("Starship at-cost rate, fully reusable ($mm/launch)",'Vehicle Build'!$A$1:$A$119,0),R$5+1)</f>
        <v>6.239301444498274</v>
      </c>
      <c r="S20" s="18">
        <f t="array" aca="1" ref="S20" ca="1">INDEX('Vehicle Build'!$D:$AC,MATCH("Starship at-cost rate, fully reusable ($mm/launch)",'Vehicle Build'!$A$1:$A$119,0),S$5+1)</f>
        <v>6.1470555951976724</v>
      </c>
    </row>
    <row r="21" spans="1:19">
      <c r="A21" s="5" t="s">
        <v>1153</v>
      </c>
      <c r="B21" s="3"/>
      <c r="C21" s="3"/>
      <c r="D21" s="70">
        <f>INDEX(Assumptions!$B:$B, MATCH("F9 booster (1st stage) mfg cost ($mm/unit)", Assumptions!$A$1:$A$257, 0))</f>
        <v>30</v>
      </c>
      <c r="E21" s="70">
        <f>INDEX(Assumptions!$B:$B, MATCH("F9 booster (1st stage) mfg cost ($mm/unit)", Assumptions!$A$1:$A$257, 0))</f>
        <v>30</v>
      </c>
      <c r="F21" s="70">
        <f>INDEX(Assumptions!$B:$B, MATCH("F9 booster (1st stage) mfg cost ($mm/unit)", Assumptions!$A$1:$A$257, 0))</f>
        <v>30</v>
      </c>
      <c r="G21" s="70">
        <f>INDEX(Assumptions!$B:$B, MATCH("F9 booster (1st stage) mfg cost ($mm/unit)", Assumptions!$A$1:$A$257, 0))</f>
        <v>30</v>
      </c>
      <c r="H21" s="70">
        <f>INDEX(Assumptions!$B:$B, MATCH("F9 booster (1st stage) mfg cost ($mm/unit)", Assumptions!$A$1:$A$257, 0))</f>
        <v>30</v>
      </c>
      <c r="I21" s="70">
        <f>INDEX(Assumptions!$B:$B, MATCH("F9 booster (1st stage) mfg cost ($mm/unit)", Assumptions!$A$1:$A$257, 0))</f>
        <v>30</v>
      </c>
      <c r="J21" s="70">
        <f>INDEX(Assumptions!$B:$B, MATCH("F9 booster (1st stage) mfg cost ($mm/unit)", Assumptions!$A$1:$A$257, 0))</f>
        <v>30</v>
      </c>
      <c r="K21" s="70">
        <f>INDEX(Assumptions!$B:$B, MATCH("F9 booster (1st stage) mfg cost ($mm/unit)", Assumptions!$A$1:$A$257, 0))</f>
        <v>30</v>
      </c>
      <c r="L21" s="70">
        <f>INDEX(Assumptions!$B:$B, MATCH("F9 booster (1st stage) mfg cost ($mm/unit)", Assumptions!$A$1:$A$257, 0))</f>
        <v>30</v>
      </c>
      <c r="M21" s="70">
        <f>INDEX(Assumptions!$B:$B, MATCH("F9 booster (1st stage) mfg cost ($mm/unit)", Assumptions!$A$1:$A$257, 0))</f>
        <v>30</v>
      </c>
      <c r="N21" s="70">
        <f>INDEX(Assumptions!$B:$B, MATCH("F9 booster (1st stage) mfg cost ($mm/unit)", Assumptions!$A$1:$A$257, 0))</f>
        <v>30</v>
      </c>
      <c r="O21" s="70">
        <f>INDEX(Assumptions!$B:$B, MATCH("F9 booster (1st stage) mfg cost ($mm/unit)", Assumptions!$A$1:$A$257, 0))</f>
        <v>30</v>
      </c>
      <c r="P21" s="70">
        <f>INDEX(Assumptions!$B:$B, MATCH("F9 booster (1st stage) mfg cost ($mm/unit)", Assumptions!$A$1:$A$257, 0))</f>
        <v>30</v>
      </c>
      <c r="Q21" s="70">
        <f>INDEX(Assumptions!$B:$B, MATCH("F9 booster (1st stage) mfg cost ($mm/unit)", Assumptions!$A$1:$A$257, 0))</f>
        <v>30</v>
      </c>
      <c r="R21" s="70">
        <f>INDEX(Assumptions!$B:$B, MATCH("F9 booster (1st stage) mfg cost ($mm/unit)", Assumptions!$A$1:$A$257, 0))</f>
        <v>30</v>
      </c>
      <c r="S21" s="70">
        <f>INDEX(Assumptions!$B:$B, MATCH("F9 booster (1st stage) mfg cost ($mm/unit)", Assumptions!$A$1:$A$257, 0))</f>
        <v>30</v>
      </c>
    </row>
    <row r="22" spans="1:19">
      <c r="A22" s="5" t="s">
        <v>1154</v>
      </c>
      <c r="B22" s="3"/>
      <c r="C22" s="3"/>
      <c r="D22" s="18">
        <f t="array" aca="1" ref="D22" ca="1">INDEX('Vehicle Build'!$D:$AC,MATCH("Starship build cost ($mm/stack)",'Vehicle Build'!$A$1:$A$119,0),D$5+1)</f>
        <v>65.071945281952225</v>
      </c>
      <c r="E22" s="18">
        <f t="array" aca="1" ref="E22" ca="1">INDEX('Vehicle Build'!$D:$AC,MATCH("Starship build cost ($mm/stack)",'Vehicle Build'!$A$1:$A$119,0),E$5+1)</f>
        <v>60.971010453263865</v>
      </c>
      <c r="F22" s="18">
        <f t="array" aca="1" ref="F22" ca="1">INDEX('Vehicle Build'!$D:$AC,MATCH("Starship build cost ($mm/stack)",'Vehicle Build'!$A$1:$A$119,0),F$5+1)</f>
        <v>53.860799959099772</v>
      </c>
      <c r="G22" s="18">
        <f t="array" aca="1" ref="G22" ca="1">INDEX('Vehicle Build'!$D:$AC,MATCH("Starship build cost ($mm/stack)",'Vehicle Build'!$A$1:$A$119,0),G$5+1)</f>
        <v>47.701520872759353</v>
      </c>
      <c r="H22" s="18">
        <f t="array" aca="1" ref="H22" ca="1">INDEX('Vehicle Build'!$D:$AC,MATCH("Starship build cost ($mm/stack)",'Vehicle Build'!$A$1:$A$119,0),H$5+1)</f>
        <v>42.953794986373431</v>
      </c>
      <c r="I22" s="18">
        <f t="array" aca="1" ref="I22" ca="1">INDEX('Vehicle Build'!$D:$AC,MATCH("Starship build cost ($mm/stack)",'Vehicle Build'!$A$1:$A$119,0),I$5+1)</f>
        <v>39.290393057384712</v>
      </c>
      <c r="J22" s="18">
        <f t="array" aca="1" ref="J22" ca="1">INDEX('Vehicle Build'!$D:$AC,MATCH("Starship build cost ($mm/stack)",'Vehicle Build'!$A$1:$A$119,0),J$5+1)</f>
        <v>36.395224670889924</v>
      </c>
      <c r="K22" s="18">
        <f t="array" aca="1" ref="K22" ca="1">INDEX('Vehicle Build'!$D:$AC,MATCH("Starship build cost ($mm/stack)",'Vehicle Build'!$A$1:$A$119,0),K$5+1)</f>
        <v>34.048100479697702</v>
      </c>
      <c r="L22" s="18">
        <f t="array" aca="1" ref="L22" ca="1">INDEX('Vehicle Build'!$D:$AC,MATCH("Starship build cost ($mm/stack)",'Vehicle Build'!$A$1:$A$119,0),L$5+1)</f>
        <v>32.817110999170112</v>
      </c>
      <c r="M22" s="18">
        <f t="array" aca="1" ref="M22" ca="1">INDEX('Vehicle Build'!$D:$AC,MATCH("Starship build cost ($mm/stack)",'Vehicle Build'!$A$1:$A$119,0),M$5+1)</f>
        <v>31.974490742034877</v>
      </c>
      <c r="N22" s="18">
        <f t="array" aca="1" ref="N22" ca="1">INDEX('Vehicle Build'!$D:$AC,MATCH("Starship build cost ($mm/stack)",'Vehicle Build'!$A$1:$A$119,0),N$5+1)</f>
        <v>31.195894350917925</v>
      </c>
      <c r="O22" s="18">
        <f t="array" aca="1" ref="O22" ca="1">INDEX('Vehicle Build'!$D:$AC,MATCH("Starship build cost ($mm/stack)",'Vehicle Build'!$A$1:$A$119,0),O$5+1)</f>
        <v>30.485015807356262</v>
      </c>
      <c r="P22" s="18">
        <f t="array" aca="1" ref="P22" ca="1">INDEX('Vehicle Build'!$D:$AC,MATCH("Starship build cost ($mm/stack)",'Vehicle Build'!$A$1:$A$119,0),P$5+1)</f>
        <v>30.275597525289456</v>
      </c>
      <c r="Q22" s="18">
        <f t="array" aca="1" ref="Q22" ca="1">INDEX('Vehicle Build'!$D:$AC,MATCH("Starship build cost ($mm/stack)",'Vehicle Build'!$A$1:$A$119,0),Q$5+1)</f>
        <v>29.98058622587374</v>
      </c>
      <c r="R22" s="18">
        <f t="array" aca="1" ref="R22" ca="1">INDEX('Vehicle Build'!$D:$AC,MATCH("Starship build cost ($mm/stack)",'Vehicle Build'!$A$1:$A$119,0),R$5+1)</f>
        <v>29.518416769971672</v>
      </c>
      <c r="S22" s="18">
        <f t="array" aca="1" ref="S22" ca="1">INDEX('Vehicle Build'!$D:$AC,MATCH("Starship build cost ($mm/stack)",'Vehicle Build'!$A$1:$A$119,0),S$5+1)</f>
        <v>28.96795638360225</v>
      </c>
    </row>
    <row r="23" spans="1:19">
      <c r="A23" s="5" t="s">
        <v>1155</v>
      </c>
      <c r="B23" s="3"/>
      <c r="C23" s="3"/>
      <c r="D23" s="108">
        <f>INDEX(Assumptions!$B:$B, MATCH("F9 cadence per booster (flights/year)", Assumptions!$A$1:$A$257, 0))</f>
        <v>6</v>
      </c>
      <c r="E23" s="108">
        <f>INDEX(Assumptions!$B:$B, MATCH("F9 cadence per booster (flights/year)", Assumptions!$A$1:$A$257, 0))</f>
        <v>6</v>
      </c>
      <c r="F23" s="108">
        <f>INDEX(Assumptions!$B:$B, MATCH("F9 cadence per booster (flights/year)", Assumptions!$A$1:$A$257, 0))</f>
        <v>6</v>
      </c>
      <c r="G23" s="108">
        <f>INDEX(Assumptions!$B:$B, MATCH("F9 cadence per booster (flights/year)", Assumptions!$A$1:$A$257, 0))</f>
        <v>6</v>
      </c>
      <c r="H23" s="108">
        <f>INDEX(Assumptions!$B:$B, MATCH("F9 cadence per booster (flights/year)", Assumptions!$A$1:$A$257, 0))</f>
        <v>6</v>
      </c>
      <c r="I23" s="108">
        <f>INDEX(Assumptions!$B:$B, MATCH("F9 cadence per booster (flights/year)", Assumptions!$A$1:$A$257, 0))</f>
        <v>6</v>
      </c>
      <c r="J23" s="108">
        <f>INDEX(Assumptions!$B:$B, MATCH("F9 cadence per booster (flights/year)", Assumptions!$A$1:$A$257, 0))</f>
        <v>6</v>
      </c>
      <c r="K23" s="108">
        <f>INDEX(Assumptions!$B:$B, MATCH("F9 cadence per booster (flights/year)", Assumptions!$A$1:$A$257, 0))</f>
        <v>6</v>
      </c>
      <c r="L23" s="108">
        <f>INDEX(Assumptions!$B:$B, MATCH("F9 cadence per booster (flights/year)", Assumptions!$A$1:$A$257, 0))</f>
        <v>6</v>
      </c>
      <c r="M23" s="108">
        <f>INDEX(Assumptions!$B:$B, MATCH("F9 cadence per booster (flights/year)", Assumptions!$A$1:$A$257, 0))</f>
        <v>6</v>
      </c>
      <c r="N23" s="108">
        <f>INDEX(Assumptions!$B:$B, MATCH("F9 cadence per booster (flights/year)", Assumptions!$A$1:$A$257, 0))</f>
        <v>6</v>
      </c>
      <c r="O23" s="108">
        <f>INDEX(Assumptions!$B:$B, MATCH("F9 cadence per booster (flights/year)", Assumptions!$A$1:$A$257, 0))</f>
        <v>6</v>
      </c>
      <c r="P23" s="108">
        <f>INDEX(Assumptions!$B:$B, MATCH("F9 cadence per booster (flights/year)", Assumptions!$A$1:$A$257, 0))</f>
        <v>6</v>
      </c>
      <c r="Q23" s="108">
        <f>INDEX(Assumptions!$B:$B, MATCH("F9 cadence per booster (flights/year)", Assumptions!$A$1:$A$257, 0))</f>
        <v>6</v>
      </c>
      <c r="R23" s="108">
        <f>INDEX(Assumptions!$B:$B, MATCH("F9 cadence per booster (flights/year)", Assumptions!$A$1:$A$257, 0))</f>
        <v>6</v>
      </c>
      <c r="S23" s="108">
        <f>INDEX(Assumptions!$B:$B, MATCH("F9 cadence per booster (flights/year)", Assumptions!$A$1:$A$257, 0))</f>
        <v>6</v>
      </c>
    </row>
    <row r="24" spans="1:19">
      <c r="A24" s="5" t="s">
        <v>1156</v>
      </c>
      <c r="B24" s="3"/>
      <c r="C24" s="3"/>
      <c r="D24" s="33">
        <f t="array" ref="D24">INDEX('Vehicle Build'!$D:$AC,MATCH("Starship BOOSTER cadence per vehicle in service",'Vehicle Build'!$A$1:$A$119,0),D$5+1)</f>
        <v>1</v>
      </c>
      <c r="E24" s="33">
        <f t="array" aca="1" ref="E24" ca="1">INDEX('Vehicle Build'!$D:$AC,MATCH("Starship BOOSTER cadence per vehicle in service",'Vehicle Build'!$A$1:$A$119,0),E$5+1)</f>
        <v>2</v>
      </c>
      <c r="F24" s="33">
        <f t="array" aca="1" ref="F24" ca="1">INDEX('Vehicle Build'!$D:$AC,MATCH("Starship BOOSTER cadence per vehicle in service",'Vehicle Build'!$A$1:$A$119,0),F$5+1)</f>
        <v>2</v>
      </c>
      <c r="G24" s="33">
        <f t="array" aca="1" ref="G24" ca="1">INDEX('Vehicle Build'!$D:$AC,MATCH("Starship BOOSTER cadence per vehicle in service",'Vehicle Build'!$A$1:$A$119,0),G$5+1)</f>
        <v>3.5133635135342258</v>
      </c>
      <c r="H24" s="33">
        <f t="array" aca="1" ref="H24" ca="1">INDEX('Vehicle Build'!$D:$AC,MATCH("Starship BOOSTER cadence per vehicle in service",'Vehicle Build'!$A$1:$A$119,0),H$5+1)</f>
        <v>5.3222907742108729</v>
      </c>
      <c r="I24" s="33">
        <f t="array" aca="1" ref="I24" ca="1">INDEX('Vehicle Build'!$D:$AC,MATCH("Starship BOOSTER cadence per vehicle in service",'Vehicle Build'!$A$1:$A$119,0),I$5+1)</f>
        <v>7.7186960647053722</v>
      </c>
      <c r="J24" s="33">
        <f t="array" aca="1" ref="J24" ca="1">INDEX('Vehicle Build'!$D:$AC,MATCH("Starship BOOSTER cadence per vehicle in service",'Vehicle Build'!$A$1:$A$119,0),J$5+1)</f>
        <v>10.446735201626849</v>
      </c>
      <c r="K24" s="33">
        <f t="array" aca="1" ref="K24" ca="1">INDEX('Vehicle Build'!$D:$AC,MATCH("Starship BOOSTER cadence per vehicle in service",'Vehicle Build'!$A$1:$A$119,0),K$5+1)</f>
        <v>12.277402603099272</v>
      </c>
      <c r="L24" s="33">
        <f t="array" aca="1" ref="L24" ca="1">INDEX('Vehicle Build'!$D:$AC,MATCH("Starship BOOSTER cadence per vehicle in service",'Vehicle Build'!$A$1:$A$119,0),L$5+1)</f>
        <v>14.565239605409241</v>
      </c>
      <c r="M24" s="33">
        <f t="array" aca="1" ref="M24" ca="1">INDEX('Vehicle Build'!$D:$AC,MATCH("Starship BOOSTER cadence per vehicle in service",'Vehicle Build'!$A$1:$A$119,0),M$5+1)</f>
        <v>15.696781154952236</v>
      </c>
      <c r="N24" s="33">
        <f t="array" aca="1" ref="N24" ca="1">INDEX('Vehicle Build'!$D:$AC,MATCH("Starship BOOSTER cadence per vehicle in service",'Vehicle Build'!$A$1:$A$119,0),N$5+1)</f>
        <v>17.380496810755709</v>
      </c>
      <c r="O24" s="33">
        <f t="array" aca="1" ref="O24" ca="1">INDEX('Vehicle Build'!$D:$AC,MATCH("Starship BOOSTER cadence per vehicle in service",'Vehicle Build'!$A$1:$A$119,0),O$5+1)</f>
        <v>19.08308295329681</v>
      </c>
      <c r="P24" s="33">
        <f t="array" aca="1" ref="P24" ca="1">INDEX('Vehicle Build'!$D:$AC,MATCH("Starship BOOSTER cadence per vehicle in service",'Vehicle Build'!$A$1:$A$119,0),P$5+1)</f>
        <v>21.022867380758971</v>
      </c>
      <c r="Q24" s="33">
        <f t="array" aca="1" ref="Q24" ca="1">INDEX('Vehicle Build'!$D:$AC,MATCH("Starship BOOSTER cadence per vehicle in service",'Vehicle Build'!$A$1:$A$119,0),Q$5+1)</f>
        <v>22.331263636906321</v>
      </c>
      <c r="R24" s="33">
        <f t="array" aca="1" ref="R24" ca="1">INDEX('Vehicle Build'!$D:$AC,MATCH("Starship BOOSTER cadence per vehicle in service",'Vehicle Build'!$A$1:$A$119,0),R$5+1)</f>
        <v>23.373783516327883</v>
      </c>
      <c r="S24" s="33">
        <f t="array" aca="1" ref="S24" ca="1">INDEX('Vehicle Build'!$D:$AC,MATCH("Starship BOOSTER cadence per vehicle in service",'Vehicle Build'!$A$1:$A$119,0),S$5+1)</f>
        <v>24.270968716342445</v>
      </c>
    </row>
    <row r="25" spans="1:19">
      <c r="A25" s="5" t="s">
        <v>1157</v>
      </c>
      <c r="B25" s="3"/>
      <c r="C25" s="3"/>
      <c r="D25" s="108">
        <f>INDEX(Assumptions!$B:$B, MATCH("Asset life L: Customer Launch F9 (years)", Assumptions!$A$1:$A$257, 0))</f>
        <v>8</v>
      </c>
      <c r="E25" s="108">
        <f>INDEX(Assumptions!$B:$B, MATCH("Asset life L: Customer Launch F9 (years)", Assumptions!$A$1:$A$257, 0))</f>
        <v>8</v>
      </c>
      <c r="F25" s="108">
        <f>INDEX(Assumptions!$B:$B, MATCH("Asset life L: Customer Launch F9 (years)", Assumptions!$A$1:$A$257, 0))</f>
        <v>8</v>
      </c>
      <c r="G25" s="108">
        <f>INDEX(Assumptions!$B:$B, MATCH("Asset life L: Customer Launch F9 (years)", Assumptions!$A$1:$A$257, 0))</f>
        <v>8</v>
      </c>
      <c r="H25" s="108">
        <f>INDEX(Assumptions!$B:$B, MATCH("Asset life L: Customer Launch F9 (years)", Assumptions!$A$1:$A$257, 0))</f>
        <v>8</v>
      </c>
      <c r="I25" s="108">
        <f>INDEX(Assumptions!$B:$B, MATCH("Asset life L: Customer Launch F9 (years)", Assumptions!$A$1:$A$257, 0))</f>
        <v>8</v>
      </c>
      <c r="J25" s="108">
        <f>INDEX(Assumptions!$B:$B, MATCH("Asset life L: Customer Launch F9 (years)", Assumptions!$A$1:$A$257, 0))</f>
        <v>8</v>
      </c>
      <c r="K25" s="108">
        <f>INDEX(Assumptions!$B:$B, MATCH("Asset life L: Customer Launch F9 (years)", Assumptions!$A$1:$A$257, 0))</f>
        <v>8</v>
      </c>
      <c r="L25" s="108">
        <f>INDEX(Assumptions!$B:$B, MATCH("Asset life L: Customer Launch F9 (years)", Assumptions!$A$1:$A$257, 0))</f>
        <v>8</v>
      </c>
      <c r="M25" s="108">
        <f>INDEX(Assumptions!$B:$B, MATCH("Asset life L: Customer Launch F9 (years)", Assumptions!$A$1:$A$257, 0))</f>
        <v>8</v>
      </c>
      <c r="N25" s="108">
        <f>INDEX(Assumptions!$B:$B, MATCH("Asset life L: Customer Launch F9 (years)", Assumptions!$A$1:$A$257, 0))</f>
        <v>8</v>
      </c>
      <c r="O25" s="108">
        <f>INDEX(Assumptions!$B:$B, MATCH("Asset life L: Customer Launch F9 (years)", Assumptions!$A$1:$A$257, 0))</f>
        <v>8</v>
      </c>
      <c r="P25" s="108">
        <f>INDEX(Assumptions!$B:$B, MATCH("Asset life L: Customer Launch F9 (years)", Assumptions!$A$1:$A$257, 0))</f>
        <v>8</v>
      </c>
      <c r="Q25" s="108">
        <f>INDEX(Assumptions!$B:$B, MATCH("Asset life L: Customer Launch F9 (years)", Assumptions!$A$1:$A$257, 0))</f>
        <v>8</v>
      </c>
      <c r="R25" s="108">
        <f>INDEX(Assumptions!$B:$B, MATCH("Asset life L: Customer Launch F9 (years)", Assumptions!$A$1:$A$257, 0))</f>
        <v>8</v>
      </c>
      <c r="S25" s="108">
        <f>INDEX(Assumptions!$B:$B, MATCH("Asset life L: Customer Launch F9 (years)", Assumptions!$A$1:$A$257, 0))</f>
        <v>8</v>
      </c>
    </row>
    <row r="26" spans="1:19">
      <c r="A26" s="5" t="s">
        <v>1158</v>
      </c>
      <c r="B26" s="3"/>
      <c r="C26" s="3"/>
      <c r="D26" s="108">
        <f>INDEX(Assumptions!$B:$B, MATCH("Asset life L: Customer Launch Starship (years)", Assumptions!$A$1:$A$257, 0))</f>
        <v>8</v>
      </c>
      <c r="E26" s="108">
        <f>INDEX(Assumptions!$B:$B, MATCH("Asset life L: Customer Launch Starship (years)", Assumptions!$A$1:$A$257, 0))</f>
        <v>8</v>
      </c>
      <c r="F26" s="108">
        <f>INDEX(Assumptions!$B:$B, MATCH("Asset life L: Customer Launch Starship (years)", Assumptions!$A$1:$A$257, 0))</f>
        <v>8</v>
      </c>
      <c r="G26" s="108">
        <f>INDEX(Assumptions!$B:$B, MATCH("Asset life L: Customer Launch Starship (years)", Assumptions!$A$1:$A$257, 0))</f>
        <v>8</v>
      </c>
      <c r="H26" s="108">
        <f>INDEX(Assumptions!$B:$B, MATCH("Asset life L: Customer Launch Starship (years)", Assumptions!$A$1:$A$257, 0))</f>
        <v>8</v>
      </c>
      <c r="I26" s="108">
        <f>INDEX(Assumptions!$B:$B, MATCH("Asset life L: Customer Launch Starship (years)", Assumptions!$A$1:$A$257, 0))</f>
        <v>8</v>
      </c>
      <c r="J26" s="108">
        <f>INDEX(Assumptions!$B:$B, MATCH("Asset life L: Customer Launch Starship (years)", Assumptions!$A$1:$A$257, 0))</f>
        <v>8</v>
      </c>
      <c r="K26" s="108">
        <f>INDEX(Assumptions!$B:$B, MATCH("Asset life L: Customer Launch Starship (years)", Assumptions!$A$1:$A$257, 0))</f>
        <v>8</v>
      </c>
      <c r="L26" s="108">
        <f>INDEX(Assumptions!$B:$B, MATCH("Asset life L: Customer Launch Starship (years)", Assumptions!$A$1:$A$257, 0))</f>
        <v>8</v>
      </c>
      <c r="M26" s="108">
        <f>INDEX(Assumptions!$B:$B, MATCH("Asset life L: Customer Launch Starship (years)", Assumptions!$A$1:$A$257, 0))</f>
        <v>8</v>
      </c>
      <c r="N26" s="108">
        <f>INDEX(Assumptions!$B:$B, MATCH("Asset life L: Customer Launch Starship (years)", Assumptions!$A$1:$A$257, 0))</f>
        <v>8</v>
      </c>
      <c r="O26" s="108">
        <f>INDEX(Assumptions!$B:$B, MATCH("Asset life L: Customer Launch Starship (years)", Assumptions!$A$1:$A$257, 0))</f>
        <v>8</v>
      </c>
      <c r="P26" s="108">
        <f>INDEX(Assumptions!$B:$B, MATCH("Asset life L: Customer Launch Starship (years)", Assumptions!$A$1:$A$257, 0))</f>
        <v>8</v>
      </c>
      <c r="Q26" s="108">
        <f>INDEX(Assumptions!$B:$B, MATCH("Asset life L: Customer Launch Starship (years)", Assumptions!$A$1:$A$257, 0))</f>
        <v>8</v>
      </c>
      <c r="R26" s="108">
        <f>INDEX(Assumptions!$B:$B, MATCH("Asset life L: Customer Launch Starship (years)", Assumptions!$A$1:$A$257, 0))</f>
        <v>8</v>
      </c>
      <c r="S26" s="108">
        <f>INDEX(Assumptions!$B:$B, MATCH("Asset life L: Customer Launch Starship (years)", Assumptions!$A$1:$A$257, 0))</f>
        <v>8</v>
      </c>
    </row>
    <row r="27" spans="1:19">
      <c r="A27" s="78" t="s">
        <v>210</v>
      </c>
      <c r="B27" s="78"/>
      <c r="C27" s="78"/>
      <c r="D27" s="109">
        <f>INDEX(Assumptions!$B:$B, MATCH("Group WACC", Assumptions!$A$1:$A$257, 0))</f>
        <v>0.1</v>
      </c>
      <c r="E27" s="109">
        <f>INDEX(Assumptions!$B:$B, MATCH("Group WACC", Assumptions!$A$1:$A$257, 0))</f>
        <v>0.1</v>
      </c>
      <c r="F27" s="109">
        <f>INDEX(Assumptions!$B:$B, MATCH("Group WACC", Assumptions!$A$1:$A$257, 0))</f>
        <v>0.1</v>
      </c>
      <c r="G27" s="109">
        <f>INDEX(Assumptions!$B:$B, MATCH("Group WACC", Assumptions!$A$1:$A$257, 0))</f>
        <v>0.1</v>
      </c>
      <c r="H27" s="109">
        <f>INDEX(Assumptions!$B:$B, MATCH("Group WACC", Assumptions!$A$1:$A$257, 0))</f>
        <v>0.1</v>
      </c>
      <c r="I27" s="109">
        <f>INDEX(Assumptions!$B:$B, MATCH("Group WACC", Assumptions!$A$1:$A$257, 0))</f>
        <v>0.1</v>
      </c>
      <c r="J27" s="109">
        <f>INDEX(Assumptions!$B:$B, MATCH("Group WACC", Assumptions!$A$1:$A$257, 0))</f>
        <v>0.1</v>
      </c>
      <c r="K27" s="109">
        <f>INDEX(Assumptions!$B:$B, MATCH("Group WACC", Assumptions!$A$1:$A$257, 0))</f>
        <v>0.1</v>
      </c>
      <c r="L27" s="109">
        <f>INDEX(Assumptions!$B:$B, MATCH("Group WACC", Assumptions!$A$1:$A$257, 0))</f>
        <v>0.1</v>
      </c>
      <c r="M27" s="109">
        <f>INDEX(Assumptions!$B:$B, MATCH("Group WACC", Assumptions!$A$1:$A$257, 0))</f>
        <v>0.1</v>
      </c>
      <c r="N27" s="109">
        <f>INDEX(Assumptions!$B:$B, MATCH("Group WACC", Assumptions!$A$1:$A$257, 0))</f>
        <v>0.1</v>
      </c>
      <c r="O27" s="109">
        <f>INDEX(Assumptions!$B:$B, MATCH("Group WACC", Assumptions!$A$1:$A$257, 0))</f>
        <v>0.1</v>
      </c>
      <c r="P27" s="109">
        <f>INDEX(Assumptions!$B:$B, MATCH("Group WACC", Assumptions!$A$1:$A$257, 0))</f>
        <v>0.1</v>
      </c>
      <c r="Q27" s="109">
        <f>INDEX(Assumptions!$B:$B, MATCH("Group WACC", Assumptions!$A$1:$A$257, 0))</f>
        <v>0.1</v>
      </c>
      <c r="R27" s="109">
        <f>INDEX(Assumptions!$B:$B, MATCH("Group WACC", Assumptions!$A$1:$A$257, 0))</f>
        <v>0.1</v>
      </c>
      <c r="S27" s="109">
        <f>INDEX(Assumptions!$B:$B, MATCH("Group WACC", Assumptions!$A$1:$A$257, 0))</f>
        <v>0.1</v>
      </c>
    </row>
    <row r="28" spans="1:19">
      <c r="A28" s="5" t="s">
        <v>1159</v>
      </c>
      <c r="B28" s="3"/>
      <c r="C28" s="3"/>
      <c r="D28" s="110">
        <f>INDEX(Assumptions!$B:$B, MATCH("Customer Launch R&amp;D: start % of external rev", Assumptions!$A$1:$A$257, 0))</f>
        <v>0.05</v>
      </c>
      <c r="E28" s="110">
        <f>INDEX(Assumptions!$B:$B, MATCH("Customer Launch R&amp;D: start % of external rev", Assumptions!$A$1:$A$257, 0))</f>
        <v>0.05</v>
      </c>
      <c r="F28" s="110">
        <f>INDEX(Assumptions!$B:$B, MATCH("Customer Launch R&amp;D: start % of external rev", Assumptions!$A$1:$A$257, 0))</f>
        <v>0.05</v>
      </c>
      <c r="G28" s="110">
        <f>INDEX(Assumptions!$B:$B, MATCH("Customer Launch R&amp;D: start % of external rev", Assumptions!$A$1:$A$257, 0))</f>
        <v>0.05</v>
      </c>
      <c r="H28" s="110">
        <f>INDEX(Assumptions!$B:$B, MATCH("Customer Launch R&amp;D: start % of external rev", Assumptions!$A$1:$A$257, 0))</f>
        <v>0.05</v>
      </c>
      <c r="I28" s="110">
        <f>INDEX(Assumptions!$B:$B, MATCH("Customer Launch R&amp;D: start % of external rev", Assumptions!$A$1:$A$257, 0))</f>
        <v>0.05</v>
      </c>
      <c r="J28" s="110">
        <f>INDEX(Assumptions!$B:$B, MATCH("Customer Launch R&amp;D: start % of external rev", Assumptions!$A$1:$A$257, 0))</f>
        <v>0.05</v>
      </c>
      <c r="K28" s="110">
        <f>INDEX(Assumptions!$B:$B, MATCH("Customer Launch R&amp;D: start % of external rev", Assumptions!$A$1:$A$257, 0))</f>
        <v>0.05</v>
      </c>
      <c r="L28" s="110">
        <f>INDEX(Assumptions!$B:$B, MATCH("Customer Launch R&amp;D: start % of external rev", Assumptions!$A$1:$A$257, 0))</f>
        <v>0.05</v>
      </c>
      <c r="M28" s="110">
        <f>INDEX(Assumptions!$B:$B, MATCH("Customer Launch R&amp;D: start % of external rev", Assumptions!$A$1:$A$257, 0))</f>
        <v>0.05</v>
      </c>
      <c r="N28" s="110">
        <f>INDEX(Assumptions!$B:$B, MATCH("Customer Launch R&amp;D: start % of external rev", Assumptions!$A$1:$A$257, 0))</f>
        <v>0.05</v>
      </c>
      <c r="O28" s="110">
        <f>INDEX(Assumptions!$B:$B, MATCH("Customer Launch R&amp;D: start % of external rev", Assumptions!$A$1:$A$257, 0))</f>
        <v>0.05</v>
      </c>
      <c r="P28" s="110">
        <f>INDEX(Assumptions!$B:$B, MATCH("Customer Launch R&amp;D: start % of external rev", Assumptions!$A$1:$A$257, 0))</f>
        <v>0.05</v>
      </c>
      <c r="Q28" s="110">
        <f>INDEX(Assumptions!$B:$B, MATCH("Customer Launch R&amp;D: start % of external rev", Assumptions!$A$1:$A$257, 0))</f>
        <v>0.05</v>
      </c>
      <c r="R28" s="110">
        <f>INDEX(Assumptions!$B:$B, MATCH("Customer Launch R&amp;D: start % of external rev", Assumptions!$A$1:$A$257, 0))</f>
        <v>0.05</v>
      </c>
      <c r="S28" s="110">
        <f>INDEX(Assumptions!$B:$B, MATCH("Customer Launch R&amp;D: start % of external rev", Assumptions!$A$1:$A$257, 0))</f>
        <v>0.05</v>
      </c>
    </row>
    <row r="29" spans="1:19">
      <c r="A29" s="5" t="s">
        <v>1160</v>
      </c>
      <c r="B29" s="3"/>
      <c r="C29" s="3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 spans="1:19">
      <c r="A30" s="5" t="s">
        <v>1161</v>
      </c>
      <c r="B30" s="3"/>
      <c r="C30" s="3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</row>
    <row r="31" spans="1:19">
      <c r="A31" s="5" t="s">
        <v>1162</v>
      </c>
      <c r="B31" s="3"/>
      <c r="C31" s="3"/>
      <c r="D31" s="18">
        <f t="array" aca="1" ref="D31" ca="1">INDEX('Facilities Build'!$D:$AC, MATCH("Launch/vehicle facility CapEx total ($mm)  ◄ launch/vehicle", 'Facilities Build'!$A$1:$A$74, 0), COLUMN()-COLUMN($D31)+1)</f>
        <v>750</v>
      </c>
      <c r="E31" s="18">
        <f t="array" aca="1" ref="E31" ca="1">INDEX('Facilities Build'!$D:$AC, MATCH("Launch/vehicle facility CapEx total ($mm)  ◄ launch/vehicle", 'Facilities Build'!$A$1:$A$74, 0), COLUMN()-COLUMN($D31)+1)</f>
        <v>750</v>
      </c>
      <c r="F31" s="18">
        <f t="array" aca="1" ref="F31" ca="1">INDEX('Facilities Build'!$D:$AC, MATCH("Launch/vehicle facility CapEx total ($mm)  ◄ launch/vehicle", 'Facilities Build'!$A$1:$A$74, 0), COLUMN()-COLUMN($D31)+1)</f>
        <v>375</v>
      </c>
      <c r="G31" s="18">
        <f t="array" aca="1" ref="G31" ca="1">INDEX('Facilities Build'!$D:$AC, MATCH("Launch/vehicle facility CapEx total ($mm)  ◄ launch/vehicle", 'Facilities Build'!$A$1:$A$74, 0), COLUMN()-COLUMN($D31)+1)</f>
        <v>471.4</v>
      </c>
      <c r="H31" s="18">
        <f t="array" aca="1" ref="H31" ca="1">INDEX('Facilities Build'!$D:$AC, MATCH("Launch/vehicle facility CapEx total ($mm)  ◄ launch/vehicle", 'Facilities Build'!$A$1:$A$74, 0), COLUMN()-COLUMN($D31)+1)</f>
        <v>1092</v>
      </c>
      <c r="I31" s="18">
        <f t="array" aca="1" ref="I31" ca="1">INDEX('Facilities Build'!$D:$AC, MATCH("Launch/vehicle facility CapEx total ($mm)  ◄ launch/vehicle", 'Facilities Build'!$A$1:$A$74, 0), COLUMN()-COLUMN($D31)+1)</f>
        <v>1092</v>
      </c>
      <c r="J31" s="18">
        <f t="array" aca="1" ref="J31" ca="1">INDEX('Facilities Build'!$D:$AC, MATCH("Launch/vehicle facility CapEx total ($mm)  ◄ launch/vehicle", 'Facilities Build'!$A$1:$A$74, 0), COLUMN()-COLUMN($D31)+1)</f>
        <v>492</v>
      </c>
      <c r="K31" s="18">
        <f t="array" aca="1" ref="K31" ca="1">INDEX('Facilities Build'!$D:$AC, MATCH("Launch/vehicle facility CapEx total ($mm)  ◄ launch/vehicle", 'Facilities Build'!$A$1:$A$74, 0), COLUMN()-COLUMN($D31)+1)</f>
        <v>1575</v>
      </c>
      <c r="L31" s="18">
        <f t="array" aca="1" ref="L31" ca="1">INDEX('Facilities Build'!$D:$AC, MATCH("Launch/vehicle facility CapEx total ($mm)  ◄ launch/vehicle", 'Facilities Build'!$A$1:$A$74, 0), COLUMN()-COLUMN($D31)+1)</f>
        <v>375</v>
      </c>
      <c r="M31" s="18">
        <f t="array" aca="1" ref="M31" ca="1">INDEX('Facilities Build'!$D:$AC, MATCH("Launch/vehicle facility CapEx total ($mm)  ◄ launch/vehicle", 'Facilities Build'!$A$1:$A$74, 0), COLUMN()-COLUMN($D31)+1)</f>
        <v>775</v>
      </c>
      <c r="N31" s="18">
        <f t="array" aca="1" ref="N31" ca="1">INDEX('Facilities Build'!$D:$AC, MATCH("Launch/vehicle facility CapEx total ($mm)  ◄ launch/vehicle", 'Facilities Build'!$A$1:$A$74, 0), COLUMN()-COLUMN($D31)+1)</f>
        <v>975</v>
      </c>
      <c r="O31" s="18">
        <f t="array" aca="1" ref="O31" ca="1">INDEX('Facilities Build'!$D:$AC, MATCH("Launch/vehicle facility CapEx total ($mm)  ◄ launch/vehicle", 'Facilities Build'!$A$1:$A$74, 0), COLUMN()-COLUMN($D31)+1)</f>
        <v>1775</v>
      </c>
      <c r="P31" s="18">
        <f t="array" aca="1" ref="P31" ca="1">INDEX('Facilities Build'!$D:$AC, MATCH("Launch/vehicle facility CapEx total ($mm)  ◄ launch/vehicle", 'Facilities Build'!$A$1:$A$74, 0), COLUMN()-COLUMN($D31)+1)</f>
        <v>375</v>
      </c>
      <c r="Q31" s="18">
        <f t="array" aca="1" ref="Q31" ca="1">INDEX('Facilities Build'!$D:$AC, MATCH("Launch/vehicle facility CapEx total ($mm)  ◄ launch/vehicle", 'Facilities Build'!$A$1:$A$74, 0), COLUMN()-COLUMN($D31)+1)</f>
        <v>375</v>
      </c>
      <c r="R31" s="18">
        <f t="array" aca="1" ref="R31" ca="1">INDEX('Facilities Build'!$D:$AC, MATCH("Launch/vehicle facility CapEx total ($mm)  ◄ launch/vehicle", 'Facilities Build'!$A$1:$A$74, 0), COLUMN()-COLUMN($D31)+1)</f>
        <v>375</v>
      </c>
      <c r="S31" s="18">
        <f t="array" aca="1" ref="S31" ca="1">INDEX('Facilities Build'!$D:$AC, MATCH("Launch/vehicle facility CapEx total ($mm)  ◄ launch/vehicle", 'Facilities Build'!$A$1:$A$74, 0), COLUMN()-COLUMN($D31)+1)</f>
        <v>375</v>
      </c>
    </row>
    <row r="32" spans="1:19">
      <c r="A32" s="5" t="s">
        <v>1163</v>
      </c>
      <c r="B32" s="3"/>
      <c r="C32" s="3"/>
      <c r="D32" s="18">
        <f t="array" aca="1" ref="D32" ca="1">INDEX('Facilities Build'!$D:$AC, MATCH("Launch/vehicle facility D&amp;A total ($mm)  ◄ launch/vehicle", 'Facilities Build'!$A$1:$A$74, 0), COLUMN()-COLUMN($D32)+1)</f>
        <v>25</v>
      </c>
      <c r="E32" s="18">
        <f t="array" aca="1" ref="E32" ca="1">INDEX('Facilities Build'!$D:$AC, MATCH("Launch/vehicle facility D&amp;A total ($mm)  ◄ launch/vehicle", 'Facilities Build'!$A$1:$A$74, 0), COLUMN()-COLUMN($D32)+1)</f>
        <v>50</v>
      </c>
      <c r="F32" s="18">
        <f t="array" aca="1" ref="F32" ca="1">INDEX('Facilities Build'!$D:$AC, MATCH("Launch/vehicle facility D&amp;A total ($mm)  ◄ launch/vehicle", 'Facilities Build'!$A$1:$A$74, 0), COLUMN()-COLUMN($D32)+1)</f>
        <v>62.5</v>
      </c>
      <c r="G32" s="18">
        <f t="array" aca="1" ref="G32" ca="1">INDEX('Facilities Build'!$D:$AC, MATCH("Launch/vehicle facility D&amp;A total ($mm)  ◄ launch/vehicle", 'Facilities Build'!$A$1:$A$74, 0), COLUMN()-COLUMN($D32)+1)</f>
        <v>78.213333333333338</v>
      </c>
      <c r="H32" s="18">
        <f t="array" aca="1" ref="H32" ca="1">INDEX('Facilities Build'!$D:$AC, MATCH("Launch/vehicle facility D&amp;A total ($mm)  ◄ launch/vehicle", 'Facilities Build'!$A$1:$A$74, 0), COLUMN()-COLUMN($D32)+1)</f>
        <v>114.61333333333333</v>
      </c>
      <c r="I32" s="18">
        <f t="array" aca="1" ref="I32" ca="1">INDEX('Facilities Build'!$D:$AC, MATCH("Launch/vehicle facility D&amp;A total ($mm)  ◄ launch/vehicle", 'Facilities Build'!$A$1:$A$74, 0), COLUMN()-COLUMN($D32)+1)</f>
        <v>151.01333333333332</v>
      </c>
      <c r="J32" s="18">
        <f t="array" aca="1" ref="J32" ca="1">INDEX('Facilities Build'!$D:$AC, MATCH("Launch/vehicle facility D&amp;A total ($mm)  ◄ launch/vehicle", 'Facilities Build'!$A$1:$A$74, 0), COLUMN()-COLUMN($D32)+1)</f>
        <v>167.41333333333333</v>
      </c>
      <c r="K32" s="18">
        <f t="array" aca="1" ref="K32" ca="1">INDEX('Facilities Build'!$D:$AC, MATCH("Launch/vehicle facility D&amp;A total ($mm)  ◄ launch/vehicle", 'Facilities Build'!$A$1:$A$74, 0), COLUMN()-COLUMN($D32)+1)</f>
        <v>219.91333333333333</v>
      </c>
      <c r="L32" s="18">
        <f t="array" aca="1" ref="L32" ca="1">INDEX('Facilities Build'!$D:$AC, MATCH("Launch/vehicle facility D&amp;A total ($mm)  ◄ launch/vehicle", 'Facilities Build'!$A$1:$A$74, 0), COLUMN()-COLUMN($D32)+1)</f>
        <v>232.41333333333333</v>
      </c>
      <c r="M32" s="18">
        <f t="array" aca="1" ref="M32" ca="1">INDEX('Facilities Build'!$D:$AC, MATCH("Launch/vehicle facility D&amp;A total ($mm)  ◄ launch/vehicle", 'Facilities Build'!$A$1:$A$74, 0), COLUMN()-COLUMN($D32)+1)</f>
        <v>258.24666666666667</v>
      </c>
      <c r="N32" s="18">
        <f t="array" aca="1" ref="N32" ca="1">INDEX('Facilities Build'!$D:$AC, MATCH("Launch/vehicle facility D&amp;A total ($mm)  ◄ launch/vehicle", 'Facilities Build'!$A$1:$A$74, 0), COLUMN()-COLUMN($D32)+1)</f>
        <v>290.74666666666667</v>
      </c>
      <c r="O32" s="18">
        <f t="array" aca="1" ref="O32" ca="1">INDEX('Facilities Build'!$D:$AC, MATCH("Launch/vehicle facility D&amp;A total ($mm)  ◄ launch/vehicle", 'Facilities Build'!$A$1:$A$74, 0), COLUMN()-COLUMN($D32)+1)</f>
        <v>349.9133333333333</v>
      </c>
      <c r="P32" s="18">
        <f t="array" aca="1" ref="P32" ca="1">INDEX('Facilities Build'!$D:$AC, MATCH("Launch/vehicle facility D&amp;A total ($mm)  ◄ launch/vehicle", 'Facilities Build'!$A$1:$A$74, 0), COLUMN()-COLUMN($D32)+1)</f>
        <v>362.4133333333333</v>
      </c>
      <c r="Q32" s="18">
        <f t="array" aca="1" ref="Q32" ca="1">INDEX('Facilities Build'!$D:$AC, MATCH("Launch/vehicle facility D&amp;A total ($mm)  ◄ launch/vehicle", 'Facilities Build'!$A$1:$A$74, 0), COLUMN()-COLUMN($D32)+1)</f>
        <v>374.9133333333333</v>
      </c>
      <c r="R32" s="18">
        <f t="array" aca="1" ref="R32" ca="1">INDEX('Facilities Build'!$D:$AC, MATCH("Launch/vehicle facility D&amp;A total ($mm)  ◄ launch/vehicle", 'Facilities Build'!$A$1:$A$74, 0), COLUMN()-COLUMN($D32)+1)</f>
        <v>387.4133333333333</v>
      </c>
      <c r="S32" s="18">
        <f t="array" aca="1" ref="S32" ca="1">INDEX('Facilities Build'!$D:$AC, MATCH("Launch/vehicle facility D&amp;A total ($mm)  ◄ launch/vehicle", 'Facilities Build'!$A$1:$A$74, 0), COLUMN()-COLUMN($D32)+1)</f>
        <v>399.9133333333333</v>
      </c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13" t="s">
        <v>1164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>
      <c r="A36" s="5" t="s">
        <v>1165</v>
      </c>
      <c r="B36" s="3"/>
      <c r="C36" s="3"/>
      <c r="D36" s="102">
        <f t="shared" ref="D36:S36" si="0">IFERROR(D13*D15/D11*D139,0)</f>
        <v>109.48905109489051</v>
      </c>
      <c r="E36" s="102">
        <f t="shared" si="0"/>
        <v>118.77372262248176</v>
      </c>
      <c r="F36" s="102">
        <f t="shared" si="0"/>
        <v>128.84321166748032</v>
      </c>
      <c r="G36" s="102">
        <f t="shared" si="0"/>
        <v>143.09134741838369</v>
      </c>
      <c r="H36" s="102">
        <f t="shared" si="0"/>
        <v>161.25069313919292</v>
      </c>
      <c r="I36" s="102">
        <f t="shared" si="0"/>
        <v>190.49019373384536</v>
      </c>
      <c r="J36" s="102">
        <f t="shared" si="0"/>
        <v>214.05428817801555</v>
      </c>
      <c r="K36" s="102">
        <f t="shared" si="0"/>
        <v>232.17940451788675</v>
      </c>
      <c r="L36" s="102">
        <f t="shared" si="0"/>
        <v>251.83459202779807</v>
      </c>
      <c r="M36" s="102">
        <f t="shared" si="0"/>
        <v>273.14866135038068</v>
      </c>
      <c r="N36" s="102">
        <f t="shared" si="0"/>
        <v>296.26124037559856</v>
      </c>
      <c r="O36" s="102">
        <f t="shared" si="0"/>
        <v>321.32368061220899</v>
      </c>
      <c r="P36" s="102">
        <f t="shared" si="0"/>
        <v>348.50003934827316</v>
      </c>
      <c r="Q36" s="102">
        <f t="shared" si="0"/>
        <v>377.96814392618944</v>
      </c>
      <c r="R36" s="102">
        <f t="shared" si="0"/>
        <v>409.92074498474352</v>
      </c>
      <c r="S36" s="102">
        <f t="shared" si="0"/>
        <v>444.56676609153857</v>
      </c>
    </row>
    <row r="37" spans="1:19">
      <c r="A37" s="5" t="s">
        <v>1166</v>
      </c>
      <c r="B37" s="3"/>
      <c r="C37" s="3"/>
      <c r="D37" s="102">
        <f t="shared" ref="D37:S37" si="1">IFERROR(D14*D16/D11*D139,0)</f>
        <v>65.693430656934311</v>
      </c>
      <c r="E37" s="102">
        <f t="shared" si="1"/>
        <v>68.467153282116797</v>
      </c>
      <c r="F37" s="102">
        <f t="shared" si="1"/>
        <v>71.354014593175194</v>
      </c>
      <c r="G37" s="102">
        <f t="shared" si="1"/>
        <v>76.128818234475489</v>
      </c>
      <c r="H37" s="102">
        <f t="shared" si="1"/>
        <v>82.41373138108834</v>
      </c>
      <c r="I37" s="102">
        <f t="shared" si="1"/>
        <v>93.522446172835075</v>
      </c>
      <c r="J37" s="102">
        <f t="shared" si="1"/>
        <v>100.94735042360416</v>
      </c>
      <c r="K37" s="102">
        <f t="shared" si="1"/>
        <v>105.17305346029286</v>
      </c>
      <c r="L37" s="102">
        <f t="shared" si="1"/>
        <v>109.56895842459139</v>
      </c>
      <c r="M37" s="102">
        <f t="shared" si="1"/>
        <v>114.14152125166905</v>
      </c>
      <c r="N37" s="102">
        <f t="shared" si="1"/>
        <v>118.89741796539298</v>
      </c>
      <c r="O37" s="102">
        <f t="shared" si="1"/>
        <v>123.84355054736014</v>
      </c>
      <c r="P37" s="102">
        <f t="shared" si="1"/>
        <v>128.98705284261052</v>
      </c>
      <c r="Q37" s="102">
        <f t="shared" si="1"/>
        <v>134.33529649101757</v>
      </c>
      <c r="R37" s="102">
        <f t="shared" si="1"/>
        <v>139.89589687215877</v>
      </c>
      <c r="S37" s="102">
        <f t="shared" si="1"/>
        <v>145.67671914123457</v>
      </c>
    </row>
    <row r="38" spans="1:19">
      <c r="A38" s="5" t="s">
        <v>1167</v>
      </c>
      <c r="B38" s="3"/>
      <c r="C38" s="3"/>
      <c r="D38" s="101">
        <f>INDEX(Assumptions!$B:$B,MATCH("F9 base booster build rate (boosters/year, pre-V3-trigger)",Assumptions!$A$1:$A$257,0))</f>
        <v>8</v>
      </c>
      <c r="E38" s="101">
        <f>MAX(0, INDEX(Assumptions!$B:$B,MATCH("F9 base booster build rate (boosters/year, pre-V3-trigger)",Assumptions!$A$1:$A$257,0)) * (1 - MAX(0, E$4 - INDEX(Assumptions!$B:$B,MATCH("V3 Starlink launch trigger year",Assumptions!$A$1:$A$257,0))) / INDEX(Assumptions!$B:$B,MATCH("F9 build-rate decay window (years)",Assumptions!$A$1:$A$257,0))))</f>
        <v>8</v>
      </c>
      <c r="F38" s="101">
        <f>MAX(0, INDEX(Assumptions!$B:$B,MATCH("F9 base booster build rate (boosters/year, pre-V3-trigger)",Assumptions!$A$1:$A$257,0)) * (1 - MAX(0, F$4 - INDEX(Assumptions!$B:$B,MATCH("V3 Starlink launch trigger year",Assumptions!$A$1:$A$257,0))) / INDEX(Assumptions!$B:$B,MATCH("F9 build-rate decay window (years)",Assumptions!$A$1:$A$257,0))))</f>
        <v>7</v>
      </c>
      <c r="G38" s="101">
        <f>MAX(0, INDEX(Assumptions!$B:$B,MATCH("F9 base booster build rate (boosters/year, pre-V3-trigger)",Assumptions!$A$1:$A$257,0)) * (1 - MAX(0, G$4 - INDEX(Assumptions!$B:$B,MATCH("V3 Starlink launch trigger year",Assumptions!$A$1:$A$257,0))) / INDEX(Assumptions!$B:$B,MATCH("F9 build-rate decay window (years)",Assumptions!$A$1:$A$257,0))))</f>
        <v>6</v>
      </c>
      <c r="H38" s="101">
        <f>MAX(0, INDEX(Assumptions!$B:$B,MATCH("F9 base booster build rate (boosters/year, pre-V3-trigger)",Assumptions!$A$1:$A$257,0)) * (1 - MAX(0, H$4 - INDEX(Assumptions!$B:$B,MATCH("V3 Starlink launch trigger year",Assumptions!$A$1:$A$257,0))) / INDEX(Assumptions!$B:$B,MATCH("F9 build-rate decay window (years)",Assumptions!$A$1:$A$257,0))))</f>
        <v>5</v>
      </c>
      <c r="I38" s="101">
        <f>MAX(0, INDEX(Assumptions!$B:$B,MATCH("F9 base booster build rate (boosters/year, pre-V3-trigger)",Assumptions!$A$1:$A$257,0)) * (1 - MAX(0, I$4 - INDEX(Assumptions!$B:$B,MATCH("V3 Starlink launch trigger year",Assumptions!$A$1:$A$257,0))) / INDEX(Assumptions!$B:$B,MATCH("F9 build-rate decay window (years)",Assumptions!$A$1:$A$257,0))))</f>
        <v>4</v>
      </c>
      <c r="J38" s="101">
        <f>MAX(0, INDEX(Assumptions!$B:$B,MATCH("F9 base booster build rate (boosters/year, pre-V3-trigger)",Assumptions!$A$1:$A$257,0)) * (1 - MAX(0, J$4 - INDEX(Assumptions!$B:$B,MATCH("V3 Starlink launch trigger year",Assumptions!$A$1:$A$257,0))) / INDEX(Assumptions!$B:$B,MATCH("F9 build-rate decay window (years)",Assumptions!$A$1:$A$257,0))))</f>
        <v>3</v>
      </c>
      <c r="K38" s="101">
        <f>MAX(0, INDEX(Assumptions!$B:$B,MATCH("F9 base booster build rate (boosters/year, pre-V3-trigger)",Assumptions!$A$1:$A$257,0)) * (1 - MAX(0, K$4 - INDEX(Assumptions!$B:$B,MATCH("V3 Starlink launch trigger year",Assumptions!$A$1:$A$257,0))) / INDEX(Assumptions!$B:$B,MATCH("F9 build-rate decay window (years)",Assumptions!$A$1:$A$257,0))))</f>
        <v>2</v>
      </c>
      <c r="L38" s="101">
        <f>MAX(0, INDEX(Assumptions!$B:$B,MATCH("F9 base booster build rate (boosters/year, pre-V3-trigger)",Assumptions!$A$1:$A$257,0)) * (1 - MAX(0, L$4 - INDEX(Assumptions!$B:$B,MATCH("V3 Starlink launch trigger year",Assumptions!$A$1:$A$257,0))) / INDEX(Assumptions!$B:$B,MATCH("F9 build-rate decay window (years)",Assumptions!$A$1:$A$257,0))))</f>
        <v>1</v>
      </c>
      <c r="M38" s="101">
        <f>MAX(0, INDEX(Assumptions!$B:$B,MATCH("F9 base booster build rate (boosters/year, pre-V3-trigger)",Assumptions!$A$1:$A$257,0)) * (1 - MAX(0, M$4 - INDEX(Assumptions!$B:$B,MATCH("V3 Starlink launch trigger year",Assumptions!$A$1:$A$257,0))) / INDEX(Assumptions!$B:$B,MATCH("F9 build-rate decay window (years)",Assumptions!$A$1:$A$257,0))))</f>
        <v>0</v>
      </c>
      <c r="N38" s="101">
        <f>MAX(0, INDEX(Assumptions!$B:$B,MATCH("F9 base booster build rate (boosters/year, pre-V3-trigger)",Assumptions!$A$1:$A$257,0)) * (1 - MAX(0, N$4 - INDEX(Assumptions!$B:$B,MATCH("V3 Starlink launch trigger year",Assumptions!$A$1:$A$257,0))) / INDEX(Assumptions!$B:$B,MATCH("F9 build-rate decay window (years)",Assumptions!$A$1:$A$257,0))))</f>
        <v>0</v>
      </c>
      <c r="O38" s="101">
        <f>MAX(0, INDEX(Assumptions!$B:$B,MATCH("F9 base booster build rate (boosters/year, pre-V3-trigger)",Assumptions!$A$1:$A$257,0)) * (1 - MAX(0, O$4 - INDEX(Assumptions!$B:$B,MATCH("V3 Starlink launch trigger year",Assumptions!$A$1:$A$257,0))) / INDEX(Assumptions!$B:$B,MATCH("F9 build-rate decay window (years)",Assumptions!$A$1:$A$257,0))))</f>
        <v>0</v>
      </c>
      <c r="P38" s="101">
        <f>MAX(0, INDEX(Assumptions!$B:$B,MATCH("F9 base booster build rate (boosters/year, pre-V3-trigger)",Assumptions!$A$1:$A$257,0)) * (1 - MAX(0, P$4 - INDEX(Assumptions!$B:$B,MATCH("V3 Starlink launch trigger year",Assumptions!$A$1:$A$257,0))) / INDEX(Assumptions!$B:$B,MATCH("F9 build-rate decay window (years)",Assumptions!$A$1:$A$257,0))))</f>
        <v>0</v>
      </c>
      <c r="Q38" s="101">
        <f>MAX(0, INDEX(Assumptions!$B:$B,MATCH("F9 base booster build rate (boosters/year, pre-V3-trigger)",Assumptions!$A$1:$A$257,0)) * (1 - MAX(0, Q$4 - INDEX(Assumptions!$B:$B,MATCH("V3 Starlink launch trigger year",Assumptions!$A$1:$A$257,0))) / INDEX(Assumptions!$B:$B,MATCH("F9 build-rate decay window (years)",Assumptions!$A$1:$A$257,0))))</f>
        <v>0</v>
      </c>
      <c r="R38" s="101">
        <f>MAX(0, INDEX(Assumptions!$B:$B,MATCH("F9 base booster build rate (boosters/year, pre-V3-trigger)",Assumptions!$A$1:$A$257,0)) * (1 - MAX(0, R$4 - INDEX(Assumptions!$B:$B,MATCH("V3 Starlink launch trigger year",Assumptions!$A$1:$A$257,0))) / INDEX(Assumptions!$B:$B,MATCH("F9 build-rate decay window (years)",Assumptions!$A$1:$A$257,0))))</f>
        <v>0</v>
      </c>
      <c r="S38" s="101">
        <f>MAX(0, INDEX(Assumptions!$B:$B,MATCH("F9 base booster build rate (boosters/year, pre-V3-trigger)",Assumptions!$A$1:$A$257,0)) * (1 - MAX(0, S$4 - INDEX(Assumptions!$B:$B,MATCH("V3 Starlink launch trigger year",Assumptions!$A$1:$A$257,0))) / INDEX(Assumptions!$B:$B,MATCH("F9 build-rate decay window (years)",Assumptions!$A$1:$A$257,0))))</f>
        <v>0</v>
      </c>
    </row>
    <row r="39" spans="1:19">
      <c r="A39" s="5" t="s">
        <v>1168</v>
      </c>
      <c r="B39" s="3"/>
      <c r="C39" s="3"/>
      <c r="D39" s="101">
        <f>INDEX(Assumptions!$B:$B,MATCH("F9 starting fleet at 2025 SoY (boosters)",Assumptions!$A$1:$A$257,0))/D25</f>
        <v>3.5</v>
      </c>
      <c r="E39" s="22">
        <f t="array" ref="E39">IF(E$5&gt;=$D$25, INDEX($D38:$S38, E$5-$D$25+1), 0) + IF(E$5&lt;$D$25, INDEX(Assumptions!$B:$B,MATCH("F9 starting fleet at 2025 SoY (boosters)",Assumptions!$A$1:$A$257,0))/$D$25, 0)</f>
        <v>3.5</v>
      </c>
      <c r="F39" s="22">
        <f t="array" ref="F39">IF(F$5&gt;=$D$25, INDEX($D38:$S38, F$5-$D$25+1), 0) + IF(F$5&lt;$D$25, INDEX(Assumptions!$B:$B,MATCH("F9 starting fleet at 2025 SoY (boosters)",Assumptions!$A$1:$A$257,0))/$D$25, 0)</f>
        <v>3.5</v>
      </c>
      <c r="G39" s="22">
        <f t="array" ref="G39">IF(G$5&gt;=$D$25, INDEX($D38:$S38, G$5-$D$25+1), 0) + IF(G$5&lt;$D$25, INDEX(Assumptions!$B:$B,MATCH("F9 starting fleet at 2025 SoY (boosters)",Assumptions!$A$1:$A$257,0))/$D$25, 0)</f>
        <v>3.5</v>
      </c>
      <c r="H39" s="22">
        <f t="array" ref="H39">IF(H$5&gt;=$D$25, INDEX($D38:$S38, H$5-$D$25+1), 0) + IF(H$5&lt;$D$25, INDEX(Assumptions!$B:$B,MATCH("F9 starting fleet at 2025 SoY (boosters)",Assumptions!$A$1:$A$257,0))/$D$25, 0)</f>
        <v>3.5</v>
      </c>
      <c r="I39" s="22">
        <f t="array" ref="I39">IF(I$5&gt;=$D$25, INDEX($D38:$S38, I$5-$D$25+1), 0) + IF(I$5&lt;$D$25, INDEX(Assumptions!$B:$B,MATCH("F9 starting fleet at 2025 SoY (boosters)",Assumptions!$A$1:$A$257,0))/$D$25, 0)</f>
        <v>3.5</v>
      </c>
      <c r="J39" s="22">
        <f t="array" ref="J39">IF(J$5&gt;=$D$25, INDEX($D38:$S38, J$5-$D$25+1), 0) + IF(J$5&lt;$D$25, INDEX(Assumptions!$B:$B,MATCH("F9 starting fleet at 2025 SoY (boosters)",Assumptions!$A$1:$A$257,0))/$D$25, 0)</f>
        <v>3.5</v>
      </c>
      <c r="K39" s="22">
        <f t="array" ref="K39">IF(K$5&gt;=$D$25, INDEX($D38:$S38, K$5-$D$25+1), 0) + IF(K$5&lt;$D$25, INDEX(Assumptions!$B:$B,MATCH("F9 starting fleet at 2025 SoY (boosters)",Assumptions!$A$1:$A$257,0))/$D$25, 0)</f>
        <v>3.5</v>
      </c>
      <c r="L39" s="22">
        <f t="array" ref="L39">IF(L$5&gt;=$D$25, INDEX($D38:$S38, L$5-$D$25+1), 0) + IF(L$5&lt;$D$25, INDEX(Assumptions!$B:$B,MATCH("F9 starting fleet at 2025 SoY (boosters)",Assumptions!$A$1:$A$257,0))/$D$25, 0)</f>
        <v>8</v>
      </c>
      <c r="M39" s="22">
        <f t="array" ref="M39">IF(M$5&gt;=$D$25, INDEX($D38:$S38, M$5-$D$25+1), 0) + IF(M$5&lt;$D$25, INDEX(Assumptions!$B:$B,MATCH("F9 starting fleet at 2025 SoY (boosters)",Assumptions!$A$1:$A$257,0))/$D$25, 0)</f>
        <v>8</v>
      </c>
      <c r="N39" s="22">
        <f t="array" ref="N39">IF(N$5&gt;=$D$25, INDEX($D38:$S38, N$5-$D$25+1), 0) + IF(N$5&lt;$D$25, INDEX(Assumptions!$B:$B,MATCH("F9 starting fleet at 2025 SoY (boosters)",Assumptions!$A$1:$A$257,0))/$D$25, 0)</f>
        <v>7</v>
      </c>
      <c r="O39" s="22">
        <f t="array" ref="O39">IF(O$5&gt;=$D$25, INDEX($D38:$S38, O$5-$D$25+1), 0) + IF(O$5&lt;$D$25, INDEX(Assumptions!$B:$B,MATCH("F9 starting fleet at 2025 SoY (boosters)",Assumptions!$A$1:$A$257,0))/$D$25, 0)</f>
        <v>6</v>
      </c>
      <c r="P39" s="22">
        <f t="array" ref="P39">IF(P$5&gt;=$D$25, INDEX($D38:$S38, P$5-$D$25+1), 0) + IF(P$5&lt;$D$25, INDEX(Assumptions!$B:$B,MATCH("F9 starting fleet at 2025 SoY (boosters)",Assumptions!$A$1:$A$257,0))/$D$25, 0)</f>
        <v>5</v>
      </c>
      <c r="Q39" s="22">
        <f t="array" ref="Q39">IF(Q$5&gt;=$D$25, INDEX($D38:$S38, Q$5-$D$25+1), 0) + IF(Q$5&lt;$D$25, INDEX(Assumptions!$B:$B,MATCH("F9 starting fleet at 2025 SoY (boosters)",Assumptions!$A$1:$A$257,0))/$D$25, 0)</f>
        <v>4</v>
      </c>
      <c r="R39" s="22">
        <f t="array" ref="R39">IF(R$5&gt;=$D$25, INDEX($D38:$S38, R$5-$D$25+1), 0) + IF(R$5&lt;$D$25, INDEX(Assumptions!$B:$B,MATCH("F9 starting fleet at 2025 SoY (boosters)",Assumptions!$A$1:$A$257,0))/$D$25, 0)</f>
        <v>3</v>
      </c>
      <c r="S39" s="22">
        <f t="array" ref="S39">IF(S$5&gt;=$D$25, INDEX($D38:$S38, S$5-$D$25+1), 0) + IF(S$5&lt;$D$25, INDEX(Assumptions!$B:$B,MATCH("F9 starting fleet at 2025 SoY (boosters)",Assumptions!$A$1:$A$257,0))/$D$25, 0)</f>
        <v>2</v>
      </c>
    </row>
    <row r="40" spans="1:19">
      <c r="A40" s="5" t="s">
        <v>1169</v>
      </c>
      <c r="B40" s="3"/>
      <c r="C40" s="3"/>
      <c r="D40" s="101">
        <f>INDEX(Assumptions!$B:$B,MATCH("F9 starting fleet at 2025 SoY (boosters)",Assumptions!$A$1:$A$257,0))+D38-D39</f>
        <v>32.5</v>
      </c>
      <c r="E40" s="102">
        <f t="shared" ref="E40:S40" si="2">MAX(0, D40 + E38 - E39)</f>
        <v>37</v>
      </c>
      <c r="F40" s="102">
        <f t="shared" si="2"/>
        <v>40.5</v>
      </c>
      <c r="G40" s="102">
        <f t="shared" si="2"/>
        <v>43</v>
      </c>
      <c r="H40" s="102">
        <f t="shared" si="2"/>
        <v>44.5</v>
      </c>
      <c r="I40" s="102">
        <f t="shared" si="2"/>
        <v>45</v>
      </c>
      <c r="J40" s="102">
        <f t="shared" si="2"/>
        <v>44.5</v>
      </c>
      <c r="K40" s="102">
        <f t="shared" si="2"/>
        <v>43</v>
      </c>
      <c r="L40" s="102">
        <f t="shared" si="2"/>
        <v>36</v>
      </c>
      <c r="M40" s="102">
        <f t="shared" si="2"/>
        <v>28</v>
      </c>
      <c r="N40" s="102">
        <f t="shared" si="2"/>
        <v>21</v>
      </c>
      <c r="O40" s="102">
        <f t="shared" si="2"/>
        <v>15</v>
      </c>
      <c r="P40" s="102">
        <f t="shared" si="2"/>
        <v>10</v>
      </c>
      <c r="Q40" s="102">
        <f t="shared" si="2"/>
        <v>6</v>
      </c>
      <c r="R40" s="102">
        <f t="shared" si="2"/>
        <v>3</v>
      </c>
      <c r="S40" s="102">
        <f t="shared" si="2"/>
        <v>1</v>
      </c>
    </row>
    <row r="41" spans="1:19">
      <c r="A41" s="78" t="s">
        <v>1170</v>
      </c>
      <c r="B41" s="78"/>
      <c r="C41" s="78"/>
      <c r="D41" s="111">
        <f t="shared" ref="D41:S41" si="3">D40*D23</f>
        <v>195</v>
      </c>
      <c r="E41" s="111">
        <f t="shared" si="3"/>
        <v>222</v>
      </c>
      <c r="F41" s="111">
        <f t="shared" si="3"/>
        <v>243</v>
      </c>
      <c r="G41" s="111">
        <f t="shared" si="3"/>
        <v>258</v>
      </c>
      <c r="H41" s="111">
        <f t="shared" si="3"/>
        <v>267</v>
      </c>
      <c r="I41" s="111">
        <f t="shared" si="3"/>
        <v>270</v>
      </c>
      <c r="J41" s="111">
        <f t="shared" si="3"/>
        <v>267</v>
      </c>
      <c r="K41" s="111">
        <f t="shared" si="3"/>
        <v>258</v>
      </c>
      <c r="L41" s="111">
        <f t="shared" si="3"/>
        <v>216</v>
      </c>
      <c r="M41" s="111">
        <f t="shared" si="3"/>
        <v>168</v>
      </c>
      <c r="N41" s="111">
        <f t="shared" si="3"/>
        <v>126</v>
      </c>
      <c r="O41" s="111">
        <f t="shared" si="3"/>
        <v>90</v>
      </c>
      <c r="P41" s="111">
        <f t="shared" si="3"/>
        <v>60</v>
      </c>
      <c r="Q41" s="111">
        <f t="shared" si="3"/>
        <v>36</v>
      </c>
      <c r="R41" s="111">
        <f t="shared" si="3"/>
        <v>18</v>
      </c>
      <c r="S41" s="111">
        <f t="shared" si="3"/>
        <v>6</v>
      </c>
    </row>
    <row r="42" spans="1:19">
      <c r="A42" s="5" t="s">
        <v>1171</v>
      </c>
      <c r="B42" s="3"/>
      <c r="C42" s="3"/>
      <c r="D42" s="102">
        <f t="shared" ref="D42:S42" ca="1" si="4">MAX(0, MIN(D41-D9, (D36+D37)-D47))</f>
        <v>29</v>
      </c>
      <c r="E42" s="102">
        <f t="shared" ca="1" si="4"/>
        <v>84</v>
      </c>
      <c r="F42" s="102">
        <f t="shared" ca="1" si="4"/>
        <v>200.1972262606555</v>
      </c>
      <c r="G42" s="102">
        <f t="shared" ca="1" si="4"/>
        <v>219.22016565285918</v>
      </c>
      <c r="H42" s="102">
        <f t="shared" ca="1" si="4"/>
        <v>243.66442452028124</v>
      </c>
      <c r="I42" s="102">
        <f t="shared" ca="1" si="4"/>
        <v>270</v>
      </c>
      <c r="J42" s="102">
        <f t="shared" ca="1" si="4"/>
        <v>267</v>
      </c>
      <c r="K42" s="102">
        <f t="shared" ca="1" si="4"/>
        <v>61.54169885403121</v>
      </c>
      <c r="L42" s="102">
        <f t="shared" ca="1" si="4"/>
        <v>27.415415590533883</v>
      </c>
      <c r="M42" s="102">
        <f t="shared" ca="1" si="4"/>
        <v>11.352339200166227</v>
      </c>
      <c r="N42" s="102">
        <f t="shared" ca="1" si="4"/>
        <v>4.5613243617864896</v>
      </c>
      <c r="O42" s="102">
        <f t="shared" ca="1" si="4"/>
        <v>1.8118919374235816</v>
      </c>
      <c r="P42" s="102">
        <f t="shared" ca="1" si="4"/>
        <v>0.71679515061788379</v>
      </c>
      <c r="Q42" s="102">
        <f t="shared" ca="1" si="4"/>
        <v>0.28319039748510022</v>
      </c>
      <c r="R42" s="102">
        <f t="shared" ca="1" si="4"/>
        <v>0.1118475379373649</v>
      </c>
      <c r="S42" s="102">
        <f t="shared" ca="1" si="4"/>
        <v>6</v>
      </c>
    </row>
    <row r="43" spans="1:19">
      <c r="A43" s="5" t="s">
        <v>1172</v>
      </c>
      <c r="B43" s="3"/>
      <c r="C43" s="3"/>
      <c r="D43" s="102">
        <f t="shared" ref="D43:S43" si="5">(D36+D37)*D18</f>
        <v>0</v>
      </c>
      <c r="E43" s="102">
        <f t="shared" si="5"/>
        <v>0</v>
      </c>
      <c r="F43" s="102">
        <f t="shared" si="5"/>
        <v>0</v>
      </c>
      <c r="G43" s="102">
        <f t="shared" si="5"/>
        <v>16.629642790381421</v>
      </c>
      <c r="H43" s="102">
        <f t="shared" si="5"/>
        <v>44.450610276086692</v>
      </c>
      <c r="I43" s="102">
        <f t="shared" si="5"/>
        <v>107.22632201749497</v>
      </c>
      <c r="J43" s="102">
        <f t="shared" si="5"/>
        <v>196.07570929145251</v>
      </c>
      <c r="K43" s="102">
        <f t="shared" si="5"/>
        <v>275.81075912414838</v>
      </c>
      <c r="L43" s="102">
        <f t="shared" si="5"/>
        <v>333.9881348618556</v>
      </c>
      <c r="M43" s="102">
        <f t="shared" si="5"/>
        <v>375.93784340188353</v>
      </c>
      <c r="N43" s="102">
        <f t="shared" si="5"/>
        <v>410.59733397920508</v>
      </c>
      <c r="O43" s="102">
        <f t="shared" si="5"/>
        <v>443.35533922214557</v>
      </c>
      <c r="P43" s="102">
        <f t="shared" si="5"/>
        <v>476.7702970402658</v>
      </c>
      <c r="Q43" s="102">
        <f t="shared" si="5"/>
        <v>512.02025001972186</v>
      </c>
      <c r="R43" s="102">
        <f t="shared" si="5"/>
        <v>549.7047943189649</v>
      </c>
      <c r="S43" s="102">
        <f t="shared" si="5"/>
        <v>590.19930773459077</v>
      </c>
    </row>
    <row r="44" spans="1:19">
      <c r="A44" s="5" t="s">
        <v>1173</v>
      </c>
      <c r="B44" s="3"/>
      <c r="C44" s="3"/>
      <c r="D44" s="102">
        <f>MAX(0,CEILING(D43/D24,1))</f>
        <v>0</v>
      </c>
      <c r="E44" s="102">
        <f t="array" aca="1" ref="E44" ca="1">MAX(0, MAX(CEILING(E43/E24,1),CEILING(D43/D24,1)) - D45 + IF(E$5&gt;=$D$26, INDEX($D44:$S44, E$5-$D$26+1),0))</f>
        <v>0</v>
      </c>
      <c r="F44" s="102">
        <f t="array" aca="1" ref="F44" ca="1">MAX(0, MAX(CEILING(F43/F24,1),CEILING(E43/E24,1),CEILING(D43/D24,1)) - E45 + IF(F$5&gt;=$D$26, INDEX($D44:$S44, F$5-$D$26+1),0))</f>
        <v>0</v>
      </c>
      <c r="G44" s="102">
        <f t="array" aca="1" ref="G44" ca="1">MAX(0, MAX(CEILING(G43/G24,1),CEILING(F43/F24,1),CEILING(E43/E24,1)) - F45 + IF(G$5&gt;=$D$26, INDEX($D44:$S44, G$5-$D$26+1),0))</f>
        <v>5</v>
      </c>
      <c r="H44" s="102">
        <f t="array" aca="1" ref="H44" ca="1">MAX(0, MAX(CEILING(H43/H24,1),CEILING(G43/G24,1),CEILING(F43/F24,1)) - G45 + IF(H$5&gt;=$D$26, INDEX($D44:$S44, H$5-$D$26+1),0))</f>
        <v>4</v>
      </c>
      <c r="I44" s="102">
        <f t="array" aca="1" ref="I44" ca="1">MAX(0, MAX(CEILING(I43/I24,1),CEILING(H43/H24,1),CEILING(G43/G24,1)) - H45 + IF(I$5&gt;=$D$26, INDEX($D44:$S44, I$5-$D$26+1),0))</f>
        <v>5</v>
      </c>
      <c r="J44" s="102">
        <f t="array" aca="1" ref="J44" ca="1">MAX(0, MAX(CEILING(J43/J24,1),CEILING(I43/I24,1),CEILING(H43/H24,1)) - I45 + IF(J$5&gt;=$D$26, INDEX($D44:$S44, J$5-$D$26+1),0))</f>
        <v>5</v>
      </c>
      <c r="K44" s="102">
        <f t="array" aca="1" ref="K44" ca="1">MAX(0, MAX(CEILING(K43/K24,1),CEILING(J43/J24,1),CEILING(I43/I24,1)) - J45 + IF(K$5&gt;=$D$26, INDEX($D44:$S44, K$5-$D$26+1),0))</f>
        <v>4</v>
      </c>
      <c r="L44" s="102">
        <f t="array" aca="1" ref="L44" ca="1">MAX(0, MAX(CEILING(L43/L24,1),CEILING(K43/K24,1),CEILING(J43/J24,1)) - K45 + IF(L$5&gt;=$D$26, INDEX($D44:$S44, L$5-$D$26+1),0))</f>
        <v>0</v>
      </c>
      <c r="M44" s="102">
        <f t="array" aca="1" ref="M44" ca="1">MAX(0, MAX(CEILING(M43/M24,1),CEILING(L43/L24,1),CEILING(K43/K24,1)) - L45 + IF(M$5&gt;=$D$26, INDEX($D44:$S44, M$5-$D$26+1),0))</f>
        <v>1</v>
      </c>
      <c r="N44" s="102">
        <f t="array" aca="1" ref="N44" ca="1">MAX(0, MAX(CEILING(N43/N24,1),CEILING(M43/M24,1),CEILING(L43/L24,1)) - M45 + IF(N$5&gt;=$D$26, INDEX($D44:$S44, N$5-$D$26+1),0))</f>
        <v>0</v>
      </c>
      <c r="O44" s="102">
        <f t="array" aca="1" ref="O44" ca="1">MAX(0, MAX(CEILING(O43/O24,1),CEILING(N43/N24,1),CEILING(M43/M24,1)) - N45 + IF(O$5&gt;=$D$26, INDEX($D44:$S44, O$5-$D$26+1),0))</f>
        <v>5</v>
      </c>
      <c r="P44" s="102">
        <f t="array" aca="1" ref="P44" ca="1">MAX(0, MAX(CEILING(P43/P24,1),CEILING(O43/O24,1),CEILING(N43/N24,1)) - O45 + IF(P$5&gt;=$D$26, INDEX($D44:$S44, P$5-$D$26+1),0))</f>
        <v>4</v>
      </c>
      <c r="Q44" s="102">
        <f t="array" aca="1" ref="Q44" ca="1">MAX(0, MAX(CEILING(Q43/Q24,1),CEILING(P43/P24,1),CEILING(O43/O24,1)) - P45 + IF(Q$5&gt;=$D$26, INDEX($D44:$S44, Q$5-$D$26+1),0))</f>
        <v>5</v>
      </c>
      <c r="R44" s="102">
        <f t="array" aca="1" ref="R44" ca="1">MAX(0, MAX(CEILING(R43/R24,1),CEILING(Q43/Q24,1),CEILING(P43/P24,1)) - Q45 + IF(R$5&gt;=$D$26, INDEX($D44:$S44, R$5-$D$26+1),0))</f>
        <v>5</v>
      </c>
      <c r="S44" s="102">
        <f t="array" aca="1" ref="S44" ca="1">MAX(0, MAX(CEILING(S43/S24,1),CEILING(R43/R24,1),CEILING(Q43/Q24,1)) - R45 + IF(S$5&gt;=$D$26, INDEX($D44:$S44, S$5-$D$26+1),0))</f>
        <v>5</v>
      </c>
    </row>
    <row r="45" spans="1:19">
      <c r="A45" s="5" t="s">
        <v>1174</v>
      </c>
      <c r="B45" s="3"/>
      <c r="C45" s="3"/>
      <c r="D45" s="102">
        <f>MAX(0,D44)</f>
        <v>0</v>
      </c>
      <c r="E45" s="22">
        <f t="array" aca="1" ref="E45" ca="1">MAX(0, D45 + E44 - IF(E$5&gt;=$D$26, INDEX($D44:$S44, E$5-$D$26+1), 0))</f>
        <v>0</v>
      </c>
      <c r="F45" s="22">
        <f t="array" aca="1" ref="F45" ca="1">MAX(0, E45 + F44 - IF(F$5&gt;=$D$26, INDEX($D44:$S44, F$5-$D$26+1), 0))</f>
        <v>0</v>
      </c>
      <c r="G45" s="22">
        <f t="array" aca="1" ref="G45" ca="1">MAX(0, F45 + G44 - IF(G$5&gt;=$D$26, INDEX($D44:$S44, G$5-$D$26+1), 0))</f>
        <v>5</v>
      </c>
      <c r="H45" s="22">
        <f t="array" aca="1" ref="H45" ca="1">MAX(0, G45 + H44 - IF(H$5&gt;=$D$26, INDEX($D44:$S44, H$5-$D$26+1), 0))</f>
        <v>9</v>
      </c>
      <c r="I45" s="22">
        <f t="array" aca="1" ref="I45" ca="1">MAX(0, H45 + I44 - IF(I$5&gt;=$D$26, INDEX($D44:$S44, I$5-$D$26+1), 0))</f>
        <v>14</v>
      </c>
      <c r="J45" s="22">
        <f t="array" aca="1" ref="J45" ca="1">MAX(0, I45 + J44 - IF(J$5&gt;=$D$26, INDEX($D44:$S44, J$5-$D$26+1), 0))</f>
        <v>19</v>
      </c>
      <c r="K45" s="22">
        <f t="array" aca="1" ref="K45" ca="1">MAX(0, J45 + K44 - IF(K$5&gt;=$D$26, INDEX($D44:$S44, K$5-$D$26+1), 0))</f>
        <v>23</v>
      </c>
      <c r="L45" s="22">
        <f t="array" aca="1" ref="L45" ca="1">MAX(0, K45 + L44 - IF(L$5&gt;=$D$26, INDEX($D44:$S44, L$5-$D$26+1), 0))</f>
        <v>23</v>
      </c>
      <c r="M45" s="22">
        <f t="array" aca="1" ref="M45" ca="1">MAX(0, L45 + M44 - IF(M$5&gt;=$D$26, INDEX($D44:$S44, M$5-$D$26+1), 0))</f>
        <v>24</v>
      </c>
      <c r="N45" s="22">
        <f t="array" aca="1" ref="N45" ca="1">MAX(0, M45 + N44 - IF(N$5&gt;=$D$26, INDEX($D44:$S44, N$5-$D$26+1), 0))</f>
        <v>24</v>
      </c>
      <c r="O45" s="22">
        <f t="array" aca="1" ref="O45" ca="1">MAX(0, N45 + O44 - IF(O$5&gt;=$D$26, INDEX($D44:$S44, O$5-$D$26+1), 0))</f>
        <v>24</v>
      </c>
      <c r="P45" s="22">
        <f t="array" aca="1" ref="P45" ca="1">MAX(0, O45 + P44 - IF(P$5&gt;=$D$26, INDEX($D44:$S44, P$5-$D$26+1), 0))</f>
        <v>24</v>
      </c>
      <c r="Q45" s="22">
        <f t="array" aca="1" ref="Q45" ca="1">MAX(0, P45 + Q44 - IF(Q$5&gt;=$D$26, INDEX($D44:$S44, Q$5-$D$26+1), 0))</f>
        <v>24</v>
      </c>
      <c r="R45" s="22">
        <f t="array" aca="1" ref="R45" ca="1">MAX(0, Q45 + R44 - IF(R$5&gt;=$D$26, INDEX($D44:$S44, R$5-$D$26+1), 0))</f>
        <v>24</v>
      </c>
      <c r="S45" s="22">
        <f t="array" aca="1" ref="S45" ca="1">MAX(0, R45 + S44 - IF(S$5&gt;=$D$26, INDEX($D44:$S44, S$5-$D$26+1), 0))</f>
        <v>25</v>
      </c>
    </row>
    <row r="46" spans="1:19">
      <c r="A46" s="78" t="s">
        <v>1175</v>
      </c>
      <c r="B46" s="78"/>
      <c r="C46" s="78"/>
      <c r="D46" s="111">
        <f t="shared" ref="D46:S46" si="6">D45*D24</f>
        <v>0</v>
      </c>
      <c r="E46" s="111">
        <f t="shared" ca="1" si="6"/>
        <v>0</v>
      </c>
      <c r="F46" s="111">
        <f t="shared" ca="1" si="6"/>
        <v>0</v>
      </c>
      <c r="G46" s="111">
        <f t="shared" ca="1" si="6"/>
        <v>17.56681756767113</v>
      </c>
      <c r="H46" s="111">
        <f t="shared" ca="1" si="6"/>
        <v>47.900616967897854</v>
      </c>
      <c r="I46" s="111">
        <f t="shared" ca="1" si="6"/>
        <v>108.06174490587522</v>
      </c>
      <c r="J46" s="111">
        <f t="shared" ca="1" si="6"/>
        <v>198.48796883091012</v>
      </c>
      <c r="K46" s="111">
        <f t="shared" ca="1" si="6"/>
        <v>282.38025987128327</v>
      </c>
      <c r="L46" s="111">
        <f t="shared" ca="1" si="6"/>
        <v>335.00051092441254</v>
      </c>
      <c r="M46" s="111">
        <f t="shared" ca="1" si="6"/>
        <v>376.72274771885367</v>
      </c>
      <c r="N46" s="111">
        <f t="shared" ca="1" si="6"/>
        <v>417.13192345813701</v>
      </c>
      <c r="O46" s="111">
        <f t="shared" ca="1" si="6"/>
        <v>457.99399087912343</v>
      </c>
      <c r="P46" s="111">
        <f t="shared" ca="1" si="6"/>
        <v>504.54881713821533</v>
      </c>
      <c r="Q46" s="111">
        <f t="shared" ca="1" si="6"/>
        <v>535.95032728575165</v>
      </c>
      <c r="R46" s="111">
        <f t="shared" ca="1" si="6"/>
        <v>560.97080439186925</v>
      </c>
      <c r="S46" s="111">
        <f t="shared" ca="1" si="6"/>
        <v>606.77421790856113</v>
      </c>
    </row>
    <row r="47" spans="1:19">
      <c r="A47" s="5" t="s">
        <v>1176</v>
      </c>
      <c r="B47" s="3"/>
      <c r="C47" s="3"/>
      <c r="D47" s="101">
        <f ca="1">MAX(0,MIN(IFERROR('Cash Allocation Engine'!D51/'Vehicle Build'!D44,0),(D36+D37)*D18))</f>
        <v>0</v>
      </c>
      <c r="E47" s="101">
        <f ca="1">MAX(0,MIN(IFERROR('Cash Allocation Engine'!E51/'Vehicle Build'!E44,0),(E36+E37)*E18))</f>
        <v>0</v>
      </c>
      <c r="F47" s="101">
        <f ca="1">MAX(0,MIN(IFERROR('Cash Allocation Engine'!F51/'Vehicle Build'!F44,0),(F36+F37)*F18))</f>
        <v>0</v>
      </c>
      <c r="G47" s="101">
        <f ca="1">MAX(0,MIN(IFERROR('Cash Allocation Engine'!G51/'Vehicle Build'!G44,0),(G36+G37)*G18))</f>
        <v>0</v>
      </c>
      <c r="H47" s="101">
        <f ca="1">MAX(0,MIN(IFERROR('Cash Allocation Engine'!H51/'Vehicle Build'!H44,0),(H36+H37)*H18))</f>
        <v>3.7443304830134121E-14</v>
      </c>
      <c r="I47" s="101">
        <f ca="1">MAX(0,MIN(IFERROR('Cash Allocation Engine'!I51/'Vehicle Build'!I44,0),(I36+I37)*I18))</f>
        <v>7.4505805969238287E-14</v>
      </c>
      <c r="J47" s="101">
        <f ca="1">MAX(0,MIN(IFERROR('Cash Allocation Engine'!J51/'Vehicle Build'!J44,0),(J36+J37)*J18))</f>
        <v>0</v>
      </c>
      <c r="K47" s="101">
        <f ca="1">MAX(0,MIN(IFERROR('Cash Allocation Engine'!K51/'Vehicle Build'!K44,0),(K36+K37)*K18))</f>
        <v>275.81075912414838</v>
      </c>
      <c r="L47" s="101">
        <f ca="1">MAX(0,MIN(IFERROR('Cash Allocation Engine'!L51/'Vehicle Build'!L44,0),(L36+L37)*L18))</f>
        <v>333.9881348618556</v>
      </c>
      <c r="M47" s="101">
        <f ca="1">MAX(0,MIN(IFERROR('Cash Allocation Engine'!M51/'Vehicle Build'!M44,0),(M36+M37)*M18))</f>
        <v>375.93784340188353</v>
      </c>
      <c r="N47" s="101">
        <f ca="1">MAX(0,MIN(IFERROR('Cash Allocation Engine'!N51/'Vehicle Build'!N44,0),(N36+N37)*N18))</f>
        <v>410.59733397920508</v>
      </c>
      <c r="O47" s="101">
        <f ca="1">MAX(0,MIN(IFERROR('Cash Allocation Engine'!O51/'Vehicle Build'!O44,0),(O36+O37)*O18))</f>
        <v>443.35533922214557</v>
      </c>
      <c r="P47" s="101">
        <f ca="1">MAX(0,MIN(IFERROR('Cash Allocation Engine'!P51/'Vehicle Build'!P44,0),(P36+P37)*P18))</f>
        <v>476.7702970402658</v>
      </c>
      <c r="Q47" s="101">
        <f ca="1">MAX(0,MIN(IFERROR('Cash Allocation Engine'!Q51/'Vehicle Build'!Q44,0),(Q36+Q37)*Q18))</f>
        <v>512.02025001972186</v>
      </c>
      <c r="R47" s="101">
        <f ca="1">MAX(0,MIN(IFERROR('Cash Allocation Engine'!R51/'Vehicle Build'!R44,0),(R36+R37)*R18))</f>
        <v>549.7047943189649</v>
      </c>
      <c r="S47" s="101">
        <f ca="1">MAX(0,MIN(IFERROR('Cash Allocation Engine'!S51/'Vehicle Build'!S44,0),(S36+S37)*S18))</f>
        <v>0</v>
      </c>
    </row>
    <row r="48" spans="1:19">
      <c r="A48" s="78" t="s">
        <v>1177</v>
      </c>
      <c r="B48" s="78"/>
      <c r="C48" s="78"/>
      <c r="D48" s="111">
        <f t="shared" ref="D48:S48" ca="1" si="7">D42+D47</f>
        <v>29</v>
      </c>
      <c r="E48" s="111">
        <f t="shared" ca="1" si="7"/>
        <v>84</v>
      </c>
      <c r="F48" s="111">
        <f t="shared" ca="1" si="7"/>
        <v>200.1972262606555</v>
      </c>
      <c r="G48" s="111">
        <f t="shared" ca="1" si="7"/>
        <v>219.22016565285918</v>
      </c>
      <c r="H48" s="111">
        <f t="shared" ca="1" si="7"/>
        <v>243.66442452028127</v>
      </c>
      <c r="I48" s="111">
        <f t="shared" ca="1" si="7"/>
        <v>270.00000000000006</v>
      </c>
      <c r="J48" s="111">
        <f t="shared" ca="1" si="7"/>
        <v>267</v>
      </c>
      <c r="K48" s="111">
        <f t="shared" ca="1" si="7"/>
        <v>337.35245797817959</v>
      </c>
      <c r="L48" s="111">
        <f t="shared" ca="1" si="7"/>
        <v>361.40355045238948</v>
      </c>
      <c r="M48" s="111">
        <f t="shared" ca="1" si="7"/>
        <v>387.29018260204975</v>
      </c>
      <c r="N48" s="111">
        <f t="shared" ca="1" si="7"/>
        <v>415.15865834099156</v>
      </c>
      <c r="O48" s="111">
        <f t="shared" ca="1" si="7"/>
        <v>445.16723115956916</v>
      </c>
      <c r="P48" s="111">
        <f t="shared" ca="1" si="7"/>
        <v>477.48709219088369</v>
      </c>
      <c r="Q48" s="111">
        <f t="shared" ca="1" si="7"/>
        <v>512.30344041720696</v>
      </c>
      <c r="R48" s="111">
        <f t="shared" ca="1" si="7"/>
        <v>549.81664185690227</v>
      </c>
      <c r="S48" s="111">
        <f t="shared" ca="1" si="7"/>
        <v>6</v>
      </c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13" t="s">
        <v>1178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>
      <c r="A52" s="5" t="s">
        <v>1179</v>
      </c>
      <c r="B52" s="3"/>
      <c r="C52" s="3"/>
      <c r="D52" s="29">
        <f t="shared" ref="D52:S52" ca="1" si="8">D42*D11+D47*D12</f>
        <v>1589.1999999999998</v>
      </c>
      <c r="E52" s="29">
        <f t="shared" ca="1" si="8"/>
        <v>4603.2</v>
      </c>
      <c r="F52" s="29">
        <f t="shared" ca="1" si="8"/>
        <v>10970.807999083921</v>
      </c>
      <c r="G52" s="29">
        <f t="shared" ca="1" si="8"/>
        <v>12013.265077776683</v>
      </c>
      <c r="H52" s="29">
        <f t="shared" ca="1" si="8"/>
        <v>13352.810463711416</v>
      </c>
      <c r="I52" s="29">
        <f t="shared" ca="1" si="8"/>
        <v>14796.000000000005</v>
      </c>
      <c r="J52" s="29">
        <f t="shared" ca="1" si="8"/>
        <v>14631.599999999999</v>
      </c>
      <c r="K52" s="29">
        <f t="shared" ca="1" si="8"/>
        <v>21550.662621050116</v>
      </c>
      <c r="L52" s="29">
        <f t="shared" ca="1" si="8"/>
        <v>21753.90237066531</v>
      </c>
      <c r="M52" s="29">
        <f t="shared" ca="1" si="8"/>
        <v>21593.673009960392</v>
      </c>
      <c r="N52" s="29">
        <f t="shared" ca="1" si="8"/>
        <v>21322.590680835372</v>
      </c>
      <c r="O52" s="29">
        <f t="shared" ca="1" si="8"/>
        <v>21032.817816921026</v>
      </c>
      <c r="P52" s="29">
        <f t="shared" ca="1" si="8"/>
        <v>20749.631609360167</v>
      </c>
      <c r="Q52" s="29">
        <f t="shared" ca="1" si="8"/>
        <v>20477.761848010534</v>
      </c>
      <c r="R52" s="29">
        <f t="shared" ca="1" si="8"/>
        <v>20216.926845461359</v>
      </c>
      <c r="S52" s="29">
        <f t="shared" ca="1" si="8"/>
        <v>328.79999999999995</v>
      </c>
    </row>
    <row r="53" spans="1:19">
      <c r="A53" s="5" t="s">
        <v>1180</v>
      </c>
      <c r="B53" s="3"/>
      <c r="C53" s="3"/>
      <c r="D53" s="70">
        <f t="array" ref="D53">INDEX(Assumptions!$D:$S, MATCH("Launch &amp; Development revenue ($mm/yr): year-row", Assumptions!$A$1:$A$257, 0), COLUMN()-COLUMN($D17)+1)</f>
        <v>1510</v>
      </c>
      <c r="E53" s="70">
        <f t="array" ref="E53">INDEX(Assumptions!$D:$S, MATCH("Launch &amp; Development revenue ($mm/yr): year-row", Assumptions!$A$1:$A$257, 0), COLUMN()-COLUMN($D17)+1)</f>
        <v>1585.5</v>
      </c>
      <c r="F53" s="70">
        <f t="array" ref="F53">INDEX(Assumptions!$D:$S, MATCH("Launch &amp; Development revenue ($mm/yr): year-row", Assumptions!$A$1:$A$257, 0), COLUMN()-COLUMN($D17)+1)</f>
        <v>1664.7750000000001</v>
      </c>
      <c r="G53" s="70">
        <f t="array" ref="G53">INDEX(Assumptions!$D:$S, MATCH("Launch &amp; Development revenue ($mm/yr): year-row", Assumptions!$A$1:$A$257, 0), COLUMN()-COLUMN($D17)+1)</f>
        <v>1748.0137500000003</v>
      </c>
      <c r="H53" s="70">
        <f t="array" ref="H53">INDEX(Assumptions!$D:$S, MATCH("Launch &amp; Development revenue ($mm/yr): year-row", Assumptions!$A$1:$A$257, 0), COLUMN()-COLUMN($D17)+1)</f>
        <v>1835.4144375000001</v>
      </c>
      <c r="I53" s="70">
        <f t="array" ref="I53">INDEX(Assumptions!$D:$S, MATCH("Launch &amp; Development revenue ($mm/yr): year-row", Assumptions!$A$1:$A$257, 0), COLUMN()-COLUMN($D17)+1)</f>
        <v>1927.1851593750002</v>
      </c>
      <c r="J53" s="70">
        <f t="array" ref="J53">INDEX(Assumptions!$D:$S, MATCH("Launch &amp; Development revenue ($mm/yr): year-row", Assumptions!$A$1:$A$257, 0), COLUMN()-COLUMN($D17)+1)</f>
        <v>2023.54441734375</v>
      </c>
      <c r="K53" s="70">
        <f t="array" ref="K53">INDEX(Assumptions!$D:$S, MATCH("Launch &amp; Development revenue ($mm/yr): year-row", Assumptions!$A$1:$A$257, 0), COLUMN()-COLUMN($D17)+1)</f>
        <v>2124.7216382109377</v>
      </c>
      <c r="L53" s="70">
        <f t="array" ref="L53">INDEX(Assumptions!$D:$S, MATCH("Launch &amp; Development revenue ($mm/yr): year-row", Assumptions!$A$1:$A$257, 0), COLUMN()-COLUMN($D17)+1)</f>
        <v>2230.9577201214843</v>
      </c>
      <c r="M53" s="70">
        <f t="array" ref="M53">INDEX(Assumptions!$D:$S, MATCH("Launch &amp; Development revenue ($mm/yr): year-row", Assumptions!$A$1:$A$257, 0), COLUMN()-COLUMN($D17)+1)</f>
        <v>2342.5056061275586</v>
      </c>
      <c r="N53" s="70">
        <f t="array" ref="N53">INDEX(Assumptions!$D:$S, MATCH("Launch &amp; Development revenue ($mm/yr): year-row", Assumptions!$A$1:$A$257, 0), COLUMN()-COLUMN($D17)+1)</f>
        <v>2459.6308864339367</v>
      </c>
      <c r="O53" s="70">
        <f t="array" ref="O53">INDEX(Assumptions!$D:$S, MATCH("Launch &amp; Development revenue ($mm/yr): year-row", Assumptions!$A$1:$A$257, 0), COLUMN()-COLUMN($D17)+1)</f>
        <v>2582.6124307556338</v>
      </c>
      <c r="P53" s="70">
        <f t="array" ref="P53">INDEX(Assumptions!$D:$S, MATCH("Launch &amp; Development revenue ($mm/yr): year-row", Assumptions!$A$1:$A$257, 0), COLUMN()-COLUMN($D17)+1)</f>
        <v>2711.7430522934151</v>
      </c>
      <c r="Q53" s="70">
        <f t="array" ref="Q53">INDEX(Assumptions!$D:$S, MATCH("Launch &amp; Development revenue ($mm/yr): year-row", Assumptions!$A$1:$A$257, 0), COLUMN()-COLUMN($D17)+1)</f>
        <v>2847.3302049080862</v>
      </c>
      <c r="R53" s="70">
        <f t="array" ref="R53">INDEX(Assumptions!$D:$S, MATCH("Launch &amp; Development revenue ($mm/yr): year-row", Assumptions!$A$1:$A$257, 0), COLUMN()-COLUMN($D17)+1)</f>
        <v>2989.69671515349</v>
      </c>
      <c r="S53" s="70">
        <f t="array" ref="S53">INDEX(Assumptions!$D:$S, MATCH("Launch &amp; Development revenue ($mm/yr): year-row", Assumptions!$A$1:$A$257, 0), COLUMN()-COLUMN($D17)+1)</f>
        <v>3139.1815509111657</v>
      </c>
    </row>
    <row r="54" spans="1:19">
      <c r="A54" s="5" t="s">
        <v>1181</v>
      </c>
      <c r="B54" s="3"/>
      <c r="C54" s="3"/>
      <c r="D54" s="29">
        <f t="shared" ref="D54:S54" ca="1" si="9">D52+D53</f>
        <v>3099.2</v>
      </c>
      <c r="E54" s="29">
        <f t="shared" ca="1" si="9"/>
        <v>6188.7</v>
      </c>
      <c r="F54" s="29">
        <f t="shared" ca="1" si="9"/>
        <v>12635.582999083921</v>
      </c>
      <c r="G54" s="29">
        <f t="shared" ca="1" si="9"/>
        <v>13761.278827776683</v>
      </c>
      <c r="H54" s="29">
        <f t="shared" ca="1" si="9"/>
        <v>15188.224901211415</v>
      </c>
      <c r="I54" s="29">
        <f t="shared" ca="1" si="9"/>
        <v>16723.185159375007</v>
      </c>
      <c r="J54" s="29">
        <f t="shared" ca="1" si="9"/>
        <v>16655.144417343749</v>
      </c>
      <c r="K54" s="29">
        <f t="shared" ca="1" si="9"/>
        <v>23675.384259261053</v>
      </c>
      <c r="L54" s="29">
        <f t="shared" ca="1" si="9"/>
        <v>23984.860090786795</v>
      </c>
      <c r="M54" s="29">
        <f t="shared" ca="1" si="9"/>
        <v>23936.178616087949</v>
      </c>
      <c r="N54" s="29">
        <f t="shared" ca="1" si="9"/>
        <v>23782.221567269309</v>
      </c>
      <c r="O54" s="29">
        <f t="shared" ca="1" si="9"/>
        <v>23615.430247676661</v>
      </c>
      <c r="P54" s="29">
        <f t="shared" ca="1" si="9"/>
        <v>23461.374661653583</v>
      </c>
      <c r="Q54" s="29">
        <f t="shared" ca="1" si="9"/>
        <v>23325.092052918619</v>
      </c>
      <c r="R54" s="29">
        <f t="shared" ca="1" si="9"/>
        <v>23206.623560614848</v>
      </c>
      <c r="S54" s="29">
        <f t="shared" ca="1" si="9"/>
        <v>3467.9815509111659</v>
      </c>
    </row>
    <row r="55" spans="1:19">
      <c r="A55" s="5" t="s">
        <v>1182</v>
      </c>
      <c r="B55" s="3"/>
      <c r="C55" s="3"/>
      <c r="D55" s="102">
        <f t="shared" ref="D55:S55" ca="1" si="10">IFERROR(D52/D48,0)</f>
        <v>54.8</v>
      </c>
      <c r="E55" s="102">
        <f t="shared" ca="1" si="10"/>
        <v>54.8</v>
      </c>
      <c r="F55" s="102">
        <f t="shared" ca="1" si="10"/>
        <v>54.800000000000004</v>
      </c>
      <c r="G55" s="102">
        <f t="shared" ca="1" si="10"/>
        <v>54.8</v>
      </c>
      <c r="H55" s="102">
        <f t="shared" ca="1" si="10"/>
        <v>54.800000000000011</v>
      </c>
      <c r="I55" s="102">
        <f t="shared" ca="1" si="10"/>
        <v>54.800000000000011</v>
      </c>
      <c r="J55" s="102">
        <f t="shared" ca="1" si="10"/>
        <v>54.8</v>
      </c>
      <c r="K55" s="102">
        <f t="shared" ca="1" si="10"/>
        <v>63.881741814503222</v>
      </c>
      <c r="L55" s="102">
        <f t="shared" ca="1" si="10"/>
        <v>60.192829714690703</v>
      </c>
      <c r="M55" s="102">
        <f t="shared" ca="1" si="10"/>
        <v>55.755797538891983</v>
      </c>
      <c r="N55" s="102">
        <f t="shared" ca="1" si="10"/>
        <v>51.360101138302674</v>
      </c>
      <c r="O55" s="102">
        <f t="shared" ca="1" si="10"/>
        <v>47.247003698216638</v>
      </c>
      <c r="P55" s="102">
        <f t="shared" ca="1" si="10"/>
        <v>43.455900586031227</v>
      </c>
      <c r="Q55" s="102">
        <f t="shared" ca="1" si="10"/>
        <v>39.971938957376437</v>
      </c>
      <c r="R55" s="102">
        <f t="shared" ca="1" si="10"/>
        <v>36.770307237668348</v>
      </c>
      <c r="S55" s="102">
        <f t="shared" ca="1" si="10"/>
        <v>54.79999999999999</v>
      </c>
    </row>
    <row r="56" spans="1:19">
      <c r="A56" s="11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13" t="s">
        <v>1183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>
      <c r="A59" s="5" t="s">
        <v>1184</v>
      </c>
      <c r="B59" s="3"/>
      <c r="C59" s="3"/>
      <c r="D59" s="70">
        <f ca="1">D42*(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497.34999999999997</v>
      </c>
      <c r="E59" s="70">
        <f ca="1">E42*(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1440.6</v>
      </c>
      <c r="F59" s="70">
        <f ca="1">F42*(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3433.3824303702413</v>
      </c>
      <c r="G59" s="70">
        <f ca="1">G42*(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3759.6258409465345</v>
      </c>
      <c r="H59" s="70">
        <f ca="1">H42*(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4178.8448805228227</v>
      </c>
      <c r="I59" s="70">
        <f ca="1">I42*(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4630.5</v>
      </c>
      <c r="J59" s="70">
        <f ca="1">J42*(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4579.0499999999993</v>
      </c>
      <c r="K59" s="70">
        <f ca="1">K42*(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1055.4401353466351</v>
      </c>
      <c r="L59" s="70">
        <f ca="1">L42*(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470.17437737765607</v>
      </c>
      <c r="M59" s="70">
        <f ca="1">M42*(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194.69261728285079</v>
      </c>
      <c r="N59" s="70">
        <f ca="1">N42*(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78.226712804638296</v>
      </c>
      <c r="O59" s="70">
        <f ca="1">O42*(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31.07394672681442</v>
      </c>
      <c r="P59" s="70">
        <f ca="1">P42*(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12.293036833096705</v>
      </c>
      <c r="Q59" s="70">
        <f ca="1">Q42*(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4.8567153168694688</v>
      </c>
      <c r="R59" s="70">
        <f ca="1">R42*(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1.918185275625808</v>
      </c>
      <c r="S59" s="70">
        <f ca="1">S42*( INDEX(Assumptions!$B:$B,MATCH("F9 2nd stage mfg cost ($mm/unit)",Assumptions!$A$1:$A$257,0)) + INDEX(Assumptions!$B:$B,MATCH("F9 fairing cost net of 75% recovery ($mm/flight)",Assumptions!$A$1:$A$257,0)) + INDEX(Assumptions!$B:$B,MATCH("F9 per-launch ops cost ($mm)",Assumptions!$A$1:$A$257,0)) + INDEX(Assumptions!$B:$B,MATCH("F9 booster refurb % of mfg",Assumptions!$A$1:$A$257,0))*INDEX(Assumptions!$B:$B,MATCH("F9 booster (1st stage) mfg cost ($mm/unit)",Assumptions!$A$1:$A$257,0)) )</f>
        <v>102.89999999999999</v>
      </c>
    </row>
    <row r="60" spans="1:19">
      <c r="A60" s="5" t="s">
        <v>1185</v>
      </c>
      <c r="B60" s="3"/>
      <c r="C60" s="3"/>
      <c r="D60" s="70">
        <f ca="1">D47*(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  <c r="E60" s="70">
        <f ca="1">E47*(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  <c r="F60" s="70">
        <f ca="1">F47*(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  <c r="G60" s="70">
        <f ca="1">G47*(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  <c r="H60" s="70">
        <f ca="1">H47*(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9.5360608741385586E-13</v>
      </c>
      <c r="I60" s="70">
        <f ca="1">I47*(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1.8975138664245607E-12</v>
      </c>
      <c r="J60" s="70">
        <f ca="1">J47*(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  <c r="K60" s="70">
        <f ca="1">K47*(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7024.3484133738111</v>
      </c>
      <c r="L60" s="70">
        <f ca="1">L47*(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8506.0098186617379</v>
      </c>
      <c r="M60" s="70">
        <f ca="1">M47*(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9574.3849957591701</v>
      </c>
      <c r="N60" s="70">
        <f ca="1">N47*(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10457.092901782395</v>
      </c>
      <c r="O60" s="70">
        <f ca="1">O47*(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11291.373779309604</v>
      </c>
      <c r="P60" s="70">
        <f ca="1">P47*(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12142.38592502149</v>
      </c>
      <c r="Q60" s="70">
        <f ca="1">Q47*(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13040.131727502276</v>
      </c>
      <c r="R60" s="70">
        <f ca="1">R47*(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13999.881701715398</v>
      </c>
      <c r="S60" s="70">
        <f ca="1">S47*( INDEX(Assumptions!$B:$B,MATCH("Ship refurb % of manufacturing",Assumptions!$A$1:$A$257,0))*INDEX(Assumptions!$B:$B,MATCH("Starship 2nd-stage manufacturing cost ($mm/unit, base)",Assumptions!$A$1:$A$257,0)) + INDEX(Assumptions!$B:$B,MATCH("Starship at-cost rate per launch ($mm)",Assumptions!$A$1:$A$257,0)) )</f>
        <v>0</v>
      </c>
    </row>
    <row r="61" spans="1:19">
      <c r="A61" s="5" t="s">
        <v>1186</v>
      </c>
      <c r="B61" s="3"/>
      <c r="C61" s="3"/>
      <c r="D61" s="70">
        <f ca="1">D54*INDEX(Assumptions!$B:$B,MATCH("Launch insurance % of external rev",Assumptions!$A$1:$A$257,0))</f>
        <v>154.96</v>
      </c>
      <c r="E61" s="70">
        <f ca="1">E54*INDEX(Assumptions!$B:$B,MATCH("Launch insurance % of external rev",Assumptions!$A$1:$A$257,0))</f>
        <v>309.435</v>
      </c>
      <c r="F61" s="70">
        <f ca="1">F54*INDEX(Assumptions!$B:$B,MATCH("Launch insurance % of external rev",Assumptions!$A$1:$A$257,0))</f>
        <v>631.7791499541961</v>
      </c>
      <c r="G61" s="70">
        <f ca="1">G54*INDEX(Assumptions!$B:$B,MATCH("Launch insurance % of external rev",Assumptions!$A$1:$A$257,0))</f>
        <v>688.06394138883422</v>
      </c>
      <c r="H61" s="70">
        <f ca="1">H54*INDEX(Assumptions!$B:$B,MATCH("Launch insurance % of external rev",Assumptions!$A$1:$A$257,0))</f>
        <v>759.41124506057076</v>
      </c>
      <c r="I61" s="70">
        <f ca="1">I54*INDEX(Assumptions!$B:$B,MATCH("Launch insurance % of external rev",Assumptions!$A$1:$A$257,0))</f>
        <v>836.15925796875035</v>
      </c>
      <c r="J61" s="70">
        <f ca="1">J54*INDEX(Assumptions!$B:$B,MATCH("Launch insurance % of external rev",Assumptions!$A$1:$A$257,0))</f>
        <v>832.75722086718747</v>
      </c>
      <c r="K61" s="70">
        <f ca="1">K54*INDEX(Assumptions!$B:$B,MATCH("Launch insurance % of external rev",Assumptions!$A$1:$A$257,0))</f>
        <v>1183.7692129630527</v>
      </c>
      <c r="L61" s="70">
        <f ca="1">L54*INDEX(Assumptions!$B:$B,MATCH("Launch insurance % of external rev",Assumptions!$A$1:$A$257,0))</f>
        <v>1199.2430045393398</v>
      </c>
      <c r="M61" s="70">
        <f ca="1">M54*INDEX(Assumptions!$B:$B,MATCH("Launch insurance % of external rev",Assumptions!$A$1:$A$257,0))</f>
        <v>1196.8089308043975</v>
      </c>
      <c r="N61" s="70">
        <f ca="1">N54*INDEX(Assumptions!$B:$B,MATCH("Launch insurance % of external rev",Assumptions!$A$1:$A$257,0))</f>
        <v>1189.1110783634656</v>
      </c>
      <c r="O61" s="70">
        <f ca="1">O54*INDEX(Assumptions!$B:$B,MATCH("Launch insurance % of external rev",Assumptions!$A$1:$A$257,0))</f>
        <v>1180.7715123838332</v>
      </c>
      <c r="P61" s="70">
        <f ca="1">P54*INDEX(Assumptions!$B:$B,MATCH("Launch insurance % of external rev",Assumptions!$A$1:$A$257,0))</f>
        <v>1173.0687330826793</v>
      </c>
      <c r="Q61" s="70">
        <f ca="1">Q54*INDEX(Assumptions!$B:$B,MATCH("Launch insurance % of external rev",Assumptions!$A$1:$A$257,0))</f>
        <v>1166.2546026459311</v>
      </c>
      <c r="R61" s="70">
        <f ca="1">R54*INDEX(Assumptions!$B:$B,MATCH("Launch insurance % of external rev",Assumptions!$A$1:$A$257,0))</f>
        <v>1160.3311780307424</v>
      </c>
      <c r="S61" s="70">
        <f ca="1">S54*INDEX(Assumptions!$B:$B,MATCH("Launch insurance % of external rev",Assumptions!$A$1:$A$257,0))</f>
        <v>173.3990775455583</v>
      </c>
    </row>
    <row r="62" spans="1:19">
      <c r="A62" s="5" t="s">
        <v>1187</v>
      </c>
      <c r="B62" s="3"/>
      <c r="C62" s="3"/>
      <c r="D62" s="70">
        <f ca="1">D54*INDEX(Assumptions!$B:$B,MATCH("Launch other COGS % of external rev",Assumptions!$A$1:$A$257,0))</f>
        <v>61.983999999999995</v>
      </c>
      <c r="E62" s="70">
        <f ca="1">E54*INDEX(Assumptions!$B:$B,MATCH("Launch other COGS % of external rev",Assumptions!$A$1:$A$257,0))</f>
        <v>123.774</v>
      </c>
      <c r="F62" s="70">
        <f ca="1">F54*INDEX(Assumptions!$B:$B,MATCH("Launch other COGS % of external rev",Assumptions!$A$1:$A$257,0))</f>
        <v>252.71165998167842</v>
      </c>
      <c r="G62" s="70">
        <f ca="1">G54*INDEX(Assumptions!$B:$B,MATCH("Launch other COGS % of external rev",Assumptions!$A$1:$A$257,0))</f>
        <v>275.22557655553368</v>
      </c>
      <c r="H62" s="70">
        <f ca="1">H54*INDEX(Assumptions!$B:$B,MATCH("Launch other COGS % of external rev",Assumptions!$A$1:$A$257,0))</f>
        <v>303.76449802422832</v>
      </c>
      <c r="I62" s="70">
        <f ca="1">I54*INDEX(Assumptions!$B:$B,MATCH("Launch other COGS % of external rev",Assumptions!$A$1:$A$257,0))</f>
        <v>334.46370318750013</v>
      </c>
      <c r="J62" s="70">
        <f ca="1">J54*INDEX(Assumptions!$B:$B,MATCH("Launch other COGS % of external rev",Assumptions!$A$1:$A$257,0))</f>
        <v>333.10288834687498</v>
      </c>
      <c r="K62" s="70">
        <f ca="1">K54*INDEX(Assumptions!$B:$B,MATCH("Launch other COGS % of external rev",Assumptions!$A$1:$A$257,0))</f>
        <v>473.50768518522108</v>
      </c>
      <c r="L62" s="70">
        <f ca="1">L54*INDEX(Assumptions!$B:$B,MATCH("Launch other COGS % of external rev",Assumptions!$A$1:$A$257,0))</f>
        <v>479.69720181573592</v>
      </c>
      <c r="M62" s="70">
        <f ca="1">M54*INDEX(Assumptions!$B:$B,MATCH("Launch other COGS % of external rev",Assumptions!$A$1:$A$257,0))</f>
        <v>478.72357232175898</v>
      </c>
      <c r="N62" s="70">
        <f ca="1">N54*INDEX(Assumptions!$B:$B,MATCH("Launch other COGS % of external rev",Assumptions!$A$1:$A$257,0))</f>
        <v>475.64443134538618</v>
      </c>
      <c r="O62" s="70">
        <f ca="1">O54*INDEX(Assumptions!$B:$B,MATCH("Launch other COGS % of external rev",Assumptions!$A$1:$A$257,0))</f>
        <v>472.30860495353323</v>
      </c>
      <c r="P62" s="70">
        <f ca="1">P54*INDEX(Assumptions!$B:$B,MATCH("Launch other COGS % of external rev",Assumptions!$A$1:$A$257,0))</f>
        <v>469.22749323307164</v>
      </c>
      <c r="Q62" s="70">
        <f ca="1">Q54*INDEX(Assumptions!$B:$B,MATCH("Launch other COGS % of external rev",Assumptions!$A$1:$A$257,0))</f>
        <v>466.50184105837241</v>
      </c>
      <c r="R62" s="70">
        <f ca="1">R54*INDEX(Assumptions!$B:$B,MATCH("Launch other COGS % of external rev",Assumptions!$A$1:$A$257,0))</f>
        <v>464.13247121229693</v>
      </c>
      <c r="S62" s="70">
        <f ca="1">S54*INDEX(Assumptions!$B:$B,MATCH("Launch other COGS % of external rev",Assumptions!$A$1:$A$257,0))</f>
        <v>69.359631018223325</v>
      </c>
    </row>
    <row r="63" spans="1:19">
      <c r="A63" s="78" t="s">
        <v>1188</v>
      </c>
      <c r="B63" s="78"/>
      <c r="C63" s="78"/>
      <c r="D63" s="81">
        <f t="shared" ref="D63:S63" ca="1" si="11">SUM(D59:D62)</f>
        <v>714.29399999999998</v>
      </c>
      <c r="E63" s="81">
        <f t="shared" ca="1" si="11"/>
        <v>1873.8089999999997</v>
      </c>
      <c r="F63" s="81">
        <f t="shared" ca="1" si="11"/>
        <v>4317.8732403061158</v>
      </c>
      <c r="G63" s="81">
        <f t="shared" ca="1" si="11"/>
        <v>4722.9153588909021</v>
      </c>
      <c r="H63" s="81">
        <f t="shared" ca="1" si="11"/>
        <v>5242.0206236076228</v>
      </c>
      <c r="I63" s="81">
        <f t="shared" ca="1" si="11"/>
        <v>5801.1229611562521</v>
      </c>
      <c r="J63" s="81">
        <f t="shared" ca="1" si="11"/>
        <v>5744.9101092140618</v>
      </c>
      <c r="K63" s="81">
        <f t="shared" ca="1" si="11"/>
        <v>9737.0654468687189</v>
      </c>
      <c r="L63" s="81">
        <f t="shared" ca="1" si="11"/>
        <v>10655.124402394469</v>
      </c>
      <c r="M63" s="81">
        <f t="shared" ca="1" si="11"/>
        <v>11444.610116168178</v>
      </c>
      <c r="N63" s="81">
        <f t="shared" ca="1" si="11"/>
        <v>12200.075124295885</v>
      </c>
      <c r="O63" s="81">
        <f t="shared" ca="1" si="11"/>
        <v>12975.527843373786</v>
      </c>
      <c r="P63" s="81">
        <f t="shared" ca="1" si="11"/>
        <v>13796.975188170336</v>
      </c>
      <c r="Q63" s="81">
        <f t="shared" ca="1" si="11"/>
        <v>14677.744886523449</v>
      </c>
      <c r="R63" s="81">
        <f t="shared" ca="1" si="11"/>
        <v>15626.263536234064</v>
      </c>
      <c r="S63" s="81">
        <f t="shared" ca="1" si="11"/>
        <v>345.6587085637816</v>
      </c>
    </row>
    <row r="64" spans="1:19">
      <c r="A64" s="78" t="s">
        <v>1189</v>
      </c>
      <c r="B64" s="78"/>
      <c r="C64" s="78"/>
      <c r="D64" s="81">
        <f t="shared" ref="D64:S64" ca="1" si="12">D54-D63</f>
        <v>2384.9059999999999</v>
      </c>
      <c r="E64" s="81">
        <f t="shared" ca="1" si="12"/>
        <v>4314.8909999999996</v>
      </c>
      <c r="F64" s="81">
        <f t="shared" ca="1" si="12"/>
        <v>8317.7097587778044</v>
      </c>
      <c r="G64" s="81">
        <f t="shared" ca="1" si="12"/>
        <v>9038.3634688857819</v>
      </c>
      <c r="H64" s="81">
        <f t="shared" ca="1" si="12"/>
        <v>9946.2042776037924</v>
      </c>
      <c r="I64" s="81">
        <f t="shared" ca="1" si="12"/>
        <v>10922.062198218755</v>
      </c>
      <c r="J64" s="81">
        <f t="shared" ca="1" si="12"/>
        <v>10910.234308129686</v>
      </c>
      <c r="K64" s="81">
        <f t="shared" ca="1" si="12"/>
        <v>13938.318812392334</v>
      </c>
      <c r="L64" s="81">
        <f t="shared" ca="1" si="12"/>
        <v>13329.735688392326</v>
      </c>
      <c r="M64" s="81">
        <f t="shared" ca="1" si="12"/>
        <v>12491.568499919771</v>
      </c>
      <c r="N64" s="81">
        <f t="shared" ca="1" si="12"/>
        <v>11582.146442973424</v>
      </c>
      <c r="O64" s="81">
        <f t="shared" ca="1" si="12"/>
        <v>10639.902404302875</v>
      </c>
      <c r="P64" s="81">
        <f t="shared" ca="1" si="12"/>
        <v>9664.3994734832468</v>
      </c>
      <c r="Q64" s="81">
        <f t="shared" ca="1" si="12"/>
        <v>8647.3471663951696</v>
      </c>
      <c r="R64" s="81">
        <f t="shared" ca="1" si="12"/>
        <v>7580.3600243807832</v>
      </c>
      <c r="S64" s="81">
        <f t="shared" ca="1" si="12"/>
        <v>3122.3228423473843</v>
      </c>
    </row>
    <row r="65" spans="1:19">
      <c r="A65" s="5" t="s">
        <v>1013</v>
      </c>
      <c r="B65" s="3"/>
      <c r="C65" s="3"/>
      <c r="D65" s="60">
        <f t="shared" ref="D65:S65" ca="1" si="13">IFERROR(D64/D54,0)</f>
        <v>0.76952310273619007</v>
      </c>
      <c r="E65" s="60">
        <f t="shared" ca="1" si="13"/>
        <v>0.69722090261282654</v>
      </c>
      <c r="F65" s="60">
        <f t="shared" ca="1" si="13"/>
        <v>0.65827669046856307</v>
      </c>
      <c r="G65" s="60">
        <f t="shared" ca="1" si="13"/>
        <v>0.65679676881789117</v>
      </c>
      <c r="H65" s="60">
        <f t="shared" ca="1" si="13"/>
        <v>0.65486285213030271</v>
      </c>
      <c r="I65" s="60">
        <f t="shared" ca="1" si="13"/>
        <v>0.65310896782697248</v>
      </c>
      <c r="J65" s="60">
        <f t="shared" ca="1" si="13"/>
        <v>0.65506692915663767</v>
      </c>
      <c r="K65" s="60">
        <f t="shared" ca="1" si="13"/>
        <v>0.58872619171704088</v>
      </c>
      <c r="L65" s="60">
        <f t="shared" ca="1" si="13"/>
        <v>0.55575624114282918</v>
      </c>
      <c r="M65" s="60">
        <f t="shared" ca="1" si="13"/>
        <v>0.52186978967160436</v>
      </c>
      <c r="N65" s="60">
        <f t="shared" ca="1" si="13"/>
        <v>0.48700860053013517</v>
      </c>
      <c r="O65" s="60">
        <f t="shared" ca="1" si="13"/>
        <v>0.450548742610762</v>
      </c>
      <c r="P65" s="60">
        <f t="shared" ca="1" si="13"/>
        <v>0.41192809939134611</v>
      </c>
      <c r="Q65" s="60">
        <f t="shared" ca="1" si="13"/>
        <v>0.37073153438265405</v>
      </c>
      <c r="R65" s="60">
        <f t="shared" ca="1" si="13"/>
        <v>0.32664639923085587</v>
      </c>
      <c r="S65" s="60">
        <f t="shared" ca="1" si="13"/>
        <v>0.90032856187687493</v>
      </c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13" t="s">
        <v>1190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>
      <c r="A68" s="5" t="s">
        <v>1191</v>
      </c>
      <c r="B68" s="3"/>
      <c r="C68" s="3"/>
      <c r="D68" s="70">
        <f ca="1">D54*INDEX(Assumptions!$B:$B,MATCH("Customer Launch module SG&amp;A (% of external rev)",Assumptions!$A$1:$A$257,0))</f>
        <v>263.43200000000002</v>
      </c>
      <c r="E68" s="70">
        <f ca="1">E54*INDEX(Assumptions!$B:$B,MATCH("Customer Launch module SG&amp;A (% of external rev)",Assumptions!$A$1:$A$257,0))</f>
        <v>526.03949999999998</v>
      </c>
      <c r="F68" s="70">
        <f ca="1">F54*INDEX(Assumptions!$B:$B,MATCH("Customer Launch module SG&amp;A (% of external rev)",Assumptions!$A$1:$A$257,0))</f>
        <v>1074.0245549221333</v>
      </c>
      <c r="G68" s="70">
        <f ca="1">G54*INDEX(Assumptions!$B:$B,MATCH("Customer Launch module SG&amp;A (% of external rev)",Assumptions!$A$1:$A$257,0))</f>
        <v>1169.7087003610181</v>
      </c>
      <c r="H68" s="70">
        <f ca="1">H54*INDEX(Assumptions!$B:$B,MATCH("Customer Launch module SG&amp;A (% of external rev)",Assumptions!$A$1:$A$257,0))</f>
        <v>1290.9991166029704</v>
      </c>
      <c r="I68" s="70">
        <f ca="1">I54*INDEX(Assumptions!$B:$B,MATCH("Customer Launch module SG&amp;A (% of external rev)",Assumptions!$A$1:$A$257,0))</f>
        <v>1421.4707385468757</v>
      </c>
      <c r="J68" s="70">
        <f ca="1">J54*INDEX(Assumptions!$B:$B,MATCH("Customer Launch module SG&amp;A (% of external rev)",Assumptions!$A$1:$A$257,0))</f>
        <v>1415.6872754742187</v>
      </c>
      <c r="K68" s="70">
        <f ca="1">K54*INDEX(Assumptions!$B:$B,MATCH("Customer Launch module SG&amp;A (% of external rev)",Assumptions!$A$1:$A$257,0))</f>
        <v>2012.4076620371895</v>
      </c>
      <c r="L68" s="70">
        <f ca="1">L54*INDEX(Assumptions!$B:$B,MATCH("Customer Launch module SG&amp;A (% of external rev)",Assumptions!$A$1:$A$257,0))</f>
        <v>2038.7131077168776</v>
      </c>
      <c r="M68" s="70">
        <f ca="1">M54*INDEX(Assumptions!$B:$B,MATCH("Customer Launch module SG&amp;A (% of external rev)",Assumptions!$A$1:$A$257,0))</f>
        <v>2034.5751823674759</v>
      </c>
      <c r="N68" s="70">
        <f ca="1">N54*INDEX(Assumptions!$B:$B,MATCH("Customer Launch module SG&amp;A (% of external rev)",Assumptions!$A$1:$A$257,0))</f>
        <v>2021.4888332178914</v>
      </c>
      <c r="O68" s="70">
        <f ca="1">O54*INDEX(Assumptions!$B:$B,MATCH("Customer Launch module SG&amp;A (% of external rev)",Assumptions!$A$1:$A$257,0))</f>
        <v>2007.3115710525162</v>
      </c>
      <c r="P68" s="70">
        <f ca="1">P54*INDEX(Assumptions!$B:$B,MATCH("Customer Launch module SG&amp;A (% of external rev)",Assumptions!$A$1:$A$257,0))</f>
        <v>1994.2168462405548</v>
      </c>
      <c r="Q68" s="70">
        <f ca="1">Q54*INDEX(Assumptions!$B:$B,MATCH("Customer Launch module SG&amp;A (% of external rev)",Assumptions!$A$1:$A$257,0))</f>
        <v>1982.6328244980828</v>
      </c>
      <c r="R68" s="70">
        <f ca="1">R54*INDEX(Assumptions!$B:$B,MATCH("Customer Launch module SG&amp;A (% of external rev)",Assumptions!$A$1:$A$257,0))</f>
        <v>1972.5630026522622</v>
      </c>
      <c r="S68" s="70">
        <f ca="1">S54*INDEX(Assumptions!$B:$B,MATCH("Customer Launch module SG&amp;A (% of external rev)",Assumptions!$A$1:$A$257,0))</f>
        <v>294.77843182744914</v>
      </c>
    </row>
    <row r="69" spans="1:19">
      <c r="A69" s="78" t="s">
        <v>1192</v>
      </c>
      <c r="B69" s="78"/>
      <c r="C69" s="78"/>
      <c r="D69" s="81">
        <f t="shared" ref="D69:S69" ca="1" si="14">D68</f>
        <v>263.43200000000002</v>
      </c>
      <c r="E69" s="81">
        <f t="shared" ca="1" si="14"/>
        <v>526.03949999999998</v>
      </c>
      <c r="F69" s="81">
        <f t="shared" ca="1" si="14"/>
        <v>1074.0245549221333</v>
      </c>
      <c r="G69" s="81">
        <f t="shared" ca="1" si="14"/>
        <v>1169.7087003610181</v>
      </c>
      <c r="H69" s="81">
        <f t="shared" ca="1" si="14"/>
        <v>1290.9991166029704</v>
      </c>
      <c r="I69" s="81">
        <f t="shared" ca="1" si="14"/>
        <v>1421.4707385468757</v>
      </c>
      <c r="J69" s="81">
        <f t="shared" ca="1" si="14"/>
        <v>1415.6872754742187</v>
      </c>
      <c r="K69" s="81">
        <f t="shared" ca="1" si="14"/>
        <v>2012.4076620371895</v>
      </c>
      <c r="L69" s="81">
        <f t="shared" ca="1" si="14"/>
        <v>2038.7131077168776</v>
      </c>
      <c r="M69" s="81">
        <f t="shared" ca="1" si="14"/>
        <v>2034.5751823674759</v>
      </c>
      <c r="N69" s="81">
        <f t="shared" ca="1" si="14"/>
        <v>2021.4888332178914</v>
      </c>
      <c r="O69" s="81">
        <f t="shared" ca="1" si="14"/>
        <v>2007.3115710525162</v>
      </c>
      <c r="P69" s="81">
        <f t="shared" ca="1" si="14"/>
        <v>1994.2168462405548</v>
      </c>
      <c r="Q69" s="81">
        <f t="shared" ca="1" si="14"/>
        <v>1982.6328244980828</v>
      </c>
      <c r="R69" s="81">
        <f t="shared" ca="1" si="14"/>
        <v>1972.5630026522622</v>
      </c>
      <c r="S69" s="81">
        <f t="shared" ca="1" si="14"/>
        <v>294.77843182744914</v>
      </c>
    </row>
    <row r="70" spans="1:19">
      <c r="A70" s="5" t="s">
        <v>1193</v>
      </c>
      <c r="B70" s="3"/>
      <c r="C70" s="3"/>
      <c r="D70" s="70">
        <f t="array" aca="1" ref="D70" ca="1">MAX(D28*D54,INDEX(Assumptions!$D:$S,MATCH("Starship R&amp;D total ($mm/yr): year-row",Assumptions!$A:$A,0),D$5+1)*IFERROR(D47/INDEX('Vehicle Build'!$D:$AC,MATCH("Starship launches per year",'Vehicle Build'!$A:$A,0),D$5+1),0))</f>
        <v>154.96</v>
      </c>
      <c r="E70" s="70">
        <f t="array" aca="1" ref="E70" ca="1">MAX(E28*E54,INDEX(Assumptions!$D:$S,MATCH("Starship R&amp;D total ($mm/yr): year-row",Assumptions!$A:$A,0),E$5+1)*IFERROR(E47/INDEX('Vehicle Build'!$D:$AC,MATCH("Starship launches per year",'Vehicle Build'!$A:$A,0),E$5+1),0))</f>
        <v>309.435</v>
      </c>
      <c r="F70" s="70">
        <f t="array" aca="1" ref="F70" ca="1">MAX(F28*F54,INDEX(Assumptions!$D:$S,MATCH("Starship R&amp;D total ($mm/yr): year-row",Assumptions!$A:$A,0),F$5+1)*IFERROR(F47/INDEX('Vehicle Build'!$D:$AC,MATCH("Starship launches per year",'Vehicle Build'!$A:$A,0),F$5+1),0))</f>
        <v>631.7791499541961</v>
      </c>
      <c r="G70" s="70">
        <f t="array" aca="1" ref="G70" ca="1">MAX(G28*G54,INDEX(Assumptions!$D:$S,MATCH("Starship R&amp;D total ($mm/yr): year-row",Assumptions!$A:$A,0),G$5+1)*IFERROR(G47/INDEX('Vehicle Build'!$D:$AC,MATCH("Starship launches per year",'Vehicle Build'!$A:$A,0),G$5+1),0))</f>
        <v>688.06394138883422</v>
      </c>
      <c r="H70" s="70">
        <f t="array" aca="1" ref="H70" ca="1">MAX(H28*H54,INDEX(Assumptions!$D:$S,MATCH("Starship R&amp;D total ($mm/yr): year-row",Assumptions!$A:$A,0),H$5+1)*IFERROR(H47/INDEX('Vehicle Build'!$D:$AC,MATCH("Starship launches per year",'Vehicle Build'!$A:$A,0),H$5+1),0))</f>
        <v>759.41124506057076</v>
      </c>
      <c r="I70" s="70">
        <f t="array" aca="1" ref="I70" ca="1">MAX(I28*I54,INDEX(Assumptions!$D:$S,MATCH("Starship R&amp;D total ($mm/yr): year-row",Assumptions!$A:$A,0),I$5+1)*IFERROR(I47/INDEX('Vehicle Build'!$D:$AC,MATCH("Starship launches per year",'Vehicle Build'!$A:$A,0),I$5+1),0))</f>
        <v>836.15925796875035</v>
      </c>
      <c r="J70" s="70">
        <f t="array" aca="1" ref="J70" ca="1">MAX(J28*J54,INDEX(Assumptions!$D:$S,MATCH("Starship R&amp;D total ($mm/yr): year-row",Assumptions!$A:$A,0),J$5+1)*IFERROR(J47/INDEX('Vehicle Build'!$D:$AC,MATCH("Starship launches per year",'Vehicle Build'!$A:$A,0),J$5+1),0))</f>
        <v>832.75722086718747</v>
      </c>
      <c r="K70" s="70">
        <f t="array" aca="1" ref="K70" ca="1">MAX(K28*K54,INDEX(Assumptions!$D:$S,MATCH("Starship R&amp;D total ($mm/yr): year-row",Assumptions!$A:$A,0),K$5+1)*IFERROR(K47/INDEX('Vehicle Build'!$D:$AC,MATCH("Starship launches per year",'Vehicle Build'!$A:$A,0),K$5+1),0))</f>
        <v>1183.7692129630527</v>
      </c>
      <c r="L70" s="70">
        <f t="array" aca="1" ref="L70" ca="1">MAX(L28*L54,INDEX(Assumptions!$D:$S,MATCH("Starship R&amp;D total ($mm/yr): year-row",Assumptions!$A:$A,0),L$5+1)*IFERROR(L47/INDEX('Vehicle Build'!$D:$AC,MATCH("Starship launches per year",'Vehicle Build'!$A:$A,0),L$5+1),0))</f>
        <v>1199.2430045393398</v>
      </c>
      <c r="M70" s="70">
        <f t="array" aca="1" ref="M70" ca="1">MAX(M28*M54,INDEX(Assumptions!$D:$S,MATCH("Starship R&amp;D total ($mm/yr): year-row",Assumptions!$A:$A,0),M$5+1)*IFERROR(M47/INDEX('Vehicle Build'!$D:$AC,MATCH("Starship launches per year",'Vehicle Build'!$A:$A,0),M$5+1),0))</f>
        <v>1196.8089308043975</v>
      </c>
      <c r="N70" s="70">
        <f t="array" aca="1" ref="N70" ca="1">MAX(N28*N54,INDEX(Assumptions!$D:$S,MATCH("Starship R&amp;D total ($mm/yr): year-row",Assumptions!$A:$A,0),N$5+1)*IFERROR(N47/INDEX('Vehicle Build'!$D:$AC,MATCH("Starship launches per year",'Vehicle Build'!$A:$A,0),N$5+1),0))</f>
        <v>1189.1110783634656</v>
      </c>
      <c r="O70" s="70">
        <f t="array" aca="1" ref="O70" ca="1">MAX(O28*O54,INDEX(Assumptions!$D:$S,MATCH("Starship R&amp;D total ($mm/yr): year-row",Assumptions!$A:$A,0),O$5+1)*IFERROR(O47/INDEX('Vehicle Build'!$D:$AC,MATCH("Starship launches per year",'Vehicle Build'!$A:$A,0),O$5+1),0))</f>
        <v>1180.7715123838332</v>
      </c>
      <c r="P70" s="70">
        <f t="array" aca="1" ref="P70" ca="1">MAX(P28*P54,INDEX(Assumptions!$D:$S,MATCH("Starship R&amp;D total ($mm/yr): year-row",Assumptions!$A:$A,0),P$5+1)*IFERROR(P47/INDEX('Vehicle Build'!$D:$AC,MATCH("Starship launches per year",'Vehicle Build'!$A:$A,0),P$5+1),0))</f>
        <v>1173.0687330826793</v>
      </c>
      <c r="Q70" s="70">
        <f t="array" aca="1" ref="Q70" ca="1">MAX(Q28*Q54,INDEX(Assumptions!$D:$S,MATCH("Starship R&amp;D total ($mm/yr): year-row",Assumptions!$A:$A,0),Q$5+1)*IFERROR(Q47/INDEX('Vehicle Build'!$D:$AC,MATCH("Starship launches per year",'Vehicle Build'!$A:$A,0),Q$5+1),0))</f>
        <v>1166.2546026459311</v>
      </c>
      <c r="R70" s="70">
        <f t="array" aca="1" ref="R70" ca="1">MAX(R28*R54,INDEX(Assumptions!$D:$S,MATCH("Starship R&amp;D total ($mm/yr): year-row",Assumptions!$A:$A,0),R$5+1)*IFERROR(R47/INDEX('Vehicle Build'!$D:$AC,MATCH("Starship launches per year",'Vehicle Build'!$A:$A,0),R$5+1),0))</f>
        <v>1160.3311780307424</v>
      </c>
      <c r="S70" s="70">
        <f t="array" aca="1" ref="S70" ca="1">MAX(S28*S54,INDEX(Assumptions!$D:$S,MATCH("Starship R&amp;D total ($mm/yr): year-row",Assumptions!$A:$A,0),S$5+1)*IFERROR(S47/INDEX('Vehicle Build'!$D:$AC,MATCH("Starship launches per year",'Vehicle Build'!$A:$A,0),S$5+1),0))</f>
        <v>173.3990775455583</v>
      </c>
    </row>
    <row r="71" spans="1:19">
      <c r="A71" s="92" t="s">
        <v>1194</v>
      </c>
      <c r="B71" s="92"/>
      <c r="C71" s="92"/>
      <c r="D71" s="113">
        <f t="shared" ref="D71:S71" ca="1" si="15">D64-D69-D70</f>
        <v>1966.5140000000001</v>
      </c>
      <c r="E71" s="113">
        <f t="shared" ca="1" si="15"/>
        <v>3479.4164999999998</v>
      </c>
      <c r="F71" s="113">
        <f t="shared" ca="1" si="15"/>
        <v>6611.9060539014745</v>
      </c>
      <c r="G71" s="113">
        <f t="shared" ca="1" si="15"/>
        <v>7180.5908271359303</v>
      </c>
      <c r="H71" s="113">
        <f t="shared" ca="1" si="15"/>
        <v>7895.7939159402513</v>
      </c>
      <c r="I71" s="113">
        <f t="shared" ca="1" si="15"/>
        <v>8664.43220170313</v>
      </c>
      <c r="J71" s="113">
        <f t="shared" ca="1" si="15"/>
        <v>8661.7898117882796</v>
      </c>
      <c r="K71" s="113">
        <f t="shared" ca="1" si="15"/>
        <v>10742.141937392093</v>
      </c>
      <c r="L71" s="113">
        <f t="shared" ca="1" si="15"/>
        <v>10091.779576136109</v>
      </c>
      <c r="M71" s="113">
        <f t="shared" ca="1" si="15"/>
        <v>9260.1843867478965</v>
      </c>
      <c r="N71" s="113">
        <f t="shared" ca="1" si="15"/>
        <v>8371.5465313920686</v>
      </c>
      <c r="O71" s="113">
        <f t="shared" ca="1" si="15"/>
        <v>7451.8193208665252</v>
      </c>
      <c r="P71" s="113">
        <f t="shared" ca="1" si="15"/>
        <v>6497.113894160012</v>
      </c>
      <c r="Q71" s="113">
        <f t="shared" ca="1" si="15"/>
        <v>5498.459739251155</v>
      </c>
      <c r="R71" s="113">
        <f t="shared" ca="1" si="15"/>
        <v>4447.4658436977788</v>
      </c>
      <c r="S71" s="113">
        <f t="shared" ca="1" si="15"/>
        <v>2654.1453329743767</v>
      </c>
    </row>
    <row r="72" spans="1:19">
      <c r="A72" s="94" t="s">
        <v>1195</v>
      </c>
      <c r="B72" s="94"/>
      <c r="C72" s="94"/>
      <c r="D72" s="114">
        <f t="shared" ref="D72:S72" ca="1" si="16">IFERROR(D71/D54,0)</f>
        <v>0.63452310273619006</v>
      </c>
      <c r="E72" s="114">
        <f t="shared" ca="1" si="16"/>
        <v>0.56222090261282665</v>
      </c>
      <c r="F72" s="114">
        <f t="shared" ca="1" si="16"/>
        <v>0.52327669046856307</v>
      </c>
      <c r="G72" s="114">
        <f t="shared" ca="1" si="16"/>
        <v>0.52179676881789117</v>
      </c>
      <c r="H72" s="114">
        <f t="shared" ca="1" si="16"/>
        <v>0.5198628521303027</v>
      </c>
      <c r="I72" s="114">
        <f t="shared" ca="1" si="16"/>
        <v>0.51810896782697258</v>
      </c>
      <c r="J72" s="114">
        <f t="shared" ca="1" si="16"/>
        <v>0.52006692915663766</v>
      </c>
      <c r="K72" s="114">
        <f t="shared" ca="1" si="16"/>
        <v>0.45372619171704087</v>
      </c>
      <c r="L72" s="114">
        <f t="shared" ca="1" si="16"/>
        <v>0.42075624114282917</v>
      </c>
      <c r="M72" s="114">
        <f t="shared" ca="1" si="16"/>
        <v>0.38686978967160424</v>
      </c>
      <c r="N72" s="114">
        <f t="shared" ca="1" si="16"/>
        <v>0.35200860053013522</v>
      </c>
      <c r="O72" s="114">
        <f t="shared" ca="1" si="16"/>
        <v>0.31554874261076199</v>
      </c>
      <c r="P72" s="114">
        <f t="shared" ca="1" si="16"/>
        <v>0.27692809939134611</v>
      </c>
      <c r="Q72" s="114">
        <f t="shared" ca="1" si="16"/>
        <v>0.23573153438265401</v>
      </c>
      <c r="R72" s="114">
        <f t="shared" ca="1" si="16"/>
        <v>0.19164639923085586</v>
      </c>
      <c r="S72" s="114">
        <f t="shared" ca="1" si="16"/>
        <v>0.76532856187687492</v>
      </c>
    </row>
    <row r="73" spans="1:1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13" t="s">
        <v>1196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>
      <c r="A75" s="5" t="s">
        <v>1197</v>
      </c>
      <c r="B75" s="3"/>
      <c r="C75" s="3"/>
      <c r="D75" s="70">
        <f ca="1">MIN(SUM($D82:D82)/INDEX(Assumptions!$B:$B,MATCH("Asset life L: Customer Launch F9 (years)",Assumptions!$A$1:$A$257,0)), SUM($D82:D82)-SUM(C$75:$D75))</f>
        <v>4.4615384615384617</v>
      </c>
      <c r="E75" s="70">
        <f ca="1">MIN(SUM($D82:E82)/INDEX(Assumptions!$B:$B,MATCH("Asset life L: Customer Launch F9 (years)",Assumptions!$A$1:$A$257,0)), SUM($D82:E82)-SUM(D$75:$D75))</f>
        <v>15.585862785862787</v>
      </c>
      <c r="F75" s="70">
        <f ca="1">MIN(SUM($D82:F82)/INDEX(Assumptions!$B:$B,MATCH("Asset life L: Customer Launch F9 (years)",Assumptions!$A$1:$A$257,0)), SUM($D82:F82)-SUM($D$75:E75))</f>
        <v>40.796362785862783</v>
      </c>
      <c r="G75" s="70">
        <f ca="1">MIN(SUM($D82:G82)/INDEX(Assumptions!$B:$B,MATCH("Asset life L: Customer Launch F9 (years)",Assumptions!$A$1:$A$257,0)), SUM($D82:G82)-SUM($D$75:F75))</f>
        <v>61.973182785862782</v>
      </c>
      <c r="H75" s="70">
        <f ca="1">MIN(SUM($D82:H82)/INDEX(Assumptions!$B:$B,MATCH("Asset life L: Customer Launch F9 (years)",Assumptions!$A$1:$A$257,0)), SUM($D82:H82)-SUM($D$75:G75))</f>
        <v>79.267585785862778</v>
      </c>
      <c r="I75" s="70">
        <f ca="1">MIN(SUM($D82:I82)/INDEX(Assumptions!$B:$B,MATCH("Asset life L: Customer Launch F9 (years)",Assumptions!$A$1:$A$257,0)), SUM($D82:I82)-SUM($D$75:H75))</f>
        <v>92.826397737862777</v>
      </c>
      <c r="J75" s="70">
        <f ca="1">MIN(SUM($D82:J82)/INDEX(Assumptions!$B:$B,MATCH("Asset life L: Customer Launch F9 (years)",Assumptions!$A$1:$A$257,0)), SUM($D82:J82)-SUM($D$75:I75))</f>
        <v>102.79212452258278</v>
      </c>
      <c r="K75" s="70">
        <f ca="1">MIN(SUM($D82:K82)/INDEX(Assumptions!$B:$B,MATCH("Asset life L: Customer Launch F9 (years)",Assumptions!$A$1:$A$257,0)), SUM($D82:K82)-SUM($D$75:J75))</f>
        <v>109.30306602193318</v>
      </c>
      <c r="L75" s="70">
        <f ca="1">MIN(SUM($D82:L82)/INDEX(Assumptions!$B:$B,MATCH("Asset life L: Customer Launch F9 (years)",Assumptions!$A$1:$A$257,0)), SUM($D82:L82)-SUM($D$75:K75))</f>
        <v>112.49342735661487</v>
      </c>
      <c r="M75" s="70">
        <f ca="1">MIN(SUM($D82:M82)/INDEX(Assumptions!$B:$B,MATCH("Asset life L: Customer Launch F9 (years)",Assumptions!$A$1:$A$257,0)), SUM($D82:M82)-SUM($D$75:L75))</f>
        <v>112.49342735661487</v>
      </c>
      <c r="N75" s="70">
        <f ca="1">MIN(SUM($D82:N82)/INDEX(Assumptions!$B:$B,MATCH("Asset life L: Customer Launch F9 (years)",Assumptions!$A$1:$A$257,0)), SUM($D82:N82)-SUM($D$75:M75))</f>
        <v>112.49342735661487</v>
      </c>
      <c r="O75" s="70">
        <f ca="1">MIN(SUM($D82:O82)/INDEX(Assumptions!$B:$B,MATCH("Asset life L: Customer Launch F9 (years)",Assumptions!$A$1:$A$257,0)), SUM($D82:O82)-SUM($D$75:N75))</f>
        <v>55.461015895705941</v>
      </c>
      <c r="P75" s="70">
        <f ca="1">MIN(SUM($D82:P82)/INDEX(Assumptions!$B:$B,MATCH("Asset life L: Customer Launch F9 (years)",Assumptions!$A$1:$A$257,0)), SUM($D82:P82)-SUM($D$75:O75))</f>
        <v>0</v>
      </c>
      <c r="Q75" s="70">
        <f ca="1">MIN(SUM($D82:Q82)/INDEX(Assumptions!$B:$B,MATCH("Asset life L: Customer Launch F9 (years)",Assumptions!$A$1:$A$257,0)), SUM($D82:Q82)-SUM($D$75:P75))</f>
        <v>0</v>
      </c>
      <c r="R75" s="70">
        <f ca="1">MIN(SUM($D82:R82)/INDEX(Assumptions!$B:$B,MATCH("Asset life L: Customer Launch F9 (years)",Assumptions!$A$1:$A$257,0)), SUM($D82:R82)-SUM($D$75:Q75))</f>
        <v>0</v>
      </c>
      <c r="S75" s="70">
        <f ca="1">MIN(SUM($D82:S82)/INDEX(Assumptions!$B:$B,MATCH("Asset life L: Customer Launch F9 (years)",Assumptions!$A$1:$A$257,0)), SUM($D82:S82)-SUM($D$75:R75))</f>
        <v>0</v>
      </c>
    </row>
    <row r="76" spans="1:19">
      <c r="A76" s="5" t="s">
        <v>1198</v>
      </c>
      <c r="B76" s="3"/>
      <c r="C76" s="3"/>
      <c r="D76" s="70">
        <f ca="1">MIN(SUM($D83:D83)/INDEX(Assumptions!$B:$B,MATCH("Asset life L: Customer Launch Starship (years)",Assumptions!$A$1:$A$257,0)), SUM($D83:D83)-SUM(C$76:$D76))</f>
        <v>0</v>
      </c>
      <c r="E76" s="70">
        <f ca="1">MIN(SUM($D83:E83)/INDEX(Assumptions!$B:$B,MATCH("Asset life L: Customer Launch Starship (years)",Assumptions!$A$1:$A$257,0)), SUM($D83:E83)-SUM(D$76:$D76))</f>
        <v>0</v>
      </c>
      <c r="F76" s="70">
        <f ca="1">MIN(SUM($D83:F83)/INDEX(Assumptions!$B:$B,MATCH("Asset life L: Customer Launch Starship (years)",Assumptions!$A$1:$A$257,0)), SUM($D83:F83)-SUM($D$76:E76))</f>
        <v>0</v>
      </c>
      <c r="G76" s="70">
        <f ca="1">MIN(SUM($D83:G83)/INDEX(Assumptions!$B:$B,MATCH("Asset life L: Customer Launch Starship (years)",Assumptions!$A$1:$A$257,0)), SUM($D83:G83)-SUM($D$76:F76))</f>
        <v>0</v>
      </c>
      <c r="H76" s="70">
        <f ca="1">MIN(SUM($D83:H83)/INDEX(Assumptions!$B:$B,MATCH("Asset life L: Customer Launch Starship (years)",Assumptions!$A$1:$A$257,0)), SUM($D83:H83)-SUM($D$76:G76))</f>
        <v>3.4261092476748772E-14</v>
      </c>
      <c r="I76" s="70">
        <f ca="1">MIN(SUM($D83:I83)/INDEX(Assumptions!$B:$B,MATCH("Asset life L: Customer Launch Starship (years)",Assumptions!$A$1:$A$257,0)), SUM($D83:I83)-SUM($D$76:H76))</f>
        <v>7.6841521239363069E-14</v>
      </c>
      <c r="J76" s="70">
        <f ca="1">MIN(SUM($D83:J83)/INDEX(Assumptions!$B:$B,MATCH("Asset life L: Customer Launch Starship (years)",Assumptions!$A$1:$A$257,0)), SUM($D83:J83)-SUM($D$76:I76))</f>
        <v>7.6841521239363069E-14</v>
      </c>
      <c r="K76" s="70">
        <f ca="1">MIN(SUM($D83:K83)/INDEX(Assumptions!$B:$B,MATCH("Asset life L: Customer Launch Starship (years)",Assumptions!$A$1:$A$257,0)), SUM($D83:K83)-SUM($D$76:J76))</f>
        <v>44.215846120932845</v>
      </c>
      <c r="L76" s="70">
        <f ca="1">MIN(SUM($D83:L83)/INDEX(Assumptions!$B:$B,MATCH("Asset life L: Customer Launch Starship (years)",Assumptions!$A$1:$A$257,0)), SUM($D83:L83)-SUM($D$76:K76))</f>
        <v>101.13519028770301</v>
      </c>
      <c r="M76" s="70">
        <f ca="1">MIN(SUM($D83:M83)/INDEX(Assumptions!$B:$B,MATCH("Asset life L: Customer Launch Starship (years)",Assumptions!$A$1:$A$257,0)), SUM($D83:M83)-SUM($D$76:L76))</f>
        <v>129.62122458911176</v>
      </c>
      <c r="N76" s="70">
        <f ca="1">MIN(SUM($D83:N83)/INDEX(Assumptions!$B:$B,MATCH("Asset life L: Customer Launch Starship (years)",Assumptions!$A$1:$A$257,0)), SUM($D83:N83)-SUM($D$76:M76))</f>
        <v>155.89169098002958</v>
      </c>
      <c r="O76" s="70">
        <f ca="1">MIN(SUM($D83:O83)/INDEX(Assumptions!$B:$B,MATCH("Asset life L: Customer Launch Starship (years)",Assumptions!$A$1:$A$257,0)), SUM($D83:O83)-SUM($D$76:N76))</f>
        <v>181.61860648179606</v>
      </c>
      <c r="P76" s="70">
        <f ca="1">MIN(SUM($D83:P83)/INDEX(Assumptions!$B:$B,MATCH("Asset life L: Customer Launch Starship (years)",Assumptions!$A$1:$A$257,0)), SUM($D83:P83)-SUM($D$76:O76))</f>
        <v>190.69129286498617</v>
      </c>
      <c r="Q76" s="70">
        <f ca="1">MIN(SUM($D83:Q83)/INDEX(Assumptions!$B:$B,MATCH("Asset life L: Customer Launch Starship (years)",Assumptions!$A$1:$A$257,0)), SUM($D83:Q83)-SUM($D$76:P76))</f>
        <v>206.78216208755362</v>
      </c>
      <c r="R76" s="70">
        <f ca="1">MIN(SUM($D83:R83)/INDEX(Assumptions!$B:$B,MATCH("Asset life L: Customer Launch Starship (years)",Assumptions!$A$1:$A$257,0)), SUM($D83:R83)-SUM($D$76:Q76))</f>
        <v>237.31979156904237</v>
      </c>
      <c r="S76" s="70">
        <f ca="1">MIN(SUM($D83:S83)/INDEX(Assumptions!$B:$B,MATCH("Asset life L: Customer Launch Starship (years)",Assumptions!$A$1:$A$257,0)), SUM($D83:S83)-SUM($D$76:R76))</f>
        <v>237.31979156904237</v>
      </c>
    </row>
    <row r="77" spans="1:19">
      <c r="A77" s="5" t="s">
        <v>1199</v>
      </c>
      <c r="B77" s="3"/>
      <c r="C77" s="3"/>
      <c r="D77" s="29">
        <f t="shared" ref="D77:S77" ca="1" si="17">D32</f>
        <v>25</v>
      </c>
      <c r="E77" s="29">
        <f t="shared" ca="1" si="17"/>
        <v>50</v>
      </c>
      <c r="F77" s="29">
        <f t="shared" ca="1" si="17"/>
        <v>62.5</v>
      </c>
      <c r="G77" s="29">
        <f t="shared" ca="1" si="17"/>
        <v>78.213333333333338</v>
      </c>
      <c r="H77" s="29">
        <f t="shared" ca="1" si="17"/>
        <v>114.61333333333333</v>
      </c>
      <c r="I77" s="29">
        <f t="shared" ca="1" si="17"/>
        <v>151.01333333333332</v>
      </c>
      <c r="J77" s="29">
        <f t="shared" ca="1" si="17"/>
        <v>167.41333333333333</v>
      </c>
      <c r="K77" s="29">
        <f t="shared" ca="1" si="17"/>
        <v>219.91333333333333</v>
      </c>
      <c r="L77" s="29">
        <f t="shared" ca="1" si="17"/>
        <v>232.41333333333333</v>
      </c>
      <c r="M77" s="29">
        <f t="shared" ca="1" si="17"/>
        <v>258.24666666666667</v>
      </c>
      <c r="N77" s="29">
        <f t="shared" ca="1" si="17"/>
        <v>290.74666666666667</v>
      </c>
      <c r="O77" s="29">
        <f t="shared" ca="1" si="17"/>
        <v>349.9133333333333</v>
      </c>
      <c r="P77" s="29">
        <f t="shared" ca="1" si="17"/>
        <v>362.4133333333333</v>
      </c>
      <c r="Q77" s="29">
        <f t="shared" ca="1" si="17"/>
        <v>374.9133333333333</v>
      </c>
      <c r="R77" s="29">
        <f t="shared" ca="1" si="17"/>
        <v>387.4133333333333</v>
      </c>
      <c r="S77" s="29">
        <f t="shared" ca="1" si="17"/>
        <v>399.9133333333333</v>
      </c>
    </row>
    <row r="78" spans="1:19">
      <c r="A78" s="78" t="s">
        <v>1200</v>
      </c>
      <c r="B78" s="78"/>
      <c r="C78" s="78"/>
      <c r="D78" s="81">
        <f t="shared" ref="D78:S78" ca="1" si="18">D75+D76+D77</f>
        <v>29.46153846153846</v>
      </c>
      <c r="E78" s="81">
        <f t="shared" ca="1" si="18"/>
        <v>65.585862785862787</v>
      </c>
      <c r="F78" s="81">
        <f t="shared" ca="1" si="18"/>
        <v>103.29636278586278</v>
      </c>
      <c r="G78" s="81">
        <f t="shared" ca="1" si="18"/>
        <v>140.18651611919611</v>
      </c>
      <c r="H78" s="81">
        <f t="shared" ca="1" si="18"/>
        <v>193.88091911919614</v>
      </c>
      <c r="I78" s="81">
        <f t="shared" ca="1" si="18"/>
        <v>243.83973107119618</v>
      </c>
      <c r="J78" s="81">
        <f t="shared" ca="1" si="18"/>
        <v>270.20545785591617</v>
      </c>
      <c r="K78" s="81">
        <f t="shared" ca="1" si="18"/>
        <v>373.43224547619934</v>
      </c>
      <c r="L78" s="81">
        <f t="shared" ca="1" si="18"/>
        <v>446.04195097765125</v>
      </c>
      <c r="M78" s="81">
        <f t="shared" ca="1" si="18"/>
        <v>500.36131861239329</v>
      </c>
      <c r="N78" s="81">
        <f t="shared" ca="1" si="18"/>
        <v>559.13178500331105</v>
      </c>
      <c r="O78" s="81">
        <f t="shared" ca="1" si="18"/>
        <v>586.9929557108353</v>
      </c>
      <c r="P78" s="81">
        <f t="shared" ca="1" si="18"/>
        <v>553.10462619831947</v>
      </c>
      <c r="Q78" s="81">
        <f t="shared" ca="1" si="18"/>
        <v>581.69549542088691</v>
      </c>
      <c r="R78" s="81">
        <f t="shared" ca="1" si="18"/>
        <v>624.73312490237572</v>
      </c>
      <c r="S78" s="81">
        <f t="shared" ca="1" si="18"/>
        <v>637.23312490237572</v>
      </c>
    </row>
    <row r="79" spans="1:19">
      <c r="A79" s="78" t="s">
        <v>1201</v>
      </c>
      <c r="B79" s="78"/>
      <c r="C79" s="78"/>
      <c r="D79" s="81">
        <f t="shared" ref="D79:S79" ca="1" si="19">D71-D78</f>
        <v>1937.0524615384616</v>
      </c>
      <c r="E79" s="81">
        <f t="shared" ca="1" si="19"/>
        <v>3413.8306372141369</v>
      </c>
      <c r="F79" s="81">
        <f t="shared" ca="1" si="19"/>
        <v>6508.6096911156119</v>
      </c>
      <c r="G79" s="81">
        <f t="shared" ca="1" si="19"/>
        <v>7040.404311016734</v>
      </c>
      <c r="H79" s="81">
        <f t="shared" ca="1" si="19"/>
        <v>7701.9129968210555</v>
      </c>
      <c r="I79" s="81">
        <f t="shared" ca="1" si="19"/>
        <v>8420.5924706319347</v>
      </c>
      <c r="J79" s="81">
        <f t="shared" ca="1" si="19"/>
        <v>8391.5843539323632</v>
      </c>
      <c r="K79" s="81">
        <f t="shared" ca="1" si="19"/>
        <v>10368.709691915894</v>
      </c>
      <c r="L79" s="81">
        <f t="shared" ca="1" si="19"/>
        <v>9645.7376251584574</v>
      </c>
      <c r="M79" s="81">
        <f t="shared" ca="1" si="19"/>
        <v>8759.8230681355035</v>
      </c>
      <c r="N79" s="81">
        <f t="shared" ca="1" si="19"/>
        <v>7812.4147463887575</v>
      </c>
      <c r="O79" s="81">
        <f t="shared" ca="1" si="19"/>
        <v>6864.8263651556899</v>
      </c>
      <c r="P79" s="81">
        <f t="shared" ca="1" si="19"/>
        <v>5944.0092679616928</v>
      </c>
      <c r="Q79" s="81">
        <f t="shared" ca="1" si="19"/>
        <v>4916.7642438302682</v>
      </c>
      <c r="R79" s="81">
        <f t="shared" ca="1" si="19"/>
        <v>3822.7327187954033</v>
      </c>
      <c r="S79" s="81">
        <f t="shared" ca="1" si="19"/>
        <v>2016.912208072001</v>
      </c>
    </row>
    <row r="80" spans="1:1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13" t="s">
        <v>1202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>
      <c r="A82" s="5" t="s">
        <v>1203</v>
      </c>
      <c r="B82" s="3"/>
      <c r="C82" s="3"/>
      <c r="D82" s="18">
        <f t="array" aca="1" ref="D82" ca="1">IFERROR(D131/INDEX('Vehicle Build'!$D:$AC,MATCH("Memo: Total F9 launches (internal + customer)",'Vehicle Build'!$A$1:$A$119,0),D$5+1),0)*INDEX('Vehicle Build'!$D:$AC,MATCH("F9 boosters built per year",'Vehicle Build'!$A$1:$A$119,0),D$5+1)*INDEX(Assumptions!$B:$B,MATCH("F9 booster (1st stage) mfg cost ($mm/unit)",Assumptions!$A$1:$A$257,0))*(1-INDEX(Assumptions!$B:$B,MATCH("F9 Wright's Law mfg learning rate",Assumptions!$A$1:$A$257,0)))^D$5</f>
        <v>35.692307692307693</v>
      </c>
      <c r="E82" s="18">
        <f t="array" aca="1" ref="E82" ca="1">IFERROR(E131/INDEX('Vehicle Build'!$D:$AC,MATCH("Memo: Total F9 launches (internal + customer)",'Vehicle Build'!$A$1:$A$119,0),E$5+1),0)*INDEX('Vehicle Build'!$D:$AC,MATCH("F9 boosters built per year",'Vehicle Build'!$A$1:$A$119,0),E$5+1)*INDEX(Assumptions!$B:$B,MATCH("F9 booster (1st stage) mfg cost ($mm/unit)",Assumptions!$A$1:$A$257,0))*(1-INDEX(Assumptions!$B:$B,MATCH("F9 Wright's Law mfg learning rate",Assumptions!$A$1:$A$257,0)))^E$5</f>
        <v>88.994594594594602</v>
      </c>
      <c r="F82" s="18">
        <f t="array" aca="1" ref="F82" ca="1">IFERROR(F131/INDEX('Vehicle Build'!$D:$AC,MATCH("Memo: Total F9 launches (internal + customer)",'Vehicle Build'!$A$1:$A$119,0),F$5+1),0)*INDEX('Vehicle Build'!$D:$AC,MATCH("F9 boosters built per year",'Vehicle Build'!$A$1:$A$119,0),F$5+1)*INDEX(Assumptions!$B:$B,MATCH("F9 booster (1st stage) mfg cost ($mm/unit)",Assumptions!$A$1:$A$257,0))*(1-INDEX(Assumptions!$B:$B,MATCH("F9 Wright's Law mfg learning rate",Assumptions!$A$1:$A$257,0)))^F$5</f>
        <v>201.68399999999997</v>
      </c>
      <c r="G82" s="18">
        <f t="array" aca="1" ref="G82" ca="1">IFERROR(G131/INDEX('Vehicle Build'!$D:$AC,MATCH("Memo: Total F9 launches (internal + customer)",'Vehicle Build'!$A$1:$A$119,0),G$5+1),0)*INDEX('Vehicle Build'!$D:$AC,MATCH("F9 boosters built per year",'Vehicle Build'!$A$1:$A$119,0),G$5+1)*INDEX(Assumptions!$B:$B,MATCH("F9 booster (1st stage) mfg cost ($mm/unit)",Assumptions!$A$1:$A$257,0))*(1-INDEX(Assumptions!$B:$B,MATCH("F9 Wright's Law mfg learning rate",Assumptions!$A$1:$A$257,0)))^G$5</f>
        <v>169.41455999999999</v>
      </c>
      <c r="H82" s="18">
        <f t="array" aca="1" ref="H82" ca="1">IFERROR(H131/INDEX('Vehicle Build'!$D:$AC,MATCH("Memo: Total F9 launches (internal + customer)",'Vehicle Build'!$A$1:$A$119,0),H$5+1),0)*INDEX('Vehicle Build'!$D:$AC,MATCH("F9 boosters built per year",'Vehicle Build'!$A$1:$A$119,0),H$5+1)*INDEX(Assumptions!$B:$B,MATCH("F9 booster (1st stage) mfg cost ($mm/unit)",Assumptions!$A$1:$A$257,0))*(1-INDEX(Assumptions!$B:$B,MATCH("F9 Wright's Law mfg learning rate",Assumptions!$A$1:$A$257,0)))^H$5</f>
        <v>138.35522399999999</v>
      </c>
      <c r="I82" s="18">
        <f t="array" aca="1" ref="I82" ca="1">IFERROR(I131/INDEX('Vehicle Build'!$D:$AC,MATCH("Memo: Total F9 launches (internal + customer)",'Vehicle Build'!$A$1:$A$119,0),I$5+1),0)*INDEX('Vehicle Build'!$D:$AC,MATCH("F9 boosters built per year",'Vehicle Build'!$A$1:$A$119,0),I$5+1)*INDEX(Assumptions!$B:$B,MATCH("F9 booster (1st stage) mfg cost ($mm/unit)",Assumptions!$A$1:$A$257,0))*(1-INDEX(Assumptions!$B:$B,MATCH("F9 Wright's Law mfg learning rate",Assumptions!$A$1:$A$257,0)))^I$5</f>
        <v>108.47049561599998</v>
      </c>
      <c r="J82" s="18">
        <f t="array" aca="1" ref="J82" ca="1">IFERROR(J131/INDEX('Vehicle Build'!$D:$AC,MATCH("Memo: Total F9 launches (internal + customer)",'Vehicle Build'!$A$1:$A$119,0),J$5+1),0)*INDEX('Vehicle Build'!$D:$AC,MATCH("F9 boosters built per year",'Vehicle Build'!$A$1:$A$119,0),J$5+1)*INDEX(Assumptions!$B:$B,MATCH("F9 booster (1st stage) mfg cost ($mm/unit)",Assumptions!$A$1:$A$257,0))*(1-INDEX(Assumptions!$B:$B,MATCH("F9 Wright's Law mfg learning rate",Assumptions!$A$1:$A$257,0)))^J$5</f>
        <v>79.72581427775998</v>
      </c>
      <c r="K82" s="18">
        <f t="array" aca="1" ref="K82" ca="1">IFERROR(K131/INDEX('Vehicle Build'!$D:$AC,MATCH("Memo: Total F9 launches (internal + customer)",'Vehicle Build'!$A$1:$A$119,0),K$5+1),0)*INDEX('Vehicle Build'!$D:$AC,MATCH("F9 boosters built per year",'Vehicle Build'!$A$1:$A$119,0),K$5+1)*INDEX(Assumptions!$B:$B,MATCH("F9 booster (1st stage) mfg cost ($mm/unit)",Assumptions!$A$1:$A$257,0))*(1-INDEX(Assumptions!$B:$B,MATCH("F9 Wright's Law mfg learning rate",Assumptions!$A$1:$A$257,0)))^K$5</f>
        <v>52.087531994803186</v>
      </c>
      <c r="L82" s="18">
        <f t="array" aca="1" ref="L82" ca="1">IFERROR(L131/INDEX('Vehicle Build'!$D:$AC,MATCH("Memo: Total F9 launches (internal + customer)",'Vehicle Build'!$A$1:$A$119,0),L$5+1),0)*INDEX('Vehicle Build'!$D:$AC,MATCH("F9 boosters built per year",'Vehicle Build'!$A$1:$A$119,0),L$5+1)*INDEX(Assumptions!$B:$B,MATCH("F9 booster (1st stage) mfg cost ($mm/unit)",Assumptions!$A$1:$A$257,0))*(1-INDEX(Assumptions!$B:$B,MATCH("F9 Wright's Law mfg learning rate",Assumptions!$A$1:$A$257,0)))^L$5</f>
        <v>25.52289067745356</v>
      </c>
      <c r="M82" s="18">
        <f t="array" aca="1" ref="M82" ca="1">IFERROR(M131/INDEX('Vehicle Build'!$D:$AC,MATCH("Memo: Total F9 launches (internal + customer)",'Vehicle Build'!$A$1:$A$119,0),M$5+1),0)*INDEX('Vehicle Build'!$D:$AC,MATCH("F9 boosters built per year",'Vehicle Build'!$A$1:$A$119,0),M$5+1)*INDEX(Assumptions!$B:$B,MATCH("F9 booster (1st stage) mfg cost ($mm/unit)",Assumptions!$A$1:$A$257,0))*(1-INDEX(Assumptions!$B:$B,MATCH("F9 Wright's Law mfg learning rate",Assumptions!$A$1:$A$257,0)))^M$5</f>
        <v>0</v>
      </c>
      <c r="N82" s="18">
        <f t="array" aca="1" ref="N82" ca="1">IFERROR(N131/INDEX('Vehicle Build'!$D:$AC,MATCH("Memo: Total F9 launches (internal + customer)",'Vehicle Build'!$A$1:$A$119,0),N$5+1),0)*INDEX('Vehicle Build'!$D:$AC,MATCH("F9 boosters built per year",'Vehicle Build'!$A$1:$A$119,0),N$5+1)*INDEX(Assumptions!$B:$B,MATCH("F9 booster (1st stage) mfg cost ($mm/unit)",Assumptions!$A$1:$A$257,0))*(1-INDEX(Assumptions!$B:$B,MATCH("F9 Wright's Law mfg learning rate",Assumptions!$A$1:$A$257,0)))^N$5</f>
        <v>0</v>
      </c>
      <c r="O82" s="18">
        <f t="array" aca="1" ref="O82" ca="1">IFERROR(O131/INDEX('Vehicle Build'!$D:$AC,MATCH("Memo: Total F9 launches (internal + customer)",'Vehicle Build'!$A$1:$A$119,0),O$5+1),0)*INDEX('Vehicle Build'!$D:$AC,MATCH("F9 boosters built per year",'Vehicle Build'!$A$1:$A$119,0),O$5+1)*INDEX(Assumptions!$B:$B,MATCH("F9 booster (1st stage) mfg cost ($mm/unit)",Assumptions!$A$1:$A$257,0))*(1-INDEX(Assumptions!$B:$B,MATCH("F9 Wright's Law mfg learning rate",Assumptions!$A$1:$A$257,0)))^O$5</f>
        <v>0</v>
      </c>
      <c r="P82" s="18">
        <f t="array" aca="1" ref="P82" ca="1">IFERROR(P131/INDEX('Vehicle Build'!$D:$AC,MATCH("Memo: Total F9 launches (internal + customer)",'Vehicle Build'!$A$1:$A$119,0),P$5+1),0)*INDEX('Vehicle Build'!$D:$AC,MATCH("F9 boosters built per year",'Vehicle Build'!$A$1:$A$119,0),P$5+1)*INDEX(Assumptions!$B:$B,MATCH("F9 booster (1st stage) mfg cost ($mm/unit)",Assumptions!$A$1:$A$257,0))*(1-INDEX(Assumptions!$B:$B,MATCH("F9 Wright's Law mfg learning rate",Assumptions!$A$1:$A$257,0)))^P$5</f>
        <v>0</v>
      </c>
      <c r="Q82" s="18">
        <f t="array" aca="1" ref="Q82" ca="1">IFERROR(Q131/INDEX('Vehicle Build'!$D:$AC,MATCH("Memo: Total F9 launches (internal + customer)",'Vehicle Build'!$A$1:$A$119,0),Q$5+1),0)*INDEX('Vehicle Build'!$D:$AC,MATCH("F9 boosters built per year",'Vehicle Build'!$A$1:$A$119,0),Q$5+1)*INDEX(Assumptions!$B:$B,MATCH("F9 booster (1st stage) mfg cost ($mm/unit)",Assumptions!$A$1:$A$257,0))*(1-INDEX(Assumptions!$B:$B,MATCH("F9 Wright's Law mfg learning rate",Assumptions!$A$1:$A$257,0)))^Q$5</f>
        <v>0</v>
      </c>
      <c r="R82" s="18">
        <f t="array" aca="1" ref="R82" ca="1">IFERROR(R131/INDEX('Vehicle Build'!$D:$AC,MATCH("Memo: Total F9 launches (internal + customer)",'Vehicle Build'!$A$1:$A$119,0),R$5+1),0)*INDEX('Vehicle Build'!$D:$AC,MATCH("F9 boosters built per year",'Vehicle Build'!$A$1:$A$119,0),R$5+1)*INDEX(Assumptions!$B:$B,MATCH("F9 booster (1st stage) mfg cost ($mm/unit)",Assumptions!$A$1:$A$257,0))*(1-INDEX(Assumptions!$B:$B,MATCH("F9 Wright's Law mfg learning rate",Assumptions!$A$1:$A$257,0)))^R$5</f>
        <v>0</v>
      </c>
      <c r="S82" s="18">
        <f t="array" aca="1" ref="S82" ca="1">IFERROR(S131/INDEX('Vehicle Build'!$D:$AC,MATCH("Memo: Total F9 launches (internal + customer)",'Vehicle Build'!$A$1:$A$119,0),S$5+1),0)*INDEX('Vehicle Build'!$D:$AC,MATCH("F9 boosters built per year",'Vehicle Build'!$A$1:$A$119,0),S$5+1)*INDEX(Assumptions!$B:$B,MATCH("F9 booster (1st stage) mfg cost ($mm/unit)",Assumptions!$A$1:$A$257,0))*(1-INDEX(Assumptions!$B:$B,MATCH("F9 Wright's Law mfg learning rate",Assumptions!$A$1:$A$257,0)))^S$5</f>
        <v>0</v>
      </c>
    </row>
    <row r="83" spans="1:19">
      <c r="A83" s="5" t="s">
        <v>1204</v>
      </c>
      <c r="B83" s="3"/>
      <c r="C83" s="3"/>
      <c r="D83" s="18">
        <f t="array" aca="1" ref="D83" ca="1">IFERROR(D47/INDEX('Vehicle Build'!$D:$AC,MATCH("Starship launches per year",'Vehicle Build'!$A$1:$A$119,0),D$5+1),0)*INDEX('Vehicle Build'!$D:$AC,MATCH("Total Starship build CapEx ($mm)",'Vehicle Build'!$A$1:$A$119,0),D$5+1)</f>
        <v>0</v>
      </c>
      <c r="E83" s="18">
        <f t="array" aca="1" ref="E83" ca="1">IFERROR(E47/INDEX('Vehicle Build'!$D:$AC,MATCH("Starship launches per year",'Vehicle Build'!$A$1:$A$119,0),E$5+1),0)*INDEX('Vehicle Build'!$D:$AC,MATCH("Total Starship build CapEx ($mm)",'Vehicle Build'!$A$1:$A$119,0),E$5+1)</f>
        <v>0</v>
      </c>
      <c r="F83" s="18">
        <f t="array" aca="1" ref="F83" ca="1">IFERROR(F47/INDEX('Vehicle Build'!$D:$AC,MATCH("Starship launches per year",'Vehicle Build'!$A$1:$A$119,0),F$5+1),0)*INDEX('Vehicle Build'!$D:$AC,MATCH("Total Starship build CapEx ($mm)",'Vehicle Build'!$A$1:$A$119,0),F$5+1)</f>
        <v>0</v>
      </c>
      <c r="G83" s="18">
        <f t="array" aca="1" ref="G83" ca="1">IFERROR(G47/INDEX('Vehicle Build'!$D:$AC,MATCH("Starship launches per year",'Vehicle Build'!$A$1:$A$119,0),G$5+1),0)*INDEX('Vehicle Build'!$D:$AC,MATCH("Total Starship build CapEx ($mm)",'Vehicle Build'!$A$1:$A$119,0),G$5+1)</f>
        <v>0</v>
      </c>
      <c r="H83" s="18">
        <f t="array" aca="1" ref="H83" ca="1">IFERROR(H47/INDEX('Vehicle Build'!$D:$AC,MATCH("Starship launches per year",'Vehicle Build'!$A$1:$A$119,0),H$5+1),0)*INDEX('Vehicle Build'!$D:$AC,MATCH("Total Starship build CapEx ($mm)",'Vehicle Build'!$A$1:$A$119,0),H$5+1)</f>
        <v>2.7408873981399018E-13</v>
      </c>
      <c r="I83" s="18">
        <f t="array" aca="1" ref="I83" ca="1">IFERROR(I47/INDEX('Vehicle Build'!$D:$AC,MATCH("Starship launches per year",'Vehicle Build'!$A$1:$A$119,0),I$5+1),0)*INDEX('Vehicle Build'!$D:$AC,MATCH("Total Starship build CapEx ($mm)",'Vehicle Build'!$A$1:$A$119,0),I$5+1)</f>
        <v>3.4064343010091432E-13</v>
      </c>
      <c r="J83" s="18">
        <f t="array" aca="1" ref="J83" ca="1">IFERROR(J47/INDEX('Vehicle Build'!$D:$AC,MATCH("Starship launches per year",'Vehicle Build'!$A$1:$A$119,0),J$5+1),0)*INDEX('Vehicle Build'!$D:$AC,MATCH("Total Starship build CapEx ($mm)",'Vehicle Build'!$A$1:$A$119,0),J$5+1)</f>
        <v>0</v>
      </c>
      <c r="K83" s="18">
        <f t="array" aca="1" ref="K83" ca="1">IFERROR(K47/INDEX('Vehicle Build'!$D:$AC,MATCH("Starship launches per year",'Vehicle Build'!$A$1:$A$119,0),K$5+1),0)*INDEX('Vehicle Build'!$D:$AC,MATCH("Total Starship build CapEx ($mm)",'Vehicle Build'!$A$1:$A$119,0),K$5+1)</f>
        <v>353.72676896746214</v>
      </c>
      <c r="L83" s="18">
        <f t="array" aca="1" ref="L83" ca="1">IFERROR(L47/INDEX('Vehicle Build'!$D:$AC,MATCH("Starship launches per year",'Vehicle Build'!$A$1:$A$119,0),L$5+1),0)*INDEX('Vehicle Build'!$D:$AC,MATCH("Total Starship build CapEx ($mm)",'Vehicle Build'!$A$1:$A$119,0),L$5+1)</f>
        <v>455.35475333416139</v>
      </c>
      <c r="M83" s="18">
        <f t="array" aca="1" ref="M83" ca="1">IFERROR(M47/INDEX('Vehicle Build'!$D:$AC,MATCH("Starship launches per year",'Vehicle Build'!$A$1:$A$119,0),M$5+1),0)*INDEX('Vehicle Build'!$D:$AC,MATCH("Total Starship build CapEx ($mm)",'Vehicle Build'!$A$1:$A$119,0),M$5+1)</f>
        <v>227.88827441127</v>
      </c>
      <c r="N83" s="18">
        <f t="array" aca="1" ref="N83" ca="1">IFERROR(N47/INDEX('Vehicle Build'!$D:$AC,MATCH("Starship launches per year",'Vehicle Build'!$A$1:$A$119,0),N$5+1),0)*INDEX('Vehicle Build'!$D:$AC,MATCH("Total Starship build CapEx ($mm)",'Vehicle Build'!$A$1:$A$119,0),N$5+1)</f>
        <v>210.16373112734246</v>
      </c>
      <c r="O83" s="18">
        <f t="array" aca="1" ref="O83" ca="1">IFERROR(O47/INDEX('Vehicle Build'!$D:$AC,MATCH("Starship launches per year",'Vehicle Build'!$A$1:$A$119,0),O$5+1),0)*INDEX('Vehicle Build'!$D:$AC,MATCH("Total Starship build CapEx ($mm)",'Vehicle Build'!$A$1:$A$119,0),O$5+1)</f>
        <v>205.81532401413199</v>
      </c>
      <c r="P83" s="18">
        <f t="array" aca="1" ref="P83" ca="1">IFERROR(P47/INDEX('Vehicle Build'!$D:$AC,MATCH("Starship launches per year",'Vehicle Build'!$A$1:$A$119,0),P$5+1),0)*INDEX('Vehicle Build'!$D:$AC,MATCH("Total Starship build CapEx ($mm)",'Vehicle Build'!$A$1:$A$119,0),P$5+1)</f>
        <v>72.581491065520865</v>
      </c>
      <c r="Q83" s="18">
        <f t="array" aca="1" ref="Q83" ca="1">IFERROR(Q47/INDEX('Vehicle Build'!$D:$AC,MATCH("Starship launches per year",'Vehicle Build'!$A$1:$A$119,0),Q$5+1),0)*INDEX('Vehicle Build'!$D:$AC,MATCH("Total Starship build CapEx ($mm)",'Vehicle Build'!$A$1:$A$119,0),Q$5+1)</f>
        <v>128.72695378053956</v>
      </c>
      <c r="R83" s="18">
        <f t="array" aca="1" ref="R83" ca="1">IFERROR(R47/INDEX('Vehicle Build'!$D:$AC,MATCH("Starship launches per year",'Vehicle Build'!$A$1:$A$119,0),R$5+1),0)*INDEX('Vehicle Build'!$D:$AC,MATCH("Total Starship build CapEx ($mm)",'Vehicle Build'!$A$1:$A$119,0),R$5+1)</f>
        <v>244.30103585191009</v>
      </c>
      <c r="S83" s="18">
        <f t="array" aca="1" ref="S83" ca="1">IFERROR(S47/INDEX('Vehicle Build'!$D:$AC,MATCH("Starship launches per year",'Vehicle Build'!$A$1:$A$119,0),S$5+1),0)*INDEX('Vehicle Build'!$D:$AC,MATCH("Total Starship build CapEx ($mm)",'Vehicle Build'!$A$1:$A$119,0),S$5+1)</f>
        <v>0</v>
      </c>
    </row>
    <row r="84" spans="1:19">
      <c r="A84" s="5" t="s">
        <v>1205</v>
      </c>
      <c r="B84" s="3"/>
      <c r="C84" s="3"/>
      <c r="D84" s="29">
        <f t="shared" ref="D84:S84" ca="1" si="20">D31</f>
        <v>750</v>
      </c>
      <c r="E84" s="29">
        <f t="shared" ca="1" si="20"/>
        <v>750</v>
      </c>
      <c r="F84" s="29">
        <f t="shared" ca="1" si="20"/>
        <v>375</v>
      </c>
      <c r="G84" s="29">
        <f t="shared" ca="1" si="20"/>
        <v>471.4</v>
      </c>
      <c r="H84" s="29">
        <f t="shared" ca="1" si="20"/>
        <v>1092</v>
      </c>
      <c r="I84" s="29">
        <f t="shared" ca="1" si="20"/>
        <v>1092</v>
      </c>
      <c r="J84" s="29">
        <f t="shared" ca="1" si="20"/>
        <v>492</v>
      </c>
      <c r="K84" s="29">
        <f t="shared" ca="1" si="20"/>
        <v>1575</v>
      </c>
      <c r="L84" s="29">
        <f t="shared" ca="1" si="20"/>
        <v>375</v>
      </c>
      <c r="M84" s="29">
        <f t="shared" ca="1" si="20"/>
        <v>775</v>
      </c>
      <c r="N84" s="29">
        <f t="shared" ca="1" si="20"/>
        <v>975</v>
      </c>
      <c r="O84" s="29">
        <f t="shared" ca="1" si="20"/>
        <v>1775</v>
      </c>
      <c r="P84" s="29">
        <f t="shared" ca="1" si="20"/>
        <v>375</v>
      </c>
      <c r="Q84" s="29">
        <f t="shared" ca="1" si="20"/>
        <v>375</v>
      </c>
      <c r="R84" s="29">
        <f t="shared" ca="1" si="20"/>
        <v>375</v>
      </c>
      <c r="S84" s="29">
        <f t="shared" ca="1" si="20"/>
        <v>375</v>
      </c>
    </row>
    <row r="85" spans="1:19">
      <c r="A85" s="5" t="s">
        <v>1206</v>
      </c>
      <c r="B85" s="3"/>
      <c r="C85" s="3"/>
      <c r="D85" s="29">
        <f ca="1">0.02*D54</f>
        <v>61.983999999999995</v>
      </c>
      <c r="E85" s="29">
        <f t="shared" ref="E85:S85" ca="1" si="21">0.02*(E54-D54)</f>
        <v>61.79</v>
      </c>
      <c r="F85" s="29">
        <f t="shared" ca="1" si="21"/>
        <v>128.93765998167842</v>
      </c>
      <c r="G85" s="29">
        <f t="shared" ca="1" si="21"/>
        <v>22.513916573855241</v>
      </c>
      <c r="H85" s="29">
        <f t="shared" ca="1" si="21"/>
        <v>28.538921468694642</v>
      </c>
      <c r="I85" s="29">
        <f t="shared" ca="1" si="21"/>
        <v>30.699205163271838</v>
      </c>
      <c r="J85" s="29">
        <f t="shared" ca="1" si="21"/>
        <v>-1.3608148406251712</v>
      </c>
      <c r="K85" s="29">
        <f t="shared" ca="1" si="21"/>
        <v>140.40479683834607</v>
      </c>
      <c r="L85" s="29">
        <f t="shared" ca="1" si="21"/>
        <v>6.189516630514845</v>
      </c>
      <c r="M85" s="29">
        <f t="shared" ca="1" si="21"/>
        <v>-0.97362949397691412</v>
      </c>
      <c r="N85" s="29">
        <f t="shared" ca="1" si="21"/>
        <v>-3.0791409763728006</v>
      </c>
      <c r="O85" s="29">
        <f t="shared" ca="1" si="21"/>
        <v>-3.33582639185297</v>
      </c>
      <c r="P85" s="29">
        <f t="shared" ca="1" si="21"/>
        <v>-3.0811117204615583</v>
      </c>
      <c r="Q85" s="29">
        <f t="shared" ca="1" si="21"/>
        <v>-2.7256521746992806</v>
      </c>
      <c r="R85" s="29">
        <f t="shared" ca="1" si="21"/>
        <v>-2.3693698460754242</v>
      </c>
      <c r="S85" s="29">
        <f t="shared" ca="1" si="21"/>
        <v>-394.77284019407364</v>
      </c>
    </row>
    <row r="86" spans="1:19">
      <c r="A86" s="78" t="s">
        <v>1207</v>
      </c>
      <c r="B86" s="78"/>
      <c r="C86" s="78"/>
      <c r="D86" s="81">
        <f t="shared" ref="D86:S86" ca="1" si="22">SUM(D82:D85)</f>
        <v>847.67630769230777</v>
      </c>
      <c r="E86" s="81">
        <f t="shared" ca="1" si="22"/>
        <v>900.78459459459452</v>
      </c>
      <c r="F86" s="81">
        <f t="shared" ca="1" si="22"/>
        <v>705.62165998167836</v>
      </c>
      <c r="G86" s="81">
        <f t="shared" ca="1" si="22"/>
        <v>663.32847657385526</v>
      </c>
      <c r="H86" s="81">
        <f t="shared" ca="1" si="22"/>
        <v>1258.8941454686951</v>
      </c>
      <c r="I86" s="81">
        <f t="shared" ca="1" si="22"/>
        <v>1231.1697007792723</v>
      </c>
      <c r="J86" s="81">
        <f t="shared" ca="1" si="22"/>
        <v>570.36499943713488</v>
      </c>
      <c r="K86" s="81">
        <f t="shared" ca="1" si="22"/>
        <v>2121.2190978006115</v>
      </c>
      <c r="L86" s="81">
        <f t="shared" ca="1" si="22"/>
        <v>862.06716064212981</v>
      </c>
      <c r="M86" s="81">
        <f t="shared" ca="1" si="22"/>
        <v>1001.9146449172931</v>
      </c>
      <c r="N86" s="81">
        <f t="shared" ca="1" si="22"/>
        <v>1182.0845901509697</v>
      </c>
      <c r="O86" s="81">
        <f t="shared" ca="1" si="22"/>
        <v>1977.4794976222788</v>
      </c>
      <c r="P86" s="81">
        <f t="shared" ca="1" si="22"/>
        <v>444.50037934505934</v>
      </c>
      <c r="Q86" s="81">
        <f t="shared" ca="1" si="22"/>
        <v>501.0013016058403</v>
      </c>
      <c r="R86" s="81">
        <f t="shared" ca="1" si="22"/>
        <v>616.9316660058347</v>
      </c>
      <c r="S86" s="81">
        <f t="shared" ca="1" si="22"/>
        <v>-19.772840194073638</v>
      </c>
    </row>
    <row r="87" spans="1:19">
      <c r="A87" s="19" t="s">
        <v>1208</v>
      </c>
      <c r="B87" s="20"/>
      <c r="C87" s="20"/>
      <c r="D87" s="115">
        <f t="shared" ref="D87:S87" ca="1" si="23">D79+D78-D86</f>
        <v>1118.8376923076924</v>
      </c>
      <c r="E87" s="115">
        <f t="shared" ca="1" si="23"/>
        <v>2578.6319054054052</v>
      </c>
      <c r="F87" s="115">
        <f t="shared" ca="1" si="23"/>
        <v>5906.2843939197965</v>
      </c>
      <c r="G87" s="115">
        <f t="shared" ca="1" si="23"/>
        <v>6517.262350562075</v>
      </c>
      <c r="H87" s="115">
        <f t="shared" ca="1" si="23"/>
        <v>6636.8997704715566</v>
      </c>
      <c r="I87" s="115">
        <f t="shared" ca="1" si="23"/>
        <v>7433.2625009238582</v>
      </c>
      <c r="J87" s="115">
        <f t="shared" ca="1" si="23"/>
        <v>8091.4248123511443</v>
      </c>
      <c r="K87" s="115">
        <f t="shared" ca="1" si="23"/>
        <v>8620.9228395914815</v>
      </c>
      <c r="L87" s="115">
        <f t="shared" ca="1" si="23"/>
        <v>9229.7124154939793</v>
      </c>
      <c r="M87" s="115">
        <f t="shared" ca="1" si="23"/>
        <v>8258.2697418306034</v>
      </c>
      <c r="N87" s="115">
        <f t="shared" ca="1" si="23"/>
        <v>7189.4619412410993</v>
      </c>
      <c r="O87" s="115">
        <f t="shared" ca="1" si="23"/>
        <v>5474.3398232442469</v>
      </c>
      <c r="P87" s="115">
        <f t="shared" ca="1" si="23"/>
        <v>6052.6135148149524</v>
      </c>
      <c r="Q87" s="115">
        <f t="shared" ca="1" si="23"/>
        <v>4997.4584376453149</v>
      </c>
      <c r="R87" s="115">
        <f t="shared" ca="1" si="23"/>
        <v>3830.534177691944</v>
      </c>
      <c r="S87" s="115">
        <f t="shared" ca="1" si="23"/>
        <v>2673.9181731684503</v>
      </c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13" t="s">
        <v>1209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>
      <c r="A90" s="5" t="s">
        <v>1210</v>
      </c>
      <c r="B90" s="3"/>
      <c r="C90" s="3"/>
      <c r="D90" s="102">
        <f t="shared" ref="D90:S90" ca="1" si="24">D11*IFERROR(D42/D40,0)</f>
        <v>48.89846153846154</v>
      </c>
      <c r="E90" s="102">
        <f t="shared" ca="1" si="24"/>
        <v>124.4108108108108</v>
      </c>
      <c r="F90" s="102">
        <f t="shared" ca="1" si="24"/>
        <v>270.8841481255289</v>
      </c>
      <c r="G90" s="102">
        <f t="shared" ca="1" si="24"/>
        <v>279.37825762271353</v>
      </c>
      <c r="H90" s="102">
        <f t="shared" ca="1" si="24"/>
        <v>300.06315648789689</v>
      </c>
      <c r="I90" s="102">
        <f t="shared" ca="1" si="24"/>
        <v>328.79999999999995</v>
      </c>
      <c r="J90" s="102">
        <f t="shared" ca="1" si="24"/>
        <v>328.79999999999995</v>
      </c>
      <c r="K90" s="102">
        <f t="shared" ca="1" si="24"/>
        <v>78.429885981416504</v>
      </c>
      <c r="L90" s="102">
        <f t="shared" ca="1" si="24"/>
        <v>41.732354843368242</v>
      </c>
      <c r="M90" s="102">
        <f t="shared" ca="1" si="24"/>
        <v>22.218149577468186</v>
      </c>
      <c r="N90" s="102">
        <f t="shared" ca="1" si="24"/>
        <v>11.90288452504284</v>
      </c>
      <c r="O90" s="102">
        <f t="shared" ca="1" si="24"/>
        <v>6.6194452113874851</v>
      </c>
      <c r="P90" s="102">
        <f t="shared" ca="1" si="24"/>
        <v>3.9280374253860031</v>
      </c>
      <c r="Q90" s="102">
        <f t="shared" ca="1" si="24"/>
        <v>2.586472297030582</v>
      </c>
      <c r="R90" s="102">
        <f t="shared" ca="1" si="24"/>
        <v>2.0430816929891988</v>
      </c>
      <c r="S90" s="102">
        <f t="shared" ca="1" si="24"/>
        <v>328.79999999999995</v>
      </c>
    </row>
    <row r="91" spans="1:19">
      <c r="A91" s="5" t="s">
        <v>1211</v>
      </c>
      <c r="B91" s="3"/>
      <c r="C91" s="3"/>
      <c r="D91" s="102">
        <f t="shared" ref="D91:S91" ca="1" si="25">D90 - IFERROR(D59/D40,0) - IFERROR(D69/D40,0) - IFERROR(D61/D40,0) - IFERROR(D62/D40,0)</f>
        <v>18.814584615384614</v>
      </c>
      <c r="E91" s="102">
        <f t="shared" ca="1" si="25"/>
        <v>59.550040540540522</v>
      </c>
      <c r="F91" s="102">
        <f t="shared" ca="1" si="25"/>
        <v>137.75086923100423</v>
      </c>
      <c r="G91" s="102">
        <f t="shared" ca="1" si="25"/>
        <v>142.34048880290143</v>
      </c>
      <c r="H91" s="102">
        <f t="shared" ca="1" si="25"/>
        <v>153.25372412361389</v>
      </c>
      <c r="I91" s="102">
        <f t="shared" ca="1" si="25"/>
        <v>168.2979177843749</v>
      </c>
      <c r="J91" s="102">
        <f t="shared" ca="1" si="25"/>
        <v>167.88769922048803</v>
      </c>
      <c r="K91" s="102">
        <f t="shared" ca="1" si="25"/>
        <v>-31.456734844911367</v>
      </c>
      <c r="L91" s="102">
        <f t="shared" ca="1" si="25"/>
        <v>-74.596192141343124</v>
      </c>
      <c r="M91" s="102">
        <f t="shared" ca="1" si="25"/>
        <v>-117.23900409312051</v>
      </c>
      <c r="N91" s="102">
        <f t="shared" ca="1" si="25"/>
        <v>-167.35764193835627</v>
      </c>
      <c r="O91" s="102">
        <f t="shared" ca="1" si="25"/>
        <v>-239.47826379639233</v>
      </c>
      <c r="P91" s="102">
        <f t="shared" ca="1" si="25"/>
        <v>-360.95257351355423</v>
      </c>
      <c r="Q91" s="102">
        <f t="shared" ca="1" si="25"/>
        <v>-600.78785828951197</v>
      </c>
      <c r="R91" s="102">
        <f t="shared" ca="1" si="25"/>
        <v>-1197.6051973639865</v>
      </c>
      <c r="S91" s="102">
        <f t="shared" ca="1" si="25"/>
        <v>-311.63714039123079</v>
      </c>
    </row>
    <row r="92" spans="1:19">
      <c r="A92" s="5" t="s">
        <v>1212</v>
      </c>
      <c r="B92" s="3"/>
      <c r="C92" s="3"/>
      <c r="D92" s="102">
        <f ca="1">D21 + D136 + INDEX(Assumptions!$B:$B, MATCH("Launch IRR slug working-capital % of build", Assumptions!$A$1:$A$394, 0)) * D21</f>
        <v>309.375</v>
      </c>
      <c r="E92" s="102">
        <f ca="1">E21 + E136 + INDEX(Assumptions!$B:$B, MATCH("Launch IRR slug working-capital % of build", Assumptions!$A$1:$A$394, 0)) * E21</f>
        <v>170.4375</v>
      </c>
      <c r="F92" s="102">
        <f ca="1">F21 + F136 + INDEX(Assumptions!$B:$B, MATCH("Launch IRR slug working-capital % of build", Assumptions!$A$1:$A$394, 0)) * F21</f>
        <v>128.1521739130435</v>
      </c>
      <c r="G92" s="102">
        <f ca="1">G21 + G136 + INDEX(Assumptions!$B:$B, MATCH("Launch IRR slug working-capital % of build", Assumptions!$A$1:$A$394, 0)) * G21</f>
        <v>96.882352941176464</v>
      </c>
      <c r="H92" s="102">
        <f ca="1">H21 + H136 + INDEX(Assumptions!$B:$B, MATCH("Launch IRR slug working-capital % of build", Assumptions!$A$1:$A$394, 0)) * H21</f>
        <v>88.034883720930225</v>
      </c>
      <c r="I92" s="102">
        <f ca="1">I21 + I136 + INDEX(Assumptions!$B:$B, MATCH("Launch IRR slug working-capital % of build", Assumptions!$A$1:$A$394, 0)) * I21</f>
        <v>116.75000000000001</v>
      </c>
      <c r="J92" s="102">
        <f ca="1">J21 + J136 + INDEX(Assumptions!$B:$B, MATCH("Launch IRR slug working-capital % of build", Assumptions!$A$1:$A$394, 0)) * J21</f>
        <v>160.27943015749688</v>
      </c>
      <c r="K92" s="102">
        <f ca="1">K21 + K136 + INDEX(Assumptions!$B:$B, MATCH("Launch IRR slug working-capital % of build", Assumptions!$A$1:$A$394, 0)) * K21</f>
        <v>150.19449873558864</v>
      </c>
      <c r="L92" s="102">
        <f ca="1">L21 + L136 + INDEX(Assumptions!$B:$B, MATCH("Launch IRR slug working-capital % of build", Assumptions!$A$1:$A$394, 0)) * L21</f>
        <v>233.42532056335099</v>
      </c>
      <c r="M92" s="102">
        <f ca="1">M21 + M136 + INDEX(Assumptions!$B:$B, MATCH("Launch IRR slug working-capital % of build", Assumptions!$A$1:$A$394, 0)) * M21</f>
        <v>230.45583055506643</v>
      </c>
      <c r="N92" s="102">
        <f ca="1">N21 + N136 + INDEX(Assumptions!$B:$B, MATCH("Launch IRR slug working-capital % of build", Assumptions!$A$1:$A$394, 0)) * N21</f>
        <v>250.77955016511018</v>
      </c>
      <c r="O92" s="102">
        <f ca="1">O21 + O136 + INDEX(Assumptions!$B:$B, MATCH("Launch IRR slug working-capital % of build", Assumptions!$A$1:$A$394, 0)) * O21</f>
        <v>281.02368750712787</v>
      </c>
      <c r="P92" s="102">
        <f ca="1">P21 + P136 + INDEX(Assumptions!$B:$B, MATCH("Launch IRR slug working-capital % of build", Assumptions!$A$1:$A$394, 0)) * P21</f>
        <v>355.72687313798684</v>
      </c>
      <c r="Q92" s="102">
        <f ca="1">Q21 + Q136 + INDEX(Assumptions!$B:$B, MATCH("Launch IRR slug working-capital % of build", Assumptions!$A$1:$A$394, 0)) * Q21</f>
        <v>335.95694184908518</v>
      </c>
      <c r="R92" s="102">
        <f ca="1">R21 + R136 + INDEX(Assumptions!$B:$B, MATCH("Launch IRR slug working-capital % of build", Assumptions!$A$1:$A$394, 0)) * R21</f>
        <v>318.45941645545963</v>
      </c>
      <c r="S92" s="102">
        <f ca="1">S21 + S136 + INDEX(Assumptions!$B:$B, MATCH("Launch IRR slug working-capital % of build", Assumptions!$A$1:$A$394, 0)) * S21</f>
        <v>302.86379599592374</v>
      </c>
    </row>
    <row r="93" spans="1:19">
      <c r="A93" s="5" t="s">
        <v>1213</v>
      </c>
      <c r="B93" s="3"/>
      <c r="C93" s="3"/>
      <c r="D93" s="60">
        <f t="shared" ref="D93:S93" ca="1" si="26">IF(D91&lt;=0,0,IF(D91&gt;=D92,3,MIN(3,IFERROR(IFERROR(IFERROR(IFERROR(RATE(D25,-D91,D92,0,0,0.1),RATE(D25,-D91,D92,0,0,0.5)),RATE(D25,-D91,D92,0,0,1.5)),RATE(D25,-D91,D92,0,0,2.5)),0))))</f>
        <v>-0.13718329188613659</v>
      </c>
      <c r="E93" s="60">
        <f t="shared" ca="1" si="26"/>
        <v>0.30881787578855646</v>
      </c>
      <c r="F93" s="60">
        <f t="shared" ca="1" si="26"/>
        <v>3</v>
      </c>
      <c r="G93" s="60">
        <f t="shared" ca="1" si="26"/>
        <v>3</v>
      </c>
      <c r="H93" s="60">
        <f t="shared" ca="1" si="26"/>
        <v>3</v>
      </c>
      <c r="I93" s="60">
        <f t="shared" ca="1" si="26"/>
        <v>3</v>
      </c>
      <c r="J93" s="60">
        <f t="shared" ca="1" si="26"/>
        <v>3</v>
      </c>
      <c r="K93" s="60">
        <f t="shared" ca="1" si="26"/>
        <v>0</v>
      </c>
      <c r="L93" s="60">
        <f t="shared" ca="1" si="26"/>
        <v>0</v>
      </c>
      <c r="M93" s="60">
        <f t="shared" ca="1" si="26"/>
        <v>0</v>
      </c>
      <c r="N93" s="60">
        <f t="shared" ca="1" si="26"/>
        <v>0</v>
      </c>
      <c r="O93" s="60">
        <f t="shared" ca="1" si="26"/>
        <v>0</v>
      </c>
      <c r="P93" s="60">
        <f t="shared" ca="1" si="26"/>
        <v>0</v>
      </c>
      <c r="Q93" s="60">
        <f t="shared" ca="1" si="26"/>
        <v>0</v>
      </c>
      <c r="R93" s="60">
        <f t="shared" ca="1" si="26"/>
        <v>0</v>
      </c>
      <c r="S93" s="60">
        <f t="shared" ca="1" si="26"/>
        <v>0</v>
      </c>
    </row>
    <row r="94" spans="1:19">
      <c r="A94" s="5" t="s">
        <v>1214</v>
      </c>
      <c r="B94" s="3"/>
      <c r="C94" s="3"/>
      <c r="D94" s="102">
        <f t="shared" ref="D94:S94" ca="1" si="27">D12*IFERROR(D47/D45,0)</f>
        <v>0</v>
      </c>
      <c r="E94" s="102">
        <f t="shared" ca="1" si="27"/>
        <v>0</v>
      </c>
      <c r="F94" s="102">
        <f t="shared" ca="1" si="27"/>
        <v>0</v>
      </c>
      <c r="G94" s="102">
        <f t="shared" ca="1" si="27"/>
        <v>0</v>
      </c>
      <c r="H94" s="102">
        <f t="shared" ca="1" si="27"/>
        <v>3.5213348009139469E-13</v>
      </c>
      <c r="I94" s="102">
        <f t="shared" ca="1" si="27"/>
        <v>4.1440555027553021E-13</v>
      </c>
      <c r="J94" s="102">
        <f t="shared" ca="1" si="27"/>
        <v>0</v>
      </c>
      <c r="K94" s="102">
        <f t="shared" ca="1" si="27"/>
        <v>790.35554451518271</v>
      </c>
      <c r="L94" s="102">
        <f t="shared" ca="1" si="27"/>
        <v>880.5016346219154</v>
      </c>
      <c r="M94" s="102">
        <f t="shared" ca="1" si="27"/>
        <v>873.81520090797005</v>
      </c>
      <c r="N94" s="102">
        <f t="shared" ca="1" si="27"/>
        <v>878.02625440872805</v>
      </c>
      <c r="O94" s="102">
        <f t="shared" ca="1" si="27"/>
        <v>872.23025578125885</v>
      </c>
      <c r="P94" s="102">
        <f t="shared" ca="1" si="27"/>
        <v>862.9313014627628</v>
      </c>
      <c r="Q94" s="102">
        <f t="shared" ca="1" si="27"/>
        <v>852.59345892618137</v>
      </c>
      <c r="R94" s="102">
        <f t="shared" ca="1" si="27"/>
        <v>842.11656668259968</v>
      </c>
      <c r="S94" s="102">
        <f t="shared" ca="1" si="27"/>
        <v>0</v>
      </c>
    </row>
    <row r="95" spans="1:19">
      <c r="A95" s="5" t="s">
        <v>1215</v>
      </c>
      <c r="B95" s="3"/>
      <c r="C95" s="3"/>
      <c r="D95" s="102">
        <f t="shared" ref="D95:S95" ca="1" si="28">D94 - IFERROR(D60/D45,0) - IFERROR(D69/D45,0) - IFERROR(D70/D45,0) - IFERROR(D61/D45,0) - IFERROR(D62/D45,0)</f>
        <v>0</v>
      </c>
      <c r="E95" s="102">
        <f t="shared" ca="1" si="28"/>
        <v>0</v>
      </c>
      <c r="F95" s="102">
        <f t="shared" ca="1" si="28"/>
        <v>0</v>
      </c>
      <c r="G95" s="102">
        <f t="shared" ca="1" si="28"/>
        <v>-564.21243193884413</v>
      </c>
      <c r="H95" s="102">
        <f t="shared" ca="1" si="28"/>
        <v>-345.95401163870423</v>
      </c>
      <c r="I95" s="102">
        <f t="shared" ca="1" si="28"/>
        <v>-244.87521126227662</v>
      </c>
      <c r="J95" s="102">
        <f t="shared" ca="1" si="28"/>
        <v>-179.70024239765624</v>
      </c>
      <c r="K95" s="102">
        <f t="shared" ca="1" si="28"/>
        <v>273.92936249247288</v>
      </c>
      <c r="L95" s="102">
        <f t="shared" ca="1" si="28"/>
        <v>296.89701995787061</v>
      </c>
      <c r="M95" s="102">
        <f t="shared" ca="1" si="28"/>
        <v>270.42763373891995</v>
      </c>
      <c r="N95" s="102">
        <f t="shared" ca="1" si="28"/>
        <v>239.17424094736955</v>
      </c>
      <c r="O95" s="102">
        <f t="shared" ca="1" si="28"/>
        <v>200.04121494445383</v>
      </c>
      <c r="P95" s="102">
        <f t="shared" ca="1" si="28"/>
        <v>156.59931268524298</v>
      </c>
      <c r="Q95" s="102">
        <f t="shared" ca="1" si="28"/>
        <v>110.0194756615733</v>
      </c>
      <c r="R95" s="102">
        <f t="shared" ca="1" si="28"/>
        <v>60.564919530872942</v>
      </c>
      <c r="S95" s="102">
        <f t="shared" ca="1" si="28"/>
        <v>-28.437448717471561</v>
      </c>
    </row>
    <row r="96" spans="1:19">
      <c r="A96" s="5" t="s">
        <v>1216</v>
      </c>
      <c r="B96" s="3"/>
      <c r="C96" s="3"/>
      <c r="D96" s="101">
        <f ca="1">D22 + IFERROR( SUM('Facilities Build'!$D$26:D26) / SUM('Facilities Build'!$D$18:D18), 0 ) + D136 + INDEX(Assumptions!$B:$B, MATCH("Launch IRR slug working-capital % of build", Assumptions!$A$1:$A$394, 0)) * D22</f>
        <v>346.20054254604986</v>
      </c>
      <c r="E96" s="101">
        <f ca="1">E22 + IFERROR( SUM('Facilities Build'!$D$26:E26) / SUM('Facilities Build'!$D$18:E18), 0 ) + E136 + INDEX(Assumptions!$B:$B, MATCH("Launch IRR slug working-capital % of build", Assumptions!$A$1:$A$394, 0)) * E22</f>
        <v>390.45706097592705</v>
      </c>
      <c r="F96" s="101">
        <f ca="1">F22 + IFERROR( SUM('Facilities Build'!$D$26:F26) / SUM('Facilities Build'!$D$18:F18), 0 ) + F136 + INDEX(Assumptions!$B:$B, MATCH("Launch IRR slug working-capital % of build", Assumptions!$A$1:$A$394, 0)) * F22</f>
        <v>213.68988483784017</v>
      </c>
      <c r="G96" s="101">
        <f ca="1">G22 + IFERROR( SUM('Facilities Build'!$D$26:G26) / SUM('Facilities Build'!$D$18:G18), 0 ) + G136 + INDEX(Assumptions!$B:$B, MATCH("Launch IRR slug working-capital % of build", Assumptions!$A$1:$A$394, 0)) * G22</f>
        <v>149.47474695902307</v>
      </c>
      <c r="H96" s="101">
        <f ca="1">H22 + IFERROR( SUM('Facilities Build'!$D$26:H26) / SUM('Facilities Build'!$D$18:H18), 0 ) + H136 + INDEX(Assumptions!$B:$B, MATCH("Launch IRR slug working-capital % of build", Assumptions!$A$1:$A$394, 0)) * H22</f>
        <v>129.81997501399937</v>
      </c>
      <c r="I96" s="101">
        <f ca="1">I22 + IFERROR( SUM('Facilities Build'!$D$26:I26) / SUM('Facilities Build'!$D$18:I18), 0 ) + I136 + INDEX(Assumptions!$B:$B, MATCH("Launch IRR slug working-capital % of build", Assumptions!$A$1:$A$394, 0)) * I22</f>
        <v>150.34912323656974</v>
      </c>
      <c r="J96" s="101">
        <f ca="1">J22 + IFERROR( SUM('Facilities Build'!$D$26:J26) / SUM('Facilities Build'!$D$18:J18), 0 ) + J136 + INDEX(Assumptions!$B:$B, MATCH("Launch IRR slug working-capital % of build", Assumptions!$A$1:$A$394, 0)) * J22</f>
        <v>185.39148565900089</v>
      </c>
      <c r="K96" s="101">
        <f ca="1">K22 + IFERROR( SUM('Facilities Build'!$D$26:K26) / SUM('Facilities Build'!$D$18:K18), 0 ) + K136 + INDEX(Assumptions!$B:$B, MATCH("Launch IRR slug working-capital % of build", Assumptions!$A$1:$A$394, 0)) * K22</f>
        <v>172.22775356541675</v>
      </c>
      <c r="L96" s="101">
        <f ca="1">L22 + IFERROR( SUM('Facilities Build'!$D$26:L26) / SUM('Facilities Build'!$D$18:L18), 0 ) + L136 + INDEX(Assumptions!$B:$B, MATCH("Launch IRR slug working-capital % of build", Assumptions!$A$1:$A$394, 0)) * L22</f>
        <v>252.28950741368939</v>
      </c>
      <c r="M96" s="101">
        <f ca="1">M22 + IFERROR( SUM('Facilities Build'!$D$26:M26) / SUM('Facilities Build'!$D$18:M18), 0 ) + M136 + INDEX(Assumptions!$B:$B, MATCH("Launch IRR slug working-capital % of build", Assumptions!$A$1:$A$394, 0)) * M22</f>
        <v>248.25318044087666</v>
      </c>
      <c r="N96" s="101">
        <f ca="1">N22 + IFERROR( SUM('Facilities Build'!$D$26:N26) / SUM('Facilities Build'!$D$18:N18), 0 ) + N136 + INDEX(Assumptions!$B:$B, MATCH("Launch IRR slug working-capital % of build", Assumptions!$A$1:$A$394, 0)) * N22</f>
        <v>267.89113858973127</v>
      </c>
      <c r="O96" s="101">
        <f ca="1">O22 + IFERROR( SUM('Facilities Build'!$D$26:O26) / SUM('Facilities Build'!$D$18:O18), 0 ) + O136 + INDEX(Assumptions!$B:$B, MATCH("Launch IRR slug working-capital % of build", Assumptions!$A$1:$A$394, 0)) * O22</f>
        <v>298.75541631807255</v>
      </c>
      <c r="P96" s="101">
        <f ca="1">P22 + IFERROR( SUM('Facilities Build'!$D$26:P26) / SUM('Facilities Build'!$D$18:P18), 0 ) + P136 + INDEX(Assumptions!$B:$B, MATCH("Launch IRR slug working-capital % of build", Assumptions!$A$1:$A$394, 0)) * P22</f>
        <v>373.31660240618447</v>
      </c>
      <c r="Q96" s="101">
        <f ca="1">Q22 + IFERROR( SUM('Facilities Build'!$D$26:Q26) / SUM('Facilities Build'!$D$18:Q18), 0 ) + Q136 + INDEX(Assumptions!$B:$B, MATCH("Launch IRR slug working-capital % of build", Assumptions!$A$1:$A$394, 0)) * Q22</f>
        <v>353.07368846689661</v>
      </c>
      <c r="R96" s="101">
        <f ca="1">R22 + IFERROR( SUM('Facilities Build'!$D$26:R26) / SUM('Facilities Build'!$D$18:R18), 0 ) + R136 + INDEX(Assumptions!$B:$B, MATCH("Launch IRR slug working-capital % of build", Assumptions!$A$1:$A$394, 0)) * R22</f>
        <v>334.4865425216604</v>
      </c>
      <c r="S96" s="101">
        <f ca="1">S22 + IFERROR( SUM('Facilities Build'!$D$26:S26) / SUM('Facilities Build'!$D$18:S18), 0 ) + S136 + INDEX(Assumptions!$B:$B, MATCH("Launch IRR slug working-capital % of build", Assumptions!$A$1:$A$394, 0)) * S22</f>
        <v>317.48667580148731</v>
      </c>
    </row>
    <row r="97" spans="1:19" s="117" customFormat="1">
      <c r="A97" s="5" t="s">
        <v>1217</v>
      </c>
      <c r="B97" s="116"/>
      <c r="C97" s="116"/>
      <c r="D97" s="60">
        <f t="shared" ref="D97:S97" ca="1" si="29">IF(D47&lt;=0,0, IF(D95&lt;=0,0, MIN(3, IFERROR(IFERROR(IFERROR(IFERROR(RATE(D26,-D95,D96,0,0,0.1), RATE(D26,-D95,D96,0,0,0.5)), RATE(D26,-D95,D96,0,0,1.5)), RATE(D26,-D95,D96,0,0,2.5)), 3))))</f>
        <v>0</v>
      </c>
      <c r="E97" s="60">
        <f t="shared" ca="1" si="29"/>
        <v>0</v>
      </c>
      <c r="F97" s="60">
        <f t="shared" ca="1" si="29"/>
        <v>0</v>
      </c>
      <c r="G97" s="60">
        <f t="shared" ca="1" si="29"/>
        <v>0</v>
      </c>
      <c r="H97" s="60">
        <f t="shared" ca="1" si="29"/>
        <v>0</v>
      </c>
      <c r="I97" s="60">
        <f t="shared" ca="1" si="29"/>
        <v>0</v>
      </c>
      <c r="J97" s="60">
        <f t="shared" ca="1" si="29"/>
        <v>0</v>
      </c>
      <c r="K97" s="60">
        <f t="shared" ca="1" si="29"/>
        <v>1.5897203427853834</v>
      </c>
      <c r="L97" s="60">
        <f t="shared" ca="1" si="29"/>
        <v>1.1744562980473956</v>
      </c>
      <c r="M97" s="60">
        <f t="shared" ca="1" si="29"/>
        <v>1.0862868932350631</v>
      </c>
      <c r="N97" s="60">
        <f t="shared" ca="1" si="29"/>
        <v>0.88725620243046777</v>
      </c>
      <c r="O97" s="60">
        <f t="shared" ca="1" si="29"/>
        <v>0.65784788044266307</v>
      </c>
      <c r="P97" s="60">
        <f t="shared" ca="1" si="29"/>
        <v>0.38924887998178537</v>
      </c>
      <c r="Q97" s="60">
        <f t="shared" ca="1" si="29"/>
        <v>0.2636884727514518</v>
      </c>
      <c r="R97" s="60">
        <f t="shared" ca="1" si="29"/>
        <v>9.0586387116495262E-2</v>
      </c>
      <c r="S97" s="60">
        <f t="shared" ca="1" si="29"/>
        <v>0</v>
      </c>
    </row>
    <row r="98" spans="1:19" s="117" customFormat="1">
      <c r="A98" s="5" t="s">
        <v>1218</v>
      </c>
      <c r="B98" s="116"/>
      <c r="C98" s="116"/>
      <c r="D98" s="60">
        <f t="shared" ref="D98:S98" ca="1" si="30">D97</f>
        <v>0</v>
      </c>
      <c r="E98" s="60">
        <f t="shared" ca="1" si="30"/>
        <v>0</v>
      </c>
      <c r="F98" s="60">
        <f t="shared" ca="1" si="30"/>
        <v>0</v>
      </c>
      <c r="G98" s="60">
        <f t="shared" ca="1" si="30"/>
        <v>0</v>
      </c>
      <c r="H98" s="60">
        <f t="shared" ca="1" si="30"/>
        <v>0</v>
      </c>
      <c r="I98" s="60">
        <f t="shared" ca="1" si="30"/>
        <v>0</v>
      </c>
      <c r="J98" s="60">
        <f t="shared" ca="1" si="30"/>
        <v>0</v>
      </c>
      <c r="K98" s="60">
        <f t="shared" ca="1" si="30"/>
        <v>1.5897203427853834</v>
      </c>
      <c r="L98" s="60">
        <f t="shared" ca="1" si="30"/>
        <v>1.1744562980473956</v>
      </c>
      <c r="M98" s="60">
        <f t="shared" ca="1" si="30"/>
        <v>1.0862868932350631</v>
      </c>
      <c r="N98" s="60">
        <f t="shared" ca="1" si="30"/>
        <v>0.88725620243046777</v>
      </c>
      <c r="O98" s="60">
        <f t="shared" ca="1" si="30"/>
        <v>0.65784788044266307</v>
      </c>
      <c r="P98" s="60">
        <f t="shared" ca="1" si="30"/>
        <v>0.38924887998178537</v>
      </c>
      <c r="Q98" s="60">
        <f t="shared" ca="1" si="30"/>
        <v>0.2636884727514518</v>
      </c>
      <c r="R98" s="60">
        <f t="shared" ca="1" si="30"/>
        <v>9.0586387116495262E-2</v>
      </c>
      <c r="S98" s="60">
        <f t="shared" ca="1" si="30"/>
        <v>0</v>
      </c>
    </row>
    <row r="99" spans="1:1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13" t="s">
        <v>1219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>
      <c r="A101" s="5" t="s">
        <v>1000</v>
      </c>
      <c r="B101" s="3"/>
      <c r="C101" s="3"/>
      <c r="D101" s="29">
        <f>IF($D$5=0,Assumptions!$B$487,D54)</f>
        <v>4086</v>
      </c>
      <c r="E101" s="29">
        <f t="shared" ref="E101:S101" ca="1" si="31">E54</f>
        <v>6188.7</v>
      </c>
      <c r="F101" s="29">
        <f t="shared" ca="1" si="31"/>
        <v>12635.582999083921</v>
      </c>
      <c r="G101" s="29">
        <f t="shared" ca="1" si="31"/>
        <v>13761.278827776683</v>
      </c>
      <c r="H101" s="29">
        <f t="shared" ca="1" si="31"/>
        <v>15188.224901211415</v>
      </c>
      <c r="I101" s="29">
        <f t="shared" ca="1" si="31"/>
        <v>16723.185159375007</v>
      </c>
      <c r="J101" s="29">
        <f t="shared" ca="1" si="31"/>
        <v>16655.144417343749</v>
      </c>
      <c r="K101" s="29">
        <f t="shared" ca="1" si="31"/>
        <v>23675.384259261053</v>
      </c>
      <c r="L101" s="29">
        <f t="shared" ca="1" si="31"/>
        <v>23984.860090786795</v>
      </c>
      <c r="M101" s="29">
        <f t="shared" ca="1" si="31"/>
        <v>23936.178616087949</v>
      </c>
      <c r="N101" s="29">
        <f t="shared" ca="1" si="31"/>
        <v>23782.221567269309</v>
      </c>
      <c r="O101" s="29">
        <f t="shared" ca="1" si="31"/>
        <v>23615.430247676661</v>
      </c>
      <c r="P101" s="29">
        <f t="shared" ca="1" si="31"/>
        <v>23461.374661653583</v>
      </c>
      <c r="Q101" s="29">
        <f t="shared" ca="1" si="31"/>
        <v>23325.092052918619</v>
      </c>
      <c r="R101" s="29">
        <f t="shared" ca="1" si="31"/>
        <v>23206.623560614848</v>
      </c>
      <c r="S101" s="29">
        <f t="shared" ca="1" si="31"/>
        <v>3467.9815509111659</v>
      </c>
    </row>
    <row r="102" spans="1:19">
      <c r="A102" s="78" t="s">
        <v>1059</v>
      </c>
      <c r="B102" s="78"/>
      <c r="C102" s="78"/>
      <c r="D102" s="81">
        <f>IF($D$5=0,Assumptions!$B$488,D63)</f>
        <v>1352</v>
      </c>
      <c r="E102" s="81">
        <f t="shared" ref="E102:S102" ca="1" si="32">E63</f>
        <v>1873.8089999999997</v>
      </c>
      <c r="F102" s="81">
        <f t="shared" ca="1" si="32"/>
        <v>4317.8732403061158</v>
      </c>
      <c r="G102" s="81">
        <f t="shared" ca="1" si="32"/>
        <v>4722.9153588909021</v>
      </c>
      <c r="H102" s="81">
        <f t="shared" ca="1" si="32"/>
        <v>5242.0206236076228</v>
      </c>
      <c r="I102" s="81">
        <f t="shared" ca="1" si="32"/>
        <v>5801.1229611562521</v>
      </c>
      <c r="J102" s="81">
        <f t="shared" ca="1" si="32"/>
        <v>5744.9101092140618</v>
      </c>
      <c r="K102" s="81">
        <f t="shared" ca="1" si="32"/>
        <v>9737.0654468687189</v>
      </c>
      <c r="L102" s="81">
        <f t="shared" ca="1" si="32"/>
        <v>10655.124402394469</v>
      </c>
      <c r="M102" s="81">
        <f t="shared" ca="1" si="32"/>
        <v>11444.610116168178</v>
      </c>
      <c r="N102" s="81">
        <f t="shared" ca="1" si="32"/>
        <v>12200.075124295885</v>
      </c>
      <c r="O102" s="81">
        <f t="shared" ca="1" si="32"/>
        <v>12975.527843373786</v>
      </c>
      <c r="P102" s="81">
        <f t="shared" ca="1" si="32"/>
        <v>13796.975188170336</v>
      </c>
      <c r="Q102" s="81">
        <f t="shared" ca="1" si="32"/>
        <v>14677.744886523449</v>
      </c>
      <c r="R102" s="81">
        <f t="shared" ca="1" si="32"/>
        <v>15626.263536234064</v>
      </c>
      <c r="S102" s="81">
        <f t="shared" ca="1" si="32"/>
        <v>345.6587085637816</v>
      </c>
    </row>
    <row r="103" spans="1:19">
      <c r="A103" s="78" t="s">
        <v>1060</v>
      </c>
      <c r="B103" s="78"/>
      <c r="C103" s="78"/>
      <c r="D103" s="81">
        <f>IF($D$5=0,D101-D102,D64)</f>
        <v>2734</v>
      </c>
      <c r="E103" s="81">
        <f t="shared" ref="E103:S103" ca="1" si="33">E64</f>
        <v>4314.8909999999996</v>
      </c>
      <c r="F103" s="81">
        <f t="shared" ca="1" si="33"/>
        <v>8317.7097587778044</v>
      </c>
      <c r="G103" s="81">
        <f t="shared" ca="1" si="33"/>
        <v>9038.3634688857819</v>
      </c>
      <c r="H103" s="81">
        <f t="shared" ca="1" si="33"/>
        <v>9946.2042776037924</v>
      </c>
      <c r="I103" s="81">
        <f t="shared" ca="1" si="33"/>
        <v>10922.062198218755</v>
      </c>
      <c r="J103" s="81">
        <f t="shared" ca="1" si="33"/>
        <v>10910.234308129686</v>
      </c>
      <c r="K103" s="81">
        <f t="shared" ca="1" si="33"/>
        <v>13938.318812392334</v>
      </c>
      <c r="L103" s="81">
        <f t="shared" ca="1" si="33"/>
        <v>13329.735688392326</v>
      </c>
      <c r="M103" s="81">
        <f t="shared" ca="1" si="33"/>
        <v>12491.568499919771</v>
      </c>
      <c r="N103" s="81">
        <f t="shared" ca="1" si="33"/>
        <v>11582.146442973424</v>
      </c>
      <c r="O103" s="81">
        <f t="shared" ca="1" si="33"/>
        <v>10639.902404302875</v>
      </c>
      <c r="P103" s="81">
        <f t="shared" ca="1" si="33"/>
        <v>9664.3994734832468</v>
      </c>
      <c r="Q103" s="81">
        <f t="shared" ca="1" si="33"/>
        <v>8647.3471663951696</v>
      </c>
      <c r="R103" s="81">
        <f t="shared" ca="1" si="33"/>
        <v>7580.3600243807832</v>
      </c>
      <c r="S103" s="81">
        <f t="shared" ca="1" si="33"/>
        <v>3122.3228423473843</v>
      </c>
    </row>
    <row r="104" spans="1:19">
      <c r="A104" s="5" t="s">
        <v>1061</v>
      </c>
      <c r="B104" s="3"/>
      <c r="C104" s="3"/>
      <c r="D104" s="29">
        <f>IF($D$5=0,Assumptions!$B$490,D69)</f>
        <v>349</v>
      </c>
      <c r="E104" s="29">
        <f t="shared" ref="E104:S104" ca="1" si="34">E69</f>
        <v>526.03949999999998</v>
      </c>
      <c r="F104" s="29">
        <f t="shared" ca="1" si="34"/>
        <v>1074.0245549221333</v>
      </c>
      <c r="G104" s="29">
        <f t="shared" ca="1" si="34"/>
        <v>1169.7087003610181</v>
      </c>
      <c r="H104" s="29">
        <f t="shared" ca="1" si="34"/>
        <v>1290.9991166029704</v>
      </c>
      <c r="I104" s="29">
        <f t="shared" ca="1" si="34"/>
        <v>1421.4707385468757</v>
      </c>
      <c r="J104" s="29">
        <f t="shared" ca="1" si="34"/>
        <v>1415.6872754742187</v>
      </c>
      <c r="K104" s="29">
        <f t="shared" ca="1" si="34"/>
        <v>2012.4076620371895</v>
      </c>
      <c r="L104" s="29">
        <f t="shared" ca="1" si="34"/>
        <v>2038.7131077168776</v>
      </c>
      <c r="M104" s="29">
        <f t="shared" ca="1" si="34"/>
        <v>2034.5751823674759</v>
      </c>
      <c r="N104" s="29">
        <f t="shared" ca="1" si="34"/>
        <v>2021.4888332178914</v>
      </c>
      <c r="O104" s="29">
        <f t="shared" ca="1" si="34"/>
        <v>2007.3115710525162</v>
      </c>
      <c r="P104" s="29">
        <f t="shared" ca="1" si="34"/>
        <v>1994.2168462405548</v>
      </c>
      <c r="Q104" s="29">
        <f t="shared" ca="1" si="34"/>
        <v>1982.6328244980828</v>
      </c>
      <c r="R104" s="29">
        <f t="shared" ca="1" si="34"/>
        <v>1972.5630026522622</v>
      </c>
      <c r="S104" s="29">
        <f t="shared" ca="1" si="34"/>
        <v>294.77843182744914</v>
      </c>
    </row>
    <row r="105" spans="1:19">
      <c r="A105" s="5" t="s">
        <v>1063</v>
      </c>
      <c r="B105" s="3"/>
      <c r="C105" s="3"/>
      <c r="D105" s="29">
        <f>IF($D$5=0,Assumptions!$B$489,D70)</f>
        <v>3004</v>
      </c>
      <c r="E105" s="29">
        <f t="shared" ref="E105:S105" ca="1" si="35">E70</f>
        <v>309.435</v>
      </c>
      <c r="F105" s="29">
        <f t="shared" ca="1" si="35"/>
        <v>631.7791499541961</v>
      </c>
      <c r="G105" s="29">
        <f t="shared" ca="1" si="35"/>
        <v>688.06394138883422</v>
      </c>
      <c r="H105" s="29">
        <f t="shared" ca="1" si="35"/>
        <v>759.41124506057076</v>
      </c>
      <c r="I105" s="29">
        <f t="shared" ca="1" si="35"/>
        <v>836.15925796875035</v>
      </c>
      <c r="J105" s="29">
        <f t="shared" ca="1" si="35"/>
        <v>832.75722086718747</v>
      </c>
      <c r="K105" s="29">
        <f t="shared" ca="1" si="35"/>
        <v>1183.7692129630527</v>
      </c>
      <c r="L105" s="29">
        <f t="shared" ca="1" si="35"/>
        <v>1199.2430045393398</v>
      </c>
      <c r="M105" s="29">
        <f t="shared" ca="1" si="35"/>
        <v>1196.8089308043975</v>
      </c>
      <c r="N105" s="29">
        <f t="shared" ca="1" si="35"/>
        <v>1189.1110783634656</v>
      </c>
      <c r="O105" s="29">
        <f t="shared" ca="1" si="35"/>
        <v>1180.7715123838332</v>
      </c>
      <c r="P105" s="29">
        <f t="shared" ca="1" si="35"/>
        <v>1173.0687330826793</v>
      </c>
      <c r="Q105" s="29">
        <f t="shared" ca="1" si="35"/>
        <v>1166.2546026459311</v>
      </c>
      <c r="R105" s="29">
        <f t="shared" ca="1" si="35"/>
        <v>1160.3311780307424</v>
      </c>
      <c r="S105" s="29">
        <f t="shared" ca="1" si="35"/>
        <v>173.3990775455583</v>
      </c>
    </row>
    <row r="106" spans="1:19">
      <c r="A106" s="78" t="s">
        <v>1062</v>
      </c>
      <c r="B106" s="78"/>
      <c r="C106" s="78"/>
      <c r="D106" s="81">
        <f>IF($D$5=0,D103-D104,D71)</f>
        <v>2385</v>
      </c>
      <c r="E106" s="81">
        <f t="shared" ref="E106:S106" ca="1" si="36">E71</f>
        <v>3479.4164999999998</v>
      </c>
      <c r="F106" s="81">
        <f t="shared" ca="1" si="36"/>
        <v>6611.9060539014745</v>
      </c>
      <c r="G106" s="81">
        <f t="shared" ca="1" si="36"/>
        <v>7180.5908271359303</v>
      </c>
      <c r="H106" s="81">
        <f t="shared" ca="1" si="36"/>
        <v>7895.7939159402513</v>
      </c>
      <c r="I106" s="81">
        <f t="shared" ca="1" si="36"/>
        <v>8664.43220170313</v>
      </c>
      <c r="J106" s="81">
        <f t="shared" ca="1" si="36"/>
        <v>8661.7898117882796</v>
      </c>
      <c r="K106" s="81">
        <f t="shared" ca="1" si="36"/>
        <v>10742.141937392093</v>
      </c>
      <c r="L106" s="81">
        <f t="shared" ca="1" si="36"/>
        <v>10091.779576136109</v>
      </c>
      <c r="M106" s="81">
        <f t="shared" ca="1" si="36"/>
        <v>9260.1843867478965</v>
      </c>
      <c r="N106" s="81">
        <f t="shared" ca="1" si="36"/>
        <v>8371.5465313920686</v>
      </c>
      <c r="O106" s="81">
        <f t="shared" ca="1" si="36"/>
        <v>7451.8193208665252</v>
      </c>
      <c r="P106" s="81">
        <f t="shared" ca="1" si="36"/>
        <v>6497.113894160012</v>
      </c>
      <c r="Q106" s="81">
        <f t="shared" ca="1" si="36"/>
        <v>5498.459739251155</v>
      </c>
      <c r="R106" s="81">
        <f t="shared" ca="1" si="36"/>
        <v>4447.4658436977788</v>
      </c>
      <c r="S106" s="81">
        <f t="shared" ca="1" si="36"/>
        <v>2654.1453329743767</v>
      </c>
    </row>
    <row r="107" spans="1:19">
      <c r="A107" s="5" t="s">
        <v>1064</v>
      </c>
      <c r="B107" s="3"/>
      <c r="C107" s="3"/>
      <c r="D107" s="29">
        <f>IF($D$5=0,Assumptions!$B$494,D78)</f>
        <v>757</v>
      </c>
      <c r="E107" s="29">
        <f t="shared" ref="E107:S107" ca="1" si="37">E78</f>
        <v>65.585862785862787</v>
      </c>
      <c r="F107" s="29">
        <f t="shared" ca="1" si="37"/>
        <v>103.29636278586278</v>
      </c>
      <c r="G107" s="29">
        <f t="shared" ca="1" si="37"/>
        <v>140.18651611919611</v>
      </c>
      <c r="H107" s="29">
        <f t="shared" ca="1" si="37"/>
        <v>193.88091911919614</v>
      </c>
      <c r="I107" s="29">
        <f t="shared" ca="1" si="37"/>
        <v>243.83973107119618</v>
      </c>
      <c r="J107" s="29">
        <f t="shared" ca="1" si="37"/>
        <v>270.20545785591617</v>
      </c>
      <c r="K107" s="29">
        <f t="shared" ca="1" si="37"/>
        <v>373.43224547619934</v>
      </c>
      <c r="L107" s="29">
        <f t="shared" ca="1" si="37"/>
        <v>446.04195097765125</v>
      </c>
      <c r="M107" s="29">
        <f t="shared" ca="1" si="37"/>
        <v>500.36131861239329</v>
      </c>
      <c r="N107" s="29">
        <f t="shared" ca="1" si="37"/>
        <v>559.13178500331105</v>
      </c>
      <c r="O107" s="29">
        <f t="shared" ca="1" si="37"/>
        <v>586.9929557108353</v>
      </c>
      <c r="P107" s="29">
        <f t="shared" ca="1" si="37"/>
        <v>553.10462619831947</v>
      </c>
      <c r="Q107" s="29">
        <f t="shared" ca="1" si="37"/>
        <v>581.69549542088691</v>
      </c>
      <c r="R107" s="29">
        <f t="shared" ca="1" si="37"/>
        <v>624.73312490237572</v>
      </c>
      <c r="S107" s="29">
        <f t="shared" ca="1" si="37"/>
        <v>637.23312490237572</v>
      </c>
    </row>
    <row r="108" spans="1:19">
      <c r="A108" s="78" t="s">
        <v>1065</v>
      </c>
      <c r="B108" s="78"/>
      <c r="C108" s="78"/>
      <c r="D108" s="81">
        <f>IF($D$5=0,D106-D105-Assumptions!$B$492,D79)</f>
        <v>-657</v>
      </c>
      <c r="E108" s="81">
        <f t="shared" ref="E108:S108" ca="1" si="38">E79</f>
        <v>3413.8306372141369</v>
      </c>
      <c r="F108" s="81">
        <f t="shared" ca="1" si="38"/>
        <v>6508.6096911156119</v>
      </c>
      <c r="G108" s="81">
        <f t="shared" ca="1" si="38"/>
        <v>7040.404311016734</v>
      </c>
      <c r="H108" s="81">
        <f t="shared" ca="1" si="38"/>
        <v>7701.9129968210555</v>
      </c>
      <c r="I108" s="81">
        <f t="shared" ca="1" si="38"/>
        <v>8420.5924706319347</v>
      </c>
      <c r="J108" s="81">
        <f t="shared" ca="1" si="38"/>
        <v>8391.5843539323632</v>
      </c>
      <c r="K108" s="81">
        <f t="shared" ca="1" si="38"/>
        <v>10368.709691915894</v>
      </c>
      <c r="L108" s="81">
        <f t="shared" ca="1" si="38"/>
        <v>9645.7376251584574</v>
      </c>
      <c r="M108" s="81">
        <f t="shared" ca="1" si="38"/>
        <v>8759.8230681355035</v>
      </c>
      <c r="N108" s="81">
        <f t="shared" ca="1" si="38"/>
        <v>7812.4147463887575</v>
      </c>
      <c r="O108" s="81">
        <f t="shared" ca="1" si="38"/>
        <v>6864.8263651556899</v>
      </c>
      <c r="P108" s="81">
        <f t="shared" ca="1" si="38"/>
        <v>5944.0092679616928</v>
      </c>
      <c r="Q108" s="81">
        <f t="shared" ca="1" si="38"/>
        <v>4916.7642438302682</v>
      </c>
      <c r="R108" s="81">
        <f t="shared" ca="1" si="38"/>
        <v>3822.7327187954033</v>
      </c>
      <c r="S108" s="81">
        <f t="shared" ca="1" si="38"/>
        <v>2016.912208072001</v>
      </c>
    </row>
    <row r="109" spans="1:19">
      <c r="A109" s="5" t="s">
        <v>1220</v>
      </c>
      <c r="B109" s="3"/>
      <c r="C109" s="3"/>
      <c r="D109" s="29">
        <f t="shared" ref="D109:S109" ca="1" si="39">D82</f>
        <v>35.692307692307693</v>
      </c>
      <c r="E109" s="29">
        <f t="shared" ca="1" si="39"/>
        <v>88.994594594594602</v>
      </c>
      <c r="F109" s="29">
        <f t="shared" ca="1" si="39"/>
        <v>201.68399999999997</v>
      </c>
      <c r="G109" s="29">
        <f t="shared" ca="1" si="39"/>
        <v>169.41455999999999</v>
      </c>
      <c r="H109" s="29">
        <f t="shared" ca="1" si="39"/>
        <v>138.35522399999999</v>
      </c>
      <c r="I109" s="29">
        <f t="shared" ca="1" si="39"/>
        <v>108.47049561599998</v>
      </c>
      <c r="J109" s="29">
        <f t="shared" ca="1" si="39"/>
        <v>79.72581427775998</v>
      </c>
      <c r="K109" s="29">
        <f t="shared" ca="1" si="39"/>
        <v>52.087531994803186</v>
      </c>
      <c r="L109" s="29">
        <f t="shared" ca="1" si="39"/>
        <v>25.52289067745356</v>
      </c>
      <c r="M109" s="29">
        <f t="shared" ca="1" si="39"/>
        <v>0</v>
      </c>
      <c r="N109" s="29">
        <f t="shared" ca="1" si="39"/>
        <v>0</v>
      </c>
      <c r="O109" s="29">
        <f t="shared" ca="1" si="39"/>
        <v>0</v>
      </c>
      <c r="P109" s="29">
        <f t="shared" ca="1" si="39"/>
        <v>0</v>
      </c>
      <c r="Q109" s="29">
        <f t="shared" ca="1" si="39"/>
        <v>0</v>
      </c>
      <c r="R109" s="29">
        <f t="shared" ca="1" si="39"/>
        <v>0</v>
      </c>
      <c r="S109" s="29">
        <f t="shared" ca="1" si="39"/>
        <v>0</v>
      </c>
    </row>
    <row r="110" spans="1:19">
      <c r="A110" s="5" t="s">
        <v>1221</v>
      </c>
      <c r="B110" s="3"/>
      <c r="C110" s="3"/>
      <c r="D110" s="29">
        <f t="shared" ref="D110:S110" ca="1" si="40">D83</f>
        <v>0</v>
      </c>
      <c r="E110" s="29">
        <f t="shared" ca="1" si="40"/>
        <v>0</v>
      </c>
      <c r="F110" s="29">
        <f t="shared" ca="1" si="40"/>
        <v>0</v>
      </c>
      <c r="G110" s="29">
        <f t="shared" ca="1" si="40"/>
        <v>0</v>
      </c>
      <c r="H110" s="29">
        <f t="shared" ca="1" si="40"/>
        <v>2.7408873981399018E-13</v>
      </c>
      <c r="I110" s="29">
        <f t="shared" ca="1" si="40"/>
        <v>3.4064343010091432E-13</v>
      </c>
      <c r="J110" s="29">
        <f t="shared" ca="1" si="40"/>
        <v>0</v>
      </c>
      <c r="K110" s="29">
        <f t="shared" ca="1" si="40"/>
        <v>353.72676896746214</v>
      </c>
      <c r="L110" s="29">
        <f t="shared" ca="1" si="40"/>
        <v>455.35475333416139</v>
      </c>
      <c r="M110" s="29">
        <f t="shared" ca="1" si="40"/>
        <v>227.88827441127</v>
      </c>
      <c r="N110" s="29">
        <f t="shared" ca="1" si="40"/>
        <v>210.16373112734246</v>
      </c>
      <c r="O110" s="29">
        <f t="shared" ca="1" si="40"/>
        <v>205.81532401413199</v>
      </c>
      <c r="P110" s="29">
        <f t="shared" ca="1" si="40"/>
        <v>72.581491065520865</v>
      </c>
      <c r="Q110" s="29">
        <f t="shared" ca="1" si="40"/>
        <v>128.72695378053956</v>
      </c>
      <c r="R110" s="29">
        <f t="shared" ca="1" si="40"/>
        <v>244.30103585191009</v>
      </c>
      <c r="S110" s="29">
        <f t="shared" ca="1" si="40"/>
        <v>0</v>
      </c>
    </row>
    <row r="111" spans="1:19">
      <c r="A111" s="5" t="s">
        <v>1067</v>
      </c>
      <c r="B111" s="3"/>
      <c r="C111" s="3"/>
      <c r="D111" s="29">
        <f t="shared" ref="D111:S111" ca="1" si="41">D84</f>
        <v>750</v>
      </c>
      <c r="E111" s="29">
        <f t="shared" ca="1" si="41"/>
        <v>750</v>
      </c>
      <c r="F111" s="29">
        <f t="shared" ca="1" si="41"/>
        <v>375</v>
      </c>
      <c r="G111" s="29">
        <f t="shared" ca="1" si="41"/>
        <v>471.4</v>
      </c>
      <c r="H111" s="29">
        <f t="shared" ca="1" si="41"/>
        <v>1092</v>
      </c>
      <c r="I111" s="29">
        <f t="shared" ca="1" si="41"/>
        <v>1092</v>
      </c>
      <c r="J111" s="29">
        <f t="shared" ca="1" si="41"/>
        <v>492</v>
      </c>
      <c r="K111" s="29">
        <f t="shared" ca="1" si="41"/>
        <v>1575</v>
      </c>
      <c r="L111" s="29">
        <f t="shared" ca="1" si="41"/>
        <v>375</v>
      </c>
      <c r="M111" s="29">
        <f t="shared" ca="1" si="41"/>
        <v>775</v>
      </c>
      <c r="N111" s="29">
        <f t="shared" ca="1" si="41"/>
        <v>975</v>
      </c>
      <c r="O111" s="29">
        <f t="shared" ca="1" si="41"/>
        <v>1775</v>
      </c>
      <c r="P111" s="29">
        <f t="shared" ca="1" si="41"/>
        <v>375</v>
      </c>
      <c r="Q111" s="29">
        <f t="shared" ca="1" si="41"/>
        <v>375</v>
      </c>
      <c r="R111" s="29">
        <f t="shared" ca="1" si="41"/>
        <v>375</v>
      </c>
      <c r="S111" s="29">
        <f t="shared" ca="1" si="41"/>
        <v>375</v>
      </c>
    </row>
    <row r="112" spans="1:19">
      <c r="A112" s="5" t="s">
        <v>1068</v>
      </c>
      <c r="B112" s="3"/>
      <c r="C112" s="3"/>
      <c r="D112" s="29">
        <f t="shared" ref="D112:S112" ca="1" si="42">D85</f>
        <v>61.983999999999995</v>
      </c>
      <c r="E112" s="29">
        <f t="shared" ca="1" si="42"/>
        <v>61.79</v>
      </c>
      <c r="F112" s="29">
        <f t="shared" ca="1" si="42"/>
        <v>128.93765998167842</v>
      </c>
      <c r="G112" s="29">
        <f t="shared" ca="1" si="42"/>
        <v>22.513916573855241</v>
      </c>
      <c r="H112" s="29">
        <f t="shared" ca="1" si="42"/>
        <v>28.538921468694642</v>
      </c>
      <c r="I112" s="29">
        <f t="shared" ca="1" si="42"/>
        <v>30.699205163271838</v>
      </c>
      <c r="J112" s="29">
        <f t="shared" ca="1" si="42"/>
        <v>-1.3608148406251712</v>
      </c>
      <c r="K112" s="29">
        <f t="shared" ca="1" si="42"/>
        <v>140.40479683834607</v>
      </c>
      <c r="L112" s="29">
        <f t="shared" ca="1" si="42"/>
        <v>6.189516630514845</v>
      </c>
      <c r="M112" s="29">
        <f t="shared" ca="1" si="42"/>
        <v>-0.97362949397691412</v>
      </c>
      <c r="N112" s="29">
        <f t="shared" ca="1" si="42"/>
        <v>-3.0791409763728006</v>
      </c>
      <c r="O112" s="29">
        <f t="shared" ca="1" si="42"/>
        <v>-3.33582639185297</v>
      </c>
      <c r="P112" s="29">
        <f t="shared" ca="1" si="42"/>
        <v>-3.0811117204615583</v>
      </c>
      <c r="Q112" s="29">
        <f t="shared" ca="1" si="42"/>
        <v>-2.7256521746992806</v>
      </c>
      <c r="R112" s="29">
        <f t="shared" ca="1" si="42"/>
        <v>-2.3693698460754242</v>
      </c>
      <c r="S112" s="29">
        <f t="shared" ca="1" si="42"/>
        <v>-394.77284019407364</v>
      </c>
    </row>
    <row r="113" spans="1:19">
      <c r="A113" s="5" t="s">
        <v>1069</v>
      </c>
      <c r="B113" s="3"/>
      <c r="C113" s="3"/>
      <c r="D113" s="29">
        <f>IF($D$5=0,Assumptions!$B$496,D86)</f>
        <v>3832</v>
      </c>
      <c r="E113" s="29">
        <f t="shared" ref="E113:S113" ca="1" si="43">E86</f>
        <v>900.78459459459452</v>
      </c>
      <c r="F113" s="29">
        <f t="shared" ca="1" si="43"/>
        <v>705.62165998167836</v>
      </c>
      <c r="G113" s="29">
        <f t="shared" ca="1" si="43"/>
        <v>663.32847657385526</v>
      </c>
      <c r="H113" s="29">
        <f t="shared" ca="1" si="43"/>
        <v>1258.8941454686951</v>
      </c>
      <c r="I113" s="29">
        <f t="shared" ca="1" si="43"/>
        <v>1231.1697007792723</v>
      </c>
      <c r="J113" s="29">
        <f t="shared" ca="1" si="43"/>
        <v>570.36499943713488</v>
      </c>
      <c r="K113" s="29">
        <f t="shared" ca="1" si="43"/>
        <v>2121.2190978006115</v>
      </c>
      <c r="L113" s="29">
        <f t="shared" ca="1" si="43"/>
        <v>862.06716064212981</v>
      </c>
      <c r="M113" s="29">
        <f t="shared" ca="1" si="43"/>
        <v>1001.9146449172931</v>
      </c>
      <c r="N113" s="29">
        <f t="shared" ca="1" si="43"/>
        <v>1182.0845901509697</v>
      </c>
      <c r="O113" s="29">
        <f t="shared" ca="1" si="43"/>
        <v>1977.4794976222788</v>
      </c>
      <c r="P113" s="29">
        <f t="shared" ca="1" si="43"/>
        <v>444.50037934505934</v>
      </c>
      <c r="Q113" s="29">
        <f t="shared" ca="1" si="43"/>
        <v>501.0013016058403</v>
      </c>
      <c r="R113" s="29">
        <f t="shared" ca="1" si="43"/>
        <v>616.9316660058347</v>
      </c>
      <c r="S113" s="29">
        <f t="shared" ca="1" si="43"/>
        <v>-19.772840194073638</v>
      </c>
    </row>
    <row r="114" spans="1:19">
      <c r="A114" s="19" t="s">
        <v>1070</v>
      </c>
      <c r="B114" s="20"/>
      <c r="C114" s="20"/>
      <c r="D114" s="115">
        <f ca="1">D87</f>
        <v>1118.8376923076924</v>
      </c>
      <c r="E114" s="115">
        <f t="shared" ref="E114:S114" ca="1" si="44">E87</f>
        <v>2578.6319054054052</v>
      </c>
      <c r="F114" s="115">
        <f t="shared" ca="1" si="44"/>
        <v>5906.2843939197965</v>
      </c>
      <c r="G114" s="115">
        <f t="shared" ca="1" si="44"/>
        <v>6517.262350562075</v>
      </c>
      <c r="H114" s="115">
        <f t="shared" ca="1" si="44"/>
        <v>6636.8997704715566</v>
      </c>
      <c r="I114" s="115">
        <f t="shared" ca="1" si="44"/>
        <v>7433.2625009238582</v>
      </c>
      <c r="J114" s="115">
        <f t="shared" ca="1" si="44"/>
        <v>8091.4248123511443</v>
      </c>
      <c r="K114" s="115">
        <f t="shared" ca="1" si="44"/>
        <v>8620.9228395914815</v>
      </c>
      <c r="L114" s="115">
        <f t="shared" ca="1" si="44"/>
        <v>9229.7124154939793</v>
      </c>
      <c r="M114" s="115">
        <f t="shared" ca="1" si="44"/>
        <v>8258.2697418306034</v>
      </c>
      <c r="N114" s="115">
        <f t="shared" ca="1" si="44"/>
        <v>7189.4619412410993</v>
      </c>
      <c r="O114" s="115">
        <f t="shared" ca="1" si="44"/>
        <v>5474.3398232442469</v>
      </c>
      <c r="P114" s="115">
        <f t="shared" ca="1" si="44"/>
        <v>6052.6135148149524</v>
      </c>
      <c r="Q114" s="115">
        <f t="shared" ca="1" si="44"/>
        <v>4997.4584376453149</v>
      </c>
      <c r="R114" s="115">
        <f t="shared" ca="1" si="44"/>
        <v>3830.534177691944</v>
      </c>
      <c r="S114" s="115">
        <f t="shared" ca="1" si="44"/>
        <v>2673.9181731684503</v>
      </c>
    </row>
    <row r="115" spans="1:19">
      <c r="A115" s="5" t="s">
        <v>1072</v>
      </c>
      <c r="B115" s="3"/>
      <c r="C115" s="3"/>
      <c r="D115" s="70">
        <f ca="1">E47*'Vehicle Build'!E44</f>
        <v>0</v>
      </c>
      <c r="E115" s="70">
        <f ca="1">F47*'Vehicle Build'!F44</f>
        <v>0</v>
      </c>
      <c r="F115" s="70">
        <f ca="1">G47*'Vehicle Build'!G44</f>
        <v>0</v>
      </c>
      <c r="G115" s="70">
        <f ca="1">H47*'Vehicle Build'!H44</f>
        <v>6.5192580223083496E-9</v>
      </c>
      <c r="H115" s="70">
        <f ca="1">I47*'Vehicle Build'!I44</f>
        <v>1.4901161193847656E-8</v>
      </c>
      <c r="I115" s="70">
        <f ca="1">J47*'Vehicle Build'!J44</f>
        <v>0</v>
      </c>
      <c r="J115" s="70">
        <f ca="1">K47*'Vehicle Build'!K44</f>
        <v>55162151.824829675</v>
      </c>
      <c r="K115" s="70">
        <f ca="1">L47*'Vehicle Build'!L44</f>
        <v>66797626.972371116</v>
      </c>
      <c r="L115" s="70">
        <f ca="1">M47*'Vehicle Build'!M44</f>
        <v>75187568.680376709</v>
      </c>
      <c r="M115" s="70">
        <f ca="1">N47*'Vehicle Build'!N44</f>
        <v>82119466.795841008</v>
      </c>
      <c r="N115" s="70">
        <f ca="1">O47*'Vehicle Build'!O44</f>
        <v>88671067.84442912</v>
      </c>
      <c r="O115" s="70">
        <f ca="1">P47*'Vehicle Build'!P44</f>
        <v>95354059.40805316</v>
      </c>
      <c r="P115" s="70">
        <f ca="1">Q47*'Vehicle Build'!Q44</f>
        <v>102404050.00394437</v>
      </c>
      <c r="Q115" s="70">
        <f ca="1">R47*'Vehicle Build'!R44</f>
        <v>109940958.86379299</v>
      </c>
      <c r="R115" s="70">
        <f ca="1">S47*'Vehicle Build'!S44</f>
        <v>0</v>
      </c>
      <c r="S115" s="70" t="e">
        <f>#REF!*'Vehicle Build'!T44</f>
        <v>#REF!</v>
      </c>
    </row>
    <row r="116" spans="1:19">
      <c r="A116" s="5" t="s">
        <v>1073</v>
      </c>
      <c r="B116" s="3"/>
      <c r="C116" s="3"/>
      <c r="D116" s="60">
        <f t="shared" ref="D116:S116" ca="1" si="45">D98</f>
        <v>0</v>
      </c>
      <c r="E116" s="60">
        <f t="shared" ca="1" si="45"/>
        <v>0</v>
      </c>
      <c r="F116" s="60">
        <f t="shared" ca="1" si="45"/>
        <v>0</v>
      </c>
      <c r="G116" s="60">
        <f t="shared" ca="1" si="45"/>
        <v>0</v>
      </c>
      <c r="H116" s="60">
        <f t="shared" ca="1" si="45"/>
        <v>0</v>
      </c>
      <c r="I116" s="60">
        <f t="shared" ca="1" si="45"/>
        <v>0</v>
      </c>
      <c r="J116" s="60">
        <f t="shared" ca="1" si="45"/>
        <v>0</v>
      </c>
      <c r="K116" s="60">
        <f t="shared" ca="1" si="45"/>
        <v>1.5897203427853834</v>
      </c>
      <c r="L116" s="60">
        <f t="shared" ca="1" si="45"/>
        <v>1.1744562980473956</v>
      </c>
      <c r="M116" s="60">
        <f t="shared" ca="1" si="45"/>
        <v>1.0862868932350631</v>
      </c>
      <c r="N116" s="60">
        <f t="shared" ca="1" si="45"/>
        <v>0.88725620243046777</v>
      </c>
      <c r="O116" s="60">
        <f t="shared" ca="1" si="45"/>
        <v>0.65784788044266307</v>
      </c>
      <c r="P116" s="60">
        <f t="shared" ca="1" si="45"/>
        <v>0.38924887998178537</v>
      </c>
      <c r="Q116" s="60">
        <f t="shared" ca="1" si="45"/>
        <v>0.2636884727514518</v>
      </c>
      <c r="R116" s="60">
        <f t="shared" ca="1" si="45"/>
        <v>9.0586387116495262E-2</v>
      </c>
      <c r="S116" s="60">
        <f t="shared" ca="1" si="45"/>
        <v>0</v>
      </c>
    </row>
    <row r="117" spans="1:19">
      <c r="A117" s="5" t="s">
        <v>1071</v>
      </c>
      <c r="B117" s="3"/>
      <c r="C117" s="3"/>
      <c r="D117" s="29">
        <f ca="1">SUM($D86:D86)</f>
        <v>847.67630769230777</v>
      </c>
      <c r="E117" s="29">
        <f ca="1">SUM($D86:E86)</f>
        <v>1748.4609022869022</v>
      </c>
      <c r="F117" s="29">
        <f ca="1">SUM($D86:F86)</f>
        <v>2454.0825622685807</v>
      </c>
      <c r="G117" s="29">
        <f ca="1">SUM($D86:G86)</f>
        <v>3117.411038842436</v>
      </c>
      <c r="H117" s="29">
        <f ca="1">SUM($D86:H86)</f>
        <v>4376.3051843111316</v>
      </c>
      <c r="I117" s="29">
        <f ca="1">SUM($D86:I86)</f>
        <v>5607.4748850904034</v>
      </c>
      <c r="J117" s="29">
        <f ca="1">SUM($D86:J86)</f>
        <v>6177.8398845275387</v>
      </c>
      <c r="K117" s="29">
        <f ca="1">SUM($D86:K86)</f>
        <v>8299.0589823281498</v>
      </c>
      <c r="L117" s="29">
        <f ca="1">SUM($D86:L86)</f>
        <v>9161.126142970279</v>
      </c>
      <c r="M117" s="29">
        <f ca="1">SUM($D86:M86)</f>
        <v>10163.040787887572</v>
      </c>
      <c r="N117" s="29">
        <f ca="1">SUM($D86:N86)</f>
        <v>11345.125378038541</v>
      </c>
      <c r="O117" s="29">
        <f ca="1">SUM($D86:O86)</f>
        <v>13322.60487566082</v>
      </c>
      <c r="P117" s="29">
        <f ca="1">SUM($D86:P86)</f>
        <v>13767.105255005879</v>
      </c>
      <c r="Q117" s="29">
        <f ca="1">SUM($D86:Q86)</f>
        <v>14268.106556611719</v>
      </c>
      <c r="R117" s="29">
        <f ca="1">SUM($D86:R86)</f>
        <v>14885.038222617553</v>
      </c>
      <c r="S117" s="29">
        <f ca="1">SUM($D86:S86)</f>
        <v>14865.26538242348</v>
      </c>
    </row>
    <row r="118" spans="1:19">
      <c r="A118" s="5" t="s">
        <v>1222</v>
      </c>
      <c r="B118" s="3"/>
      <c r="C118" s="3"/>
      <c r="D118" s="15">
        <f t="shared" ref="D118:S118" ca="1" si="46">IFERROR(D75/(D42+D9),0)</f>
        <v>2.2879684418145956E-2</v>
      </c>
      <c r="E118" s="15">
        <f t="shared" ca="1" si="46"/>
        <v>7.0206589125508048E-2</v>
      </c>
      <c r="F118" s="15">
        <f t="shared" ca="1" si="46"/>
        <v>0.20378085924500364</v>
      </c>
      <c r="G118" s="15">
        <f t="shared" ca="1" si="46"/>
        <v>0.28269836673693116</v>
      </c>
      <c r="H118" s="15">
        <f t="shared" ca="1" si="46"/>
        <v>0.32531456301806172</v>
      </c>
      <c r="I118" s="15">
        <f t="shared" ca="1" si="46"/>
        <v>0.34380147310319548</v>
      </c>
      <c r="J118" s="15">
        <f t="shared" ca="1" si="46"/>
        <v>0.38498923042165833</v>
      </c>
      <c r="K118" s="15">
        <f t="shared" ca="1" si="46"/>
        <v>1.7760813896474588</v>
      </c>
      <c r="L118" s="15">
        <f t="shared" ca="1" si="46"/>
        <v>4.1032909745660433</v>
      </c>
      <c r="M118" s="15">
        <f t="shared" ca="1" si="46"/>
        <v>9.9092729148691827</v>
      </c>
      <c r="N118" s="15">
        <f t="shared" ca="1" si="46"/>
        <v>24.662448542150084</v>
      </c>
      <c r="O118" s="15">
        <f t="shared" ca="1" si="46"/>
        <v>30.609450127897084</v>
      </c>
      <c r="P118" s="15">
        <f t="shared" ca="1" si="46"/>
        <v>0</v>
      </c>
      <c r="Q118" s="15">
        <f t="shared" ca="1" si="46"/>
        <v>0</v>
      </c>
      <c r="R118" s="15">
        <f t="shared" ca="1" si="46"/>
        <v>0</v>
      </c>
      <c r="S118" s="15">
        <f t="shared" ca="1" si="46"/>
        <v>0</v>
      </c>
    </row>
    <row r="119" spans="1:19">
      <c r="A119" s="5" t="s">
        <v>1223</v>
      </c>
      <c r="B119" s="3"/>
      <c r="C119" s="3"/>
      <c r="D119" s="15">
        <f t="shared" ref="D119:S119" ca="1" si="47">IFERROR(D76/(D47+D10),0)</f>
        <v>0</v>
      </c>
      <c r="E119" s="15">
        <f t="shared" ca="1" si="47"/>
        <v>0</v>
      </c>
      <c r="F119" s="15">
        <f t="shared" ca="1" si="47"/>
        <v>0</v>
      </c>
      <c r="G119" s="15">
        <f t="shared" ca="1" si="47"/>
        <v>0</v>
      </c>
      <c r="H119" s="15">
        <f t="shared" ca="1" si="47"/>
        <v>1.1016428449115359E-16</v>
      </c>
      <c r="I119" s="15">
        <f t="shared" ca="1" si="47"/>
        <v>1.5246333579238702E-16</v>
      </c>
      <c r="J119" s="15">
        <f t="shared" ca="1" si="47"/>
        <v>1.4309408052022917E-16</v>
      </c>
      <c r="K119" s="15">
        <f t="shared" ca="1" si="47"/>
        <v>4.8598948382956378E-2</v>
      </c>
      <c r="L119" s="15">
        <f t="shared" ca="1" si="47"/>
        <v>0.16940904581144806</v>
      </c>
      <c r="M119" s="15">
        <f t="shared" ca="1" si="47"/>
        <v>0.12911279860701838</v>
      </c>
      <c r="N119" s="15">
        <f t="shared" ca="1" si="47"/>
        <v>0.12088400531893728</v>
      </c>
      <c r="O119" s="15">
        <f t="shared" ca="1" si="47"/>
        <v>0.10144277088631119</v>
      </c>
      <c r="P119" s="15">
        <f t="shared" ca="1" si="47"/>
        <v>0.13860692680691378</v>
      </c>
      <c r="Q119" s="15">
        <f t="shared" ca="1" si="47"/>
        <v>0.19562743673424937</v>
      </c>
      <c r="R119" s="15">
        <f t="shared" ca="1" si="47"/>
        <v>0.28262288505988403</v>
      </c>
      <c r="S119" s="15">
        <f t="shared" ca="1" si="47"/>
        <v>0.70630890347929276</v>
      </c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13" t="s">
        <v>1224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>
      <c r="A122" s="5" t="s">
        <v>1077</v>
      </c>
      <c r="B122" s="3"/>
      <c r="C122" s="3"/>
      <c r="D122" s="23" t="str">
        <f t="shared" ref="D122:S122" ca="1" si="48">IF(ABS((D59+D60+D82+D83)-((D42+D9)*D19+(D47+D10)*D20))/MAX(1,D54)&lt;0.05,"OK","CHECK")</f>
        <v>CHECK</v>
      </c>
      <c r="E122" s="23" t="str">
        <f t="shared" ca="1" si="48"/>
        <v>CHECK</v>
      </c>
      <c r="F122" s="23" t="str">
        <f t="shared" ca="1" si="48"/>
        <v>CHECK</v>
      </c>
      <c r="G122" s="23" t="str">
        <f t="shared" ca="1" si="48"/>
        <v>CHECK</v>
      </c>
      <c r="H122" s="23" t="str">
        <f t="shared" ca="1" si="48"/>
        <v>CHECK</v>
      </c>
      <c r="I122" s="23" t="str">
        <f t="shared" ca="1" si="48"/>
        <v>CHECK</v>
      </c>
      <c r="J122" s="23" t="str">
        <f t="shared" ca="1" si="48"/>
        <v>CHECK</v>
      </c>
      <c r="K122" s="23" t="str">
        <f t="shared" ca="1" si="48"/>
        <v>OK</v>
      </c>
      <c r="L122" s="23" t="str">
        <f t="shared" ca="1" si="48"/>
        <v>CHECK</v>
      </c>
      <c r="M122" s="23" t="str">
        <f t="shared" ca="1" si="48"/>
        <v>CHECK</v>
      </c>
      <c r="N122" s="23" t="str">
        <f t="shared" ca="1" si="48"/>
        <v>CHECK</v>
      </c>
      <c r="O122" s="23" t="str">
        <f t="shared" ca="1" si="48"/>
        <v>OK</v>
      </c>
      <c r="P122" s="23" t="str">
        <f t="shared" ca="1" si="48"/>
        <v>CHECK</v>
      </c>
      <c r="Q122" s="23" t="str">
        <f t="shared" ca="1" si="48"/>
        <v>CHECK</v>
      </c>
      <c r="R122" s="23" t="str">
        <f t="shared" ca="1" si="48"/>
        <v>CHECK</v>
      </c>
      <c r="S122" s="23" t="str">
        <f t="shared" ca="1" si="48"/>
        <v>CHECK</v>
      </c>
    </row>
    <row r="123" spans="1:19">
      <c r="A123" s="5" t="s">
        <v>1225</v>
      </c>
      <c r="B123" s="3"/>
      <c r="C123" s="3"/>
      <c r="D123" s="77" t="e">
        <f ca="1">IF(ABS((D40*(D91+INDEX(Assumptions!$B:$B,MATCH("Customer Launch R&amp;D: end-state % (floor)",Assumptions!$A$1:$A$257,0))*D90)+D45*(D95+INDEX(Assumptions!$B:$B,MATCH("Customer Launch R&amp;D: end-state % (floor)",Assumptions!$A$1:$A$257,0))*D94))-(D64-D69))/MAX(1,D54)&lt;0.05,"OK","CHECK")</f>
        <v>#N/A</v>
      </c>
      <c r="E123" s="77" t="e">
        <f ca="1">IF(ABS((E40*(E91+INDEX(Assumptions!$B:$B,MATCH("Customer Launch R&amp;D: end-state % (floor)",Assumptions!$A$1:$A$257,0))*E90)+E45*(E95+INDEX(Assumptions!$B:$B,MATCH("Customer Launch R&amp;D: end-state % (floor)",Assumptions!$A$1:$A$257,0))*E94))-(E64-E69))/MAX(1,E54)&lt;0.05,"OK","CHECK")</f>
        <v>#N/A</v>
      </c>
      <c r="F123" s="77" t="e">
        <f ca="1">IF(ABS((F40*(F91+INDEX(Assumptions!$B:$B,MATCH("Customer Launch R&amp;D: end-state % (floor)",Assumptions!$A$1:$A$257,0))*F90)+F45*(F95+INDEX(Assumptions!$B:$B,MATCH("Customer Launch R&amp;D: end-state % (floor)",Assumptions!$A$1:$A$257,0))*F94))-(F64-F69))/MAX(1,F54)&lt;0.05,"OK","CHECK")</f>
        <v>#N/A</v>
      </c>
      <c r="G123" s="77" t="e">
        <f ca="1">IF(ABS((G40*(G91+INDEX(Assumptions!$B:$B,MATCH("Customer Launch R&amp;D: end-state % (floor)",Assumptions!$A$1:$A$257,0))*G90)+G45*(G95+INDEX(Assumptions!$B:$B,MATCH("Customer Launch R&amp;D: end-state % (floor)",Assumptions!$A$1:$A$257,0))*G94))-(G64-G69))/MAX(1,G54)&lt;0.05,"OK","CHECK")</f>
        <v>#N/A</v>
      </c>
      <c r="H123" s="77" t="e">
        <f ca="1">IF(ABS((H40*(H91+INDEX(Assumptions!$B:$B,MATCH("Customer Launch R&amp;D: end-state % (floor)",Assumptions!$A$1:$A$257,0))*H90)+H45*(H95+INDEX(Assumptions!$B:$B,MATCH("Customer Launch R&amp;D: end-state % (floor)",Assumptions!$A$1:$A$257,0))*H94))-(H64-H69))/MAX(1,H54)&lt;0.05,"OK","CHECK")</f>
        <v>#N/A</v>
      </c>
      <c r="I123" s="77" t="e">
        <f ca="1">IF(ABS((I40*(I91+INDEX(Assumptions!$B:$B,MATCH("Customer Launch R&amp;D: end-state % (floor)",Assumptions!$A$1:$A$257,0))*I90)+I45*(I95+INDEX(Assumptions!$B:$B,MATCH("Customer Launch R&amp;D: end-state % (floor)",Assumptions!$A$1:$A$257,0))*I94))-(I64-I69))/MAX(1,I54)&lt;0.05,"OK","CHECK")</f>
        <v>#N/A</v>
      </c>
      <c r="J123" s="77" t="e">
        <f ca="1">IF(ABS((J40*(J91+INDEX(Assumptions!$B:$B,MATCH("Customer Launch R&amp;D: end-state % (floor)",Assumptions!$A$1:$A$257,0))*J90)+J45*(J95+INDEX(Assumptions!$B:$B,MATCH("Customer Launch R&amp;D: end-state % (floor)",Assumptions!$A$1:$A$257,0))*J94))-(J64-J69))/MAX(1,J54)&lt;0.05,"OK","CHECK")</f>
        <v>#N/A</v>
      </c>
      <c r="K123" s="77" t="e">
        <f ca="1">IF(ABS((K40*(K91+INDEX(Assumptions!$B:$B,MATCH("Customer Launch R&amp;D: end-state % (floor)",Assumptions!$A$1:$A$257,0))*K90)+K45*(K95+INDEX(Assumptions!$B:$B,MATCH("Customer Launch R&amp;D: end-state % (floor)",Assumptions!$A$1:$A$257,0))*K94))-(K64-K69))/MAX(1,K54)&lt;0.05,"OK","CHECK")</f>
        <v>#N/A</v>
      </c>
      <c r="L123" s="77" t="e">
        <f ca="1">IF(ABS((L40*(L91+INDEX(Assumptions!$B:$B,MATCH("Customer Launch R&amp;D: end-state % (floor)",Assumptions!$A$1:$A$257,0))*L90)+L45*(L95+INDEX(Assumptions!$B:$B,MATCH("Customer Launch R&amp;D: end-state % (floor)",Assumptions!$A$1:$A$257,0))*L94))-(L64-L69))/MAX(1,L54)&lt;0.05,"OK","CHECK")</f>
        <v>#N/A</v>
      </c>
      <c r="M123" s="77" t="e">
        <f ca="1">IF(ABS((M40*(M91+INDEX(Assumptions!$B:$B,MATCH("Customer Launch R&amp;D: end-state % (floor)",Assumptions!$A$1:$A$257,0))*M90)+M45*(M95+INDEX(Assumptions!$B:$B,MATCH("Customer Launch R&amp;D: end-state % (floor)",Assumptions!$A$1:$A$257,0))*M94))-(M64-M69))/MAX(1,M54)&lt;0.05,"OK","CHECK")</f>
        <v>#N/A</v>
      </c>
      <c r="N123" s="77" t="e">
        <f ca="1">IF(ABS((N40*(N91+INDEX(Assumptions!$B:$B,MATCH("Customer Launch R&amp;D: end-state % (floor)",Assumptions!$A$1:$A$257,0))*N90)+N45*(N95+INDEX(Assumptions!$B:$B,MATCH("Customer Launch R&amp;D: end-state % (floor)",Assumptions!$A$1:$A$257,0))*N94))-(N64-N69))/MAX(1,N54)&lt;0.05,"OK","CHECK")</f>
        <v>#N/A</v>
      </c>
      <c r="O123" s="77" t="e">
        <f ca="1">IF(ABS((O40*(O91+INDEX(Assumptions!$B:$B,MATCH("Customer Launch R&amp;D: end-state % (floor)",Assumptions!$A$1:$A$257,0))*O90)+O45*(O95+INDEX(Assumptions!$B:$B,MATCH("Customer Launch R&amp;D: end-state % (floor)",Assumptions!$A$1:$A$257,0))*O94))-(O64-O69))/MAX(1,O54)&lt;0.05,"OK","CHECK")</f>
        <v>#N/A</v>
      </c>
      <c r="P123" s="77" t="e">
        <f ca="1">IF(ABS((P40*(P91+INDEX(Assumptions!$B:$B,MATCH("Customer Launch R&amp;D: end-state % (floor)",Assumptions!$A$1:$A$257,0))*P90)+P45*(P95+INDEX(Assumptions!$B:$B,MATCH("Customer Launch R&amp;D: end-state % (floor)",Assumptions!$A$1:$A$257,0))*P94))-(P64-P69))/MAX(1,P54)&lt;0.05,"OK","CHECK")</f>
        <v>#N/A</v>
      </c>
      <c r="Q123" s="77" t="e">
        <f ca="1">IF(ABS((Q40*(Q91+INDEX(Assumptions!$B:$B,MATCH("Customer Launch R&amp;D: end-state % (floor)",Assumptions!$A$1:$A$257,0))*Q90)+Q45*(Q95+INDEX(Assumptions!$B:$B,MATCH("Customer Launch R&amp;D: end-state % (floor)",Assumptions!$A$1:$A$257,0))*Q94))-(Q64-Q69))/MAX(1,Q54)&lt;0.05,"OK","CHECK")</f>
        <v>#N/A</v>
      </c>
      <c r="R123" s="77" t="e">
        <f ca="1">IF(ABS((R40*(R91+INDEX(Assumptions!$B:$B,MATCH("Customer Launch R&amp;D: end-state % (floor)",Assumptions!$A$1:$A$257,0))*R90)+R45*(R95+INDEX(Assumptions!$B:$B,MATCH("Customer Launch R&amp;D: end-state % (floor)",Assumptions!$A$1:$A$257,0))*R94))-(R64-R69))/MAX(1,R54)&lt;0.05,"OK","CHECK")</f>
        <v>#N/A</v>
      </c>
      <c r="S123" s="77" t="e">
        <f ca="1">IF(ABS((S40*(S91+INDEX(Assumptions!$B:$B,MATCH("Customer Launch R&amp;D: end-state % (floor)",Assumptions!$A$1:$A$257,0))*S90)+S45*(S95+INDEX(Assumptions!$B:$B,MATCH("Customer Launch R&amp;D: end-state % (floor)",Assumptions!$A$1:$A$257,0))*S94))-(S64-S69))/MAX(1,S54)&lt;0.05,"OK","CHECK")</f>
        <v>#N/A</v>
      </c>
    </row>
    <row r="124" spans="1:19">
      <c r="A124" s="5" t="s">
        <v>1226</v>
      </c>
      <c r="B124" s="3"/>
      <c r="C124" s="3"/>
      <c r="D124" s="77" t="s">
        <v>1227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5" t="s">
        <v>1095</v>
      </c>
      <c r="B125" s="3"/>
      <c r="C125" s="3"/>
      <c r="D125" s="23" t="str">
        <f ca="1">IF(ABS(D54-4086)/4086&lt;0.05,"OK","CHECK")</f>
        <v>CHECK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78" t="s">
        <v>1228</v>
      </c>
      <c r="B126" s="78"/>
      <c r="C126" s="78"/>
      <c r="D126" s="118" t="str">
        <f ca="1">IF(ABS(D79-(-657))/657&lt;0.05,"OK","CHECK")</f>
        <v>CHECK</v>
      </c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</row>
    <row r="127" spans="1:19">
      <c r="A127" s="5" t="s">
        <v>1229</v>
      </c>
      <c r="B127" s="3"/>
      <c r="C127" s="3"/>
      <c r="D127" s="23" t="str">
        <f ca="1">IF(ABS(D78-757)/757&lt;0.1,"OK","CHECK")</f>
        <v>CHECK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5" t="s">
        <v>1230</v>
      </c>
      <c r="B128" s="3"/>
      <c r="C128" s="3"/>
      <c r="D128" s="23" t="str">
        <f ca="1">IF(ABS(D86-3832)/3832&lt;0.1,"OK","CHECK")</f>
        <v>CHECK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13" t="s">
        <v>1231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>
      <c r="A131" s="5" t="s">
        <v>1232</v>
      </c>
      <c r="B131" s="3"/>
      <c r="C131" s="3"/>
      <c r="D131" s="29">
        <f t="shared" ref="D131:S131" ca="1" si="49">D$42</f>
        <v>29</v>
      </c>
      <c r="E131" s="29">
        <f t="shared" ca="1" si="49"/>
        <v>84</v>
      </c>
      <c r="F131" s="29">
        <f t="shared" ca="1" si="49"/>
        <v>200.1972262606555</v>
      </c>
      <c r="G131" s="29">
        <f t="shared" ca="1" si="49"/>
        <v>219.22016565285918</v>
      </c>
      <c r="H131" s="29">
        <f t="shared" ca="1" si="49"/>
        <v>243.66442452028124</v>
      </c>
      <c r="I131" s="29">
        <f t="shared" ca="1" si="49"/>
        <v>270</v>
      </c>
      <c r="J131" s="29">
        <f t="shared" ca="1" si="49"/>
        <v>267</v>
      </c>
      <c r="K131" s="29">
        <f t="shared" ca="1" si="49"/>
        <v>61.54169885403121</v>
      </c>
      <c r="L131" s="29">
        <f t="shared" ca="1" si="49"/>
        <v>27.415415590533883</v>
      </c>
      <c r="M131" s="29">
        <f t="shared" ca="1" si="49"/>
        <v>11.352339200166227</v>
      </c>
      <c r="N131" s="29">
        <f t="shared" ca="1" si="49"/>
        <v>4.5613243617864896</v>
      </c>
      <c r="O131" s="29">
        <f t="shared" ca="1" si="49"/>
        <v>1.8118919374235816</v>
      </c>
      <c r="P131" s="29">
        <f t="shared" ca="1" si="49"/>
        <v>0.71679515061788379</v>
      </c>
      <c r="Q131" s="29">
        <f t="shared" ca="1" si="49"/>
        <v>0.28319039748510022</v>
      </c>
      <c r="R131" s="29">
        <f t="shared" ca="1" si="49"/>
        <v>0.1118475379373649</v>
      </c>
      <c r="S131" s="29">
        <f t="shared" ca="1" si="49"/>
        <v>6</v>
      </c>
    </row>
    <row r="132" spans="1:19">
      <c r="A132" s="5" t="s">
        <v>1233</v>
      </c>
      <c r="B132" s="3"/>
      <c r="C132" s="3"/>
      <c r="D132" s="29">
        <f t="shared" ref="D132:S132" ca="1" si="50">D$47</f>
        <v>0</v>
      </c>
      <c r="E132" s="29">
        <f t="shared" ca="1" si="50"/>
        <v>0</v>
      </c>
      <c r="F132" s="29">
        <f t="shared" ca="1" si="50"/>
        <v>0</v>
      </c>
      <c r="G132" s="29">
        <f t="shared" ca="1" si="50"/>
        <v>0</v>
      </c>
      <c r="H132" s="29">
        <f t="shared" ca="1" si="50"/>
        <v>3.7443304830134121E-14</v>
      </c>
      <c r="I132" s="29">
        <f t="shared" ca="1" si="50"/>
        <v>7.4505805969238287E-14</v>
      </c>
      <c r="J132" s="29">
        <f t="shared" ca="1" si="50"/>
        <v>0</v>
      </c>
      <c r="K132" s="29">
        <f t="shared" ca="1" si="50"/>
        <v>275.81075912414838</v>
      </c>
      <c r="L132" s="29">
        <f t="shared" ca="1" si="50"/>
        <v>333.9881348618556</v>
      </c>
      <c r="M132" s="29">
        <f t="shared" ca="1" si="50"/>
        <v>375.93784340188353</v>
      </c>
      <c r="N132" s="29">
        <f t="shared" ca="1" si="50"/>
        <v>410.59733397920508</v>
      </c>
      <c r="O132" s="29">
        <f t="shared" ca="1" si="50"/>
        <v>443.35533922214557</v>
      </c>
      <c r="P132" s="29">
        <f t="shared" ca="1" si="50"/>
        <v>476.7702970402658</v>
      </c>
      <c r="Q132" s="29">
        <f t="shared" ca="1" si="50"/>
        <v>512.02025001972186</v>
      </c>
      <c r="R132" s="29">
        <f t="shared" ca="1" si="50"/>
        <v>549.7047943189649</v>
      </c>
      <c r="S132" s="29">
        <f t="shared" ca="1" si="50"/>
        <v>0</v>
      </c>
    </row>
    <row r="133" spans="1:19">
      <c r="A133" s="5" t="s">
        <v>1033</v>
      </c>
      <c r="B133" s="3"/>
      <c r="C133" s="3"/>
      <c r="D133" s="29">
        <f t="shared" ref="D133:S133" ca="1" si="51">D$82+D$83</f>
        <v>35.692307692307693</v>
      </c>
      <c r="E133" s="29">
        <f t="shared" ca="1" si="51"/>
        <v>88.994594594594602</v>
      </c>
      <c r="F133" s="29">
        <f t="shared" ca="1" si="51"/>
        <v>201.68399999999997</v>
      </c>
      <c r="G133" s="29">
        <f t="shared" ca="1" si="51"/>
        <v>169.41455999999999</v>
      </c>
      <c r="H133" s="29">
        <f t="shared" ca="1" si="51"/>
        <v>138.35522400000028</v>
      </c>
      <c r="I133" s="29">
        <f t="shared" ca="1" si="51"/>
        <v>108.47049561600032</v>
      </c>
      <c r="J133" s="29">
        <f t="shared" ca="1" si="51"/>
        <v>79.72581427775998</v>
      </c>
      <c r="K133" s="29">
        <f t="shared" ca="1" si="51"/>
        <v>405.81430096226529</v>
      </c>
      <c r="L133" s="29">
        <f t="shared" ca="1" si="51"/>
        <v>480.87764401161496</v>
      </c>
      <c r="M133" s="29">
        <f t="shared" ca="1" si="51"/>
        <v>227.88827441127</v>
      </c>
      <c r="N133" s="29">
        <f t="shared" ca="1" si="51"/>
        <v>210.16373112734246</v>
      </c>
      <c r="O133" s="29">
        <f t="shared" ca="1" si="51"/>
        <v>205.81532401413199</v>
      </c>
      <c r="P133" s="29">
        <f t="shared" ca="1" si="51"/>
        <v>72.581491065520865</v>
      </c>
      <c r="Q133" s="29">
        <f t="shared" ca="1" si="51"/>
        <v>128.72695378053956</v>
      </c>
      <c r="R133" s="29">
        <f t="shared" ca="1" si="51"/>
        <v>244.30103585191009</v>
      </c>
      <c r="S133" s="29">
        <f t="shared" ca="1" si="51"/>
        <v>0</v>
      </c>
    </row>
    <row r="134" spans="1:19">
      <c r="A134" s="25" t="s">
        <v>1234</v>
      </c>
      <c r="B134" s="3"/>
      <c r="C134" s="3"/>
      <c r="D134" s="70">
        <f ca="1">'Facilities Build'!D73</f>
        <v>2223</v>
      </c>
      <c r="E134" s="70">
        <f ca="1">D134+'Facilities Build'!E73</f>
        <v>2223</v>
      </c>
      <c r="F134" s="70">
        <f ca="1">E134+'Facilities Build'!F73</f>
        <v>2223</v>
      </c>
      <c r="G134" s="70">
        <f ca="1">F134+'Facilities Build'!G73</f>
        <v>2223</v>
      </c>
      <c r="H134" s="70">
        <f ca="1">G134+'Facilities Build'!H73</f>
        <v>2431</v>
      </c>
      <c r="I134" s="70">
        <f ca="1">H134+'Facilities Build'!I73</f>
        <v>4433.0000000000009</v>
      </c>
      <c r="J134" s="70">
        <f ca="1">I134+'Facilities Build'!J73</f>
        <v>7726.7658094498129</v>
      </c>
      <c r="K134" s="70">
        <f ca="1">J134+'Facilities Build'!K73</f>
        <v>7833.8369165488493</v>
      </c>
      <c r="L134" s="70">
        <f ca="1">K134+'Facilities Build'!L73</f>
        <v>13528.996477744517</v>
      </c>
      <c r="M134" s="70">
        <f ca="1">L134+'Facilities Build'!M73</f>
        <v>13528.996477744517</v>
      </c>
      <c r="N134" s="70">
        <f ca="1">M134+'Facilities Build'!N73</f>
        <v>14911.009411227493</v>
      </c>
      <c r="O134" s="70">
        <f ca="1">N134+'Facilities Build'!O73</f>
        <v>18215.229188020334</v>
      </c>
      <c r="P134" s="70">
        <f ca="1">O134+'Facilities Build'!P73</f>
        <v>24965.469231624986</v>
      </c>
      <c r="Q134" s="70">
        <f ca="1">P134+'Facilities Build'!Q73</f>
        <v>24965.469231624986</v>
      </c>
      <c r="R134" s="70">
        <f ca="1">Q134+'Facilities Build'!R73</f>
        <v>24965.469231624986</v>
      </c>
      <c r="S134" s="70">
        <f ca="1">R134+'Facilities Build'!S73</f>
        <v>24965.469231624986</v>
      </c>
    </row>
    <row r="135" spans="1:19">
      <c r="A135" s="25" t="s">
        <v>1235</v>
      </c>
      <c r="B135" s="3"/>
      <c r="C135" s="3"/>
      <c r="D135" s="29">
        <f>D38+D44</f>
        <v>8</v>
      </c>
      <c r="E135" s="29">
        <f t="shared" ref="E135:S135" ca="1" si="52">D135+E38+E44</f>
        <v>16</v>
      </c>
      <c r="F135" s="29">
        <f t="shared" ca="1" si="52"/>
        <v>23</v>
      </c>
      <c r="G135" s="29">
        <f t="shared" ca="1" si="52"/>
        <v>34</v>
      </c>
      <c r="H135" s="29">
        <f t="shared" ca="1" si="52"/>
        <v>43</v>
      </c>
      <c r="I135" s="29">
        <f t="shared" ca="1" si="52"/>
        <v>52</v>
      </c>
      <c r="J135" s="29">
        <f t="shared" ca="1" si="52"/>
        <v>60</v>
      </c>
      <c r="K135" s="29">
        <f t="shared" ca="1" si="52"/>
        <v>66</v>
      </c>
      <c r="L135" s="29">
        <f t="shared" ca="1" si="52"/>
        <v>67</v>
      </c>
      <c r="M135" s="29">
        <f t="shared" ca="1" si="52"/>
        <v>68</v>
      </c>
      <c r="N135" s="29">
        <f t="shared" ca="1" si="52"/>
        <v>68</v>
      </c>
      <c r="O135" s="29">
        <f t="shared" ca="1" si="52"/>
        <v>73</v>
      </c>
      <c r="P135" s="29">
        <f t="shared" ca="1" si="52"/>
        <v>77</v>
      </c>
      <c r="Q135" s="29">
        <f t="shared" ca="1" si="52"/>
        <v>82</v>
      </c>
      <c r="R135" s="29">
        <f t="shared" ca="1" si="52"/>
        <v>87</v>
      </c>
      <c r="S135" s="29">
        <f t="shared" ca="1" si="52"/>
        <v>92</v>
      </c>
    </row>
    <row r="136" spans="1:19">
      <c r="A136" s="25" t="s">
        <v>1236</v>
      </c>
      <c r="B136" s="3"/>
      <c r="C136" s="3"/>
      <c r="D136" s="29">
        <f t="shared" ref="D136:S136" ca="1" si="53">IFERROR(D134/D135,0)</f>
        <v>277.875</v>
      </c>
      <c r="E136" s="29">
        <f t="shared" ca="1" si="53"/>
        <v>138.9375</v>
      </c>
      <c r="F136" s="29">
        <f t="shared" ca="1" si="53"/>
        <v>96.652173913043484</v>
      </c>
      <c r="G136" s="29">
        <f t="shared" ca="1" si="53"/>
        <v>65.382352941176464</v>
      </c>
      <c r="H136" s="29">
        <f t="shared" ca="1" si="53"/>
        <v>56.534883720930232</v>
      </c>
      <c r="I136" s="29">
        <f t="shared" ca="1" si="53"/>
        <v>85.250000000000014</v>
      </c>
      <c r="J136" s="29">
        <f t="shared" ca="1" si="53"/>
        <v>128.77943015749688</v>
      </c>
      <c r="K136" s="29">
        <f t="shared" ca="1" si="53"/>
        <v>118.69449873558862</v>
      </c>
      <c r="L136" s="29">
        <f t="shared" ca="1" si="53"/>
        <v>201.92532056335099</v>
      </c>
      <c r="M136" s="29">
        <f t="shared" ca="1" si="53"/>
        <v>198.95583055506643</v>
      </c>
      <c r="N136" s="29">
        <f t="shared" ca="1" si="53"/>
        <v>219.27955016511018</v>
      </c>
      <c r="O136" s="29">
        <f t="shared" ca="1" si="53"/>
        <v>249.52368750712787</v>
      </c>
      <c r="P136" s="29">
        <f t="shared" ca="1" si="53"/>
        <v>324.22687313798684</v>
      </c>
      <c r="Q136" s="29">
        <f t="shared" ca="1" si="53"/>
        <v>304.45694184908518</v>
      </c>
      <c r="R136" s="29">
        <f t="shared" ca="1" si="53"/>
        <v>286.95941645545963</v>
      </c>
      <c r="S136" s="29">
        <f t="shared" ca="1" si="53"/>
        <v>271.36379599592374</v>
      </c>
    </row>
    <row r="137" spans="1:1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16" t="s">
        <v>1237</v>
      </c>
      <c r="B138" s="16" t="s">
        <v>1237</v>
      </c>
      <c r="C138" s="16" t="s">
        <v>1237</v>
      </c>
      <c r="D138" s="119">
        <f>IF(D12&gt;0, (1-D18)*(D11/INDEX(Assumptions!$B:$B,MATCH("F9 average realized payload per launch (kg)",Assumptions!$A$1:$A$394,0))) + D18*(D12/'Vehicle Build'!D44), D11/INDEX(Assumptions!$B:$B,MATCH("F9 average realized payload per launch (kg)",Assumptions!$A$1:$A$394,0)))</f>
        <v>4.2480620155038755E-3</v>
      </c>
      <c r="E138" s="119">
        <f>IF(E12&gt;0, (1-E18)*(E11/INDEX(Assumptions!$B:$B,MATCH("F9 average realized payload per launch (kg)",Assumptions!$A$1:$A$394,0))) + E18*(E12/'Vehicle Build'!E44), E11/INDEX(Assumptions!$B:$B,MATCH("F9 average realized payload per launch (kg)",Assumptions!$A$1:$A$394,0)))</f>
        <v>4.2480620155038755E-3</v>
      </c>
      <c r="F138" s="119">
        <f>IF(F12&gt;0, (1-F18)*(F11/INDEX(Assumptions!$B:$B,MATCH("F9 average realized payload per launch (kg)",Assumptions!$A$1:$A$394,0))) + F18*(F12/'Vehicle Build'!F44), F11/INDEX(Assumptions!$B:$B,MATCH("F9 average realized payload per launch (kg)",Assumptions!$A$1:$A$394,0)))</f>
        <v>4.2480620155038755E-3</v>
      </c>
      <c r="G138" s="119">
        <f>IF(G12&gt;0, (1-G18)*(G11/INDEX(Assumptions!$B:$B,MATCH("F9 average realized payload per launch (kg)",Assumptions!$A$1:$A$394,0))) + G18*(G12/'Vehicle Build'!G44), G11/INDEX(Assumptions!$B:$B,MATCH("F9 average realized payload per launch (kg)",Assumptions!$A$1:$A$394,0)))</f>
        <v>3.9718556779624143E-3</v>
      </c>
      <c r="H138" s="119">
        <f>IF(H12&gt;0, (1-H18)*(H11/INDEX(Assumptions!$B:$B,MATCH("F9 average realized payload per launch (kg)",Assumptions!$A$1:$A$394,0))) + H18*(H12/'Vehicle Build'!H44), H11/INDEX(Assumptions!$B:$B,MATCH("F9 average realized payload per launch (kg)",Assumptions!$A$1:$A$394,0)))</f>
        <v>3.5617894408652841E-3</v>
      </c>
      <c r="I138" s="119">
        <f>IF(I12&gt;0, (1-I18)*(I11/INDEX(Assumptions!$B:$B,MATCH("F9 average realized payload per launch (kg)",Assumptions!$A$1:$A$394,0))) + I18*(I12/'Vehicle Build'!I44), I11/INDEX(Assumptions!$B:$B,MATCH("F9 average realized payload per launch (kg)",Assumptions!$A$1:$A$394,0)))</f>
        <v>2.7912390352270895E-3</v>
      </c>
      <c r="J138" s="119">
        <f>IF(J12&gt;0, (1-J18)*(J11/INDEX(Assumptions!$B:$B,MATCH("F9 average realized payload per launch (kg)",Assumptions!$A$1:$A$394,0))) + J18*(J12/'Vehicle Build'!J44), J11/INDEX(Assumptions!$B:$B,MATCH("F9 average realized payload per launch (kg)",Assumptions!$A$1:$A$394,0)))</f>
        <v>1.8267789158089892E-3</v>
      </c>
      <c r="K138" s="119">
        <f>IF(K12&gt;0, (1-K18)*(K11/INDEX(Assumptions!$B:$B,MATCH("F9 average realized payload per launch (kg)",Assumptions!$A$1:$A$394,0))) + K18*(K12/'Vehicle Build'!K44), K11/INDEX(Assumptions!$B:$B,MATCH("F9 average realized payload per launch (kg)",Assumptions!$A$1:$A$394,0)))</f>
        <v>1.0443790538897549E-3</v>
      </c>
      <c r="L138" s="119">
        <f>IF(L12&gt;0, (1-L18)*(L11/INDEX(Assumptions!$B:$B,MATCH("F9 average realized payload per launch (kg)",Assumptions!$A$1:$A$394,0))) + L18*(L12/'Vehicle Build'!L44), L11/INDEX(Assumptions!$B:$B,MATCH("F9 average realized payload per launch (kg)",Assumptions!$A$1:$A$394,0)))</f>
        <v>6.0242926036113221E-4</v>
      </c>
      <c r="M138" s="119">
        <f>IF(M12&gt;0, (1-M18)*(M11/INDEX(Assumptions!$B:$B,MATCH("F9 average realized payload per launch (kg)",Assumptions!$A$1:$A$394,0))) + M18*(M12/'Vehicle Build'!M44), M11/INDEX(Assumptions!$B:$B,MATCH("F9 average realized payload per launch (kg)",Assumptions!$A$1:$A$394,0)))</f>
        <v>3.9526761051310983E-4</v>
      </c>
      <c r="N138" s="119">
        <f>IF(N12&gt;0, (1-N18)*(N11/INDEX(Assumptions!$B:$B,MATCH("F9 average realized payload per launch (kg)",Assumptions!$A$1:$A$394,0))) + N18*(N12/'Vehicle Build'!N44), N11/INDEX(Assumptions!$B:$B,MATCH("F9 average realized payload per launch (kg)",Assumptions!$A$1:$A$394,0)))</f>
        <v>3.0046329706627398E-4</v>
      </c>
      <c r="O138" s="119">
        <f>IF(O12&gt;0, (1-O18)*(O11/INDEX(Assumptions!$B:$B,MATCH("F9 average realized payload per launch (kg)",Assumptions!$A$1:$A$394,0))) + O18*(O12/'Vehicle Build'!O44), O11/INDEX(Assumptions!$B:$B,MATCH("F9 average realized payload per launch (kg)",Assumptions!$A$1:$A$394,0)))</f>
        <v>2.5240999818569533E-4</v>
      </c>
      <c r="P138" s="119">
        <f>IF(P12&gt;0, (1-P18)*(P11/INDEX(Assumptions!$B:$B,MATCH("F9 average realized payload per launch (kg)",Assumptions!$A$1:$A$394,0))) + P18*(P12/'Vehicle Build'!P44), P11/INDEX(Assumptions!$B:$B,MATCH("F9 average realized payload per launch (kg)",Assumptions!$A$1:$A$394,0)))</f>
        <v>2.2324529431500307E-4</v>
      </c>
      <c r="Q138" s="119">
        <f>IF(Q12&gt;0, (1-Q18)*(Q11/INDEX(Assumptions!$B:$B,MATCH("F9 average realized payload per launch (kg)",Assumptions!$A$1:$A$394,0))) + Q18*(Q12/'Vehicle Build'!Q44), Q11/INDEX(Assumptions!$B:$B,MATCH("F9 average realized payload per launch (kg)",Assumptions!$A$1:$A$394,0)))</f>
        <v>2.0205647137086234E-4</v>
      </c>
      <c r="R138" s="119">
        <f>IF(R12&gt;0, (1-R18)*(R11/INDEX(Assumptions!$B:$B,MATCH("F9 average realized payload per launch (kg)",Assumptions!$A$1:$A$394,0))) + R18*(R12/'Vehicle Build'!R44), R11/INDEX(Assumptions!$B:$B,MATCH("F9 average realized payload per launch (kg)",Assumptions!$A$1:$A$394,0)))</f>
        <v>1.8465996761475966E-4</v>
      </c>
      <c r="S138" s="119">
        <f>IF(S12&gt;0, (1-S18)*(S11/INDEX(Assumptions!$B:$B,MATCH("F9 average realized payload per launch (kg)",Assumptions!$A$1:$A$394,0))) + S18*(S12/'Vehicle Build'!S44), S11/INDEX(Assumptions!$B:$B,MATCH("F9 average realized payload per launch (kg)",Assumptions!$A$1:$A$394,0)))</f>
        <v>1.6943183125397185E-4</v>
      </c>
    </row>
    <row r="139" spans="1:19">
      <c r="A139" s="16" t="s">
        <v>1238</v>
      </c>
      <c r="B139" s="3"/>
      <c r="C139" s="3"/>
      <c r="D139" s="120">
        <f>IFERROR(MIN(INDEX(Assumptions!$B:$B,MATCH("Launch demand elasticity multiplier cap (x)",Assumptions!$A$1:$A$394,0)), ($D$138/D138)^INDEX(Assumptions!$B:$B,MATCH("Launch demand price elasticity e (extra, on $/kg)",Assumptions!$A$1:$A$394,0))), 1)</f>
        <v>1</v>
      </c>
      <c r="E139" s="120">
        <f>IFERROR(MIN(INDEX(Assumptions!$B:$B,MATCH("Launch demand elasticity multiplier cap (x)",Assumptions!$A$1:$A$394,0)), ($D$138/E138)^INDEX(Assumptions!$B:$B,MATCH("Launch demand price elasticity e (extra, on $/kg)",Assumptions!$A$1:$A$394,0))), 1)</f>
        <v>1</v>
      </c>
      <c r="F139" s="120">
        <f>IFERROR(MIN(INDEX(Assumptions!$B:$B,MATCH("Launch demand elasticity multiplier cap (x)",Assumptions!$A$1:$A$394,0)), ($D$138/F138)^INDEX(Assumptions!$B:$B,MATCH("Launch demand price elasticity e (extra, on $/kg)",Assumptions!$A$1:$A$394,0))), 1)</f>
        <v>1</v>
      </c>
      <c r="G139" s="120">
        <f>IFERROR(MIN(INDEX(Assumptions!$B:$B,MATCH("Launch demand elasticity multiplier cap (x)",Assumptions!$A$1:$A$394,0)), ($D$138/G138)^INDEX(Assumptions!$B:$B,MATCH("Launch demand price elasticity e (extra, on $/kg)",Assumptions!$A$1:$A$394,0))), 1)</f>
        <v>1.0238093372312362</v>
      </c>
      <c r="H139" s="120">
        <f>IFERROR(MIN(INDEX(Assumptions!$B:$B,MATCH("Launch demand elasticity multiplier cap (x)",Assumptions!$A$1:$A$394,0)), ($D$138/H138)^INDEX(Assumptions!$B:$B,MATCH("Launch demand price elasticity e (extra, on $/kg)",Assumptions!$A$1:$A$394,0))), 1)</f>
        <v>1.063611225125227</v>
      </c>
      <c r="I139" s="120">
        <f>IFERROR(MIN(INDEX(Assumptions!$B:$B,MATCH("Launch demand elasticity multiplier cap (x)",Assumptions!$A$1:$A$394,0)), ($D$138/I138)^INDEX(Assumptions!$B:$B,MATCH("Launch demand price elasticity e (extra, on $/kg)",Assumptions!$A$1:$A$394,0))), 1)</f>
        <v>1.1583447545472125</v>
      </c>
      <c r="J139" s="120">
        <f>IFERROR(MIN(INDEX(Assumptions!$B:$B,MATCH("Launch demand elasticity multiplier cap (x)",Assumptions!$A$1:$A$394,0)), ($D$138/J138)^INDEX(Assumptions!$B:$B,MATCH("Launch demand price elasticity e (extra, on $/kg)",Assumptions!$A$1:$A$394,0))), 1)</f>
        <v>1.2</v>
      </c>
      <c r="K139" s="120">
        <f>IFERROR(MIN(INDEX(Assumptions!$B:$B,MATCH("Launch demand elasticity multiplier cap (x)",Assumptions!$A$1:$A$394,0)), ($D$138/K138)^INDEX(Assumptions!$B:$B,MATCH("Launch demand price elasticity e (extra, on $/kg)",Assumptions!$A$1:$A$394,0))), 1)</f>
        <v>1.2</v>
      </c>
      <c r="L139" s="120">
        <f>IFERROR(MIN(INDEX(Assumptions!$B:$B,MATCH("Launch demand elasticity multiplier cap (x)",Assumptions!$A$1:$A$394,0)), ($D$138/L138)^INDEX(Assumptions!$B:$B,MATCH("Launch demand price elasticity e (extra, on $/kg)",Assumptions!$A$1:$A$394,0))), 1)</f>
        <v>1.2</v>
      </c>
      <c r="M139" s="120">
        <f>IFERROR(MIN(INDEX(Assumptions!$B:$B,MATCH("Launch demand elasticity multiplier cap (x)",Assumptions!$A$1:$A$394,0)), ($D$138/M138)^INDEX(Assumptions!$B:$B,MATCH("Launch demand price elasticity e (extra, on $/kg)",Assumptions!$A$1:$A$394,0))), 1)</f>
        <v>1.2</v>
      </c>
      <c r="N139" s="120">
        <f>IFERROR(MIN(INDEX(Assumptions!$B:$B,MATCH("Launch demand elasticity multiplier cap (x)",Assumptions!$A$1:$A$394,0)), ($D$138/N138)^INDEX(Assumptions!$B:$B,MATCH("Launch demand price elasticity e (extra, on $/kg)",Assumptions!$A$1:$A$394,0))), 1)</f>
        <v>1.2</v>
      </c>
      <c r="O139" s="120">
        <f>IFERROR(MIN(INDEX(Assumptions!$B:$B,MATCH("Launch demand elasticity multiplier cap (x)",Assumptions!$A$1:$A$394,0)), ($D$138/O138)^INDEX(Assumptions!$B:$B,MATCH("Launch demand price elasticity e (extra, on $/kg)",Assumptions!$A$1:$A$394,0))), 1)</f>
        <v>1.2</v>
      </c>
      <c r="P139" s="120">
        <f>IFERROR(MIN(INDEX(Assumptions!$B:$B,MATCH("Launch demand elasticity multiplier cap (x)",Assumptions!$A$1:$A$394,0)), ($D$138/P138)^INDEX(Assumptions!$B:$B,MATCH("Launch demand price elasticity e (extra, on $/kg)",Assumptions!$A$1:$A$394,0))), 1)</f>
        <v>1.2</v>
      </c>
      <c r="Q139" s="120">
        <f>IFERROR(MIN(INDEX(Assumptions!$B:$B,MATCH("Launch demand elasticity multiplier cap (x)",Assumptions!$A$1:$A$394,0)), ($D$138/Q138)^INDEX(Assumptions!$B:$B,MATCH("Launch demand price elasticity e (extra, on $/kg)",Assumptions!$A$1:$A$394,0))), 1)</f>
        <v>1.2</v>
      </c>
      <c r="R139" s="120">
        <f>IFERROR(MIN(INDEX(Assumptions!$B:$B,MATCH("Launch demand elasticity multiplier cap (x)",Assumptions!$A$1:$A$394,0)), ($D$138/R138)^INDEX(Assumptions!$B:$B,MATCH("Launch demand price elasticity e (extra, on $/kg)",Assumptions!$A$1:$A$394,0))), 1)</f>
        <v>1.2</v>
      </c>
      <c r="S139" s="120">
        <f>IFERROR(MIN(INDEX(Assumptions!$B:$B,MATCH("Launch demand elasticity multiplier cap (x)",Assumptions!$A$1:$A$394,0)), ($D$138/S138)^INDEX(Assumptions!$B:$B,MATCH("Launch demand price elasticity e (extra, on $/kg)",Assumptions!$A$1:$A$394,0))), 1)</f>
        <v>1.2</v>
      </c>
    </row>
    <row r="140" spans="1:19">
      <c r="A140" s="17" t="s">
        <v>1239</v>
      </c>
      <c r="B140" s="3"/>
      <c r="C140" s="3"/>
      <c r="D140" s="121">
        <f t="shared" ref="D140:S140" si="54">D13*D139</f>
        <v>8000</v>
      </c>
      <c r="E140" s="121">
        <f t="shared" si="54"/>
        <v>8640</v>
      </c>
      <c r="F140" s="121">
        <f t="shared" si="54"/>
        <v>9331.2000000000007</v>
      </c>
      <c r="G140" s="121">
        <f t="shared" si="54"/>
        <v>10317.639262577883</v>
      </c>
      <c r="H140" s="121">
        <f t="shared" si="54"/>
        <v>11576.25063611957</v>
      </c>
      <c r="I140" s="121">
        <f t="shared" si="54"/>
        <v>13615.907763761794</v>
      </c>
      <c r="J140" s="121">
        <f t="shared" si="54"/>
        <v>15233.993500262404</v>
      </c>
      <c r="K140" s="121">
        <f t="shared" si="54"/>
        <v>16452.712980283399</v>
      </c>
      <c r="L140" s="121">
        <f t="shared" si="54"/>
        <v>17768.930018706069</v>
      </c>
      <c r="M140" s="121">
        <f t="shared" si="54"/>
        <v>19190.444420202555</v>
      </c>
      <c r="N140" s="121">
        <f t="shared" si="54"/>
        <v>20725.679973818758</v>
      </c>
      <c r="O140" s="121">
        <f t="shared" si="54"/>
        <v>22383.734371724262</v>
      </c>
      <c r="P140" s="121">
        <f t="shared" si="54"/>
        <v>24174.433121462203</v>
      </c>
      <c r="Q140" s="121">
        <f t="shared" si="54"/>
        <v>26108.387771179183</v>
      </c>
      <c r="R140" s="121">
        <f t="shared" si="54"/>
        <v>28197.058792873522</v>
      </c>
      <c r="S140" s="121">
        <f t="shared" si="54"/>
        <v>30452.823496303405</v>
      </c>
    </row>
    <row r="141" spans="1:19">
      <c r="A141" s="17" t="s">
        <v>1240</v>
      </c>
      <c r="B141" s="3"/>
      <c r="C141" s="3"/>
      <c r="D141" s="121">
        <f t="shared" ref="D141:S141" si="55">D14*D139</f>
        <v>4000</v>
      </c>
      <c r="E141" s="121">
        <f t="shared" si="55"/>
        <v>4200</v>
      </c>
      <c r="F141" s="121">
        <f t="shared" si="55"/>
        <v>4410</v>
      </c>
      <c r="G141" s="121">
        <f t="shared" si="55"/>
        <v>4740.7491360492404</v>
      </c>
      <c r="H141" s="121">
        <f t="shared" si="55"/>
        <v>5171.3043668394812</v>
      </c>
      <c r="I141" s="121">
        <f t="shared" si="55"/>
        <v>5913.4962129887817</v>
      </c>
      <c r="J141" s="121">
        <f t="shared" si="55"/>
        <v>6432.4590749999998</v>
      </c>
      <c r="K141" s="121">
        <f t="shared" si="55"/>
        <v>6754.082028750001</v>
      </c>
      <c r="L141" s="121">
        <f t="shared" si="55"/>
        <v>7091.7861301875009</v>
      </c>
      <c r="M141" s="121">
        <f t="shared" si="55"/>
        <v>7446.3754366968751</v>
      </c>
      <c r="N141" s="121">
        <f t="shared" si="55"/>
        <v>7818.6942085317187</v>
      </c>
      <c r="O141" s="121">
        <f t="shared" si="55"/>
        <v>8209.6289189583058</v>
      </c>
      <c r="P141" s="121">
        <f t="shared" si="55"/>
        <v>8620.1103649062206</v>
      </c>
      <c r="Q141" s="121">
        <f t="shared" si="55"/>
        <v>9051.1158831515331</v>
      </c>
      <c r="R141" s="121">
        <f t="shared" si="55"/>
        <v>9503.6716773091066</v>
      </c>
      <c r="S141" s="121">
        <f t="shared" si="55"/>
        <v>9978.8552611745672</v>
      </c>
    </row>
    <row r="142" spans="1:19">
      <c r="A142" s="17" t="s">
        <v>1241</v>
      </c>
      <c r="B142" s="3"/>
      <c r="C142" s="3"/>
      <c r="D142" s="122">
        <f t="shared" ref="D142:S142" ca="1" si="56">IFERROR(D52/(D140+D141),0)</f>
        <v>0.13243333333333332</v>
      </c>
      <c r="E142" s="122">
        <f t="shared" ca="1" si="56"/>
        <v>0.35850467289719623</v>
      </c>
      <c r="F142" s="122">
        <f t="shared" ca="1" si="56"/>
        <v>0.79838791365265926</v>
      </c>
      <c r="G142" s="122">
        <f t="shared" ca="1" si="56"/>
        <v>0.79777893621550733</v>
      </c>
      <c r="H142" s="122">
        <f t="shared" ca="1" si="56"/>
        <v>0.79729909597861692</v>
      </c>
      <c r="I142" s="122">
        <f t="shared" ca="1" si="56"/>
        <v>0.75762680815115468</v>
      </c>
      <c r="J142" s="122">
        <f t="shared" ca="1" si="56"/>
        <v>0.6753112882311697</v>
      </c>
      <c r="K142" s="122">
        <f t="shared" ca="1" si="56"/>
        <v>0.92863588499236449</v>
      </c>
      <c r="L142" s="122">
        <f t="shared" ca="1" si="56"/>
        <v>0.87503120346086527</v>
      </c>
      <c r="M142" s="122">
        <f t="shared" ca="1" si="56"/>
        <v>0.81067008471610891</v>
      </c>
      <c r="N142" s="122">
        <f t="shared" ca="1" si="56"/>
        <v>0.74699800894634893</v>
      </c>
      <c r="O142" s="122">
        <f t="shared" ca="1" si="56"/>
        <v>0.68749609570801018</v>
      </c>
      <c r="P142" s="122">
        <f t="shared" ca="1" si="56"/>
        <v>0.63271597660705614</v>
      </c>
      <c r="Q142" s="122">
        <f t="shared" ca="1" si="56"/>
        <v>0.58242465676810595</v>
      </c>
      <c r="R142" s="122">
        <f t="shared" ca="1" si="56"/>
        <v>0.5362476162484664</v>
      </c>
      <c r="S142" s="122">
        <f t="shared" ca="1" si="56"/>
        <v>8.1322371492968809E-3</v>
      </c>
    </row>
    <row r="143" spans="1:1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69"/>
  <sheetViews>
    <sheetView showGridLines="0" topLeftCell="A13" zoomScale="114" zoomScaleNormal="114" workbookViewId="0">
      <selection activeCell="S128" sqref="S128"/>
    </sheetView>
  </sheetViews>
  <sheetFormatPr baseColWidth="10" defaultColWidth="10.6640625" defaultRowHeight="16"/>
  <cols>
    <col min="1" max="1" width="55.1640625" customWidth="1"/>
    <col min="3" max="3" width="24.83203125" customWidth="1"/>
    <col min="20" max="20" width="11.6640625" customWidth="1"/>
    <col min="21" max="22" width="10.1640625" customWidth="1"/>
    <col min="23" max="29" width="11.1640625" customWidth="1"/>
  </cols>
  <sheetData>
    <row r="1" spans="1:29" ht="21.75" customHeight="1">
      <c r="A1" s="1" t="s">
        <v>1242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  <c r="T4" s="47" t="s">
        <v>1243</v>
      </c>
      <c r="U4" s="47"/>
      <c r="V4" s="47"/>
      <c r="W4" s="47"/>
      <c r="X4" s="47"/>
      <c r="Y4" s="47"/>
      <c r="Z4" s="47"/>
      <c r="AA4" s="47"/>
      <c r="AB4" s="47"/>
      <c r="AC4" s="47"/>
    </row>
    <row r="5" spans="1:29" ht="9.75" customHeight="1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>
      <c r="A7" s="13" t="s">
        <v>1244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29">
      <c r="A8" s="5" t="s">
        <v>1245</v>
      </c>
      <c r="B8" s="3"/>
      <c r="C8" s="3"/>
      <c r="D8" s="123"/>
      <c r="E8" s="29">
        <f t="shared" ref="E8:S8" si="0">D56</f>
        <v>24700</v>
      </c>
      <c r="F8" s="29">
        <f t="shared" ca="1" si="0"/>
        <v>9151.7099067767631</v>
      </c>
      <c r="G8" s="29">
        <f t="shared" ca="1" si="0"/>
        <v>79577.407271310556</v>
      </c>
      <c r="H8" s="29">
        <f t="shared" ca="1" si="0"/>
        <v>105129.39171586618</v>
      </c>
      <c r="I8" s="29">
        <f t="shared" ca="1" si="0"/>
        <v>162774.87968209494</v>
      </c>
      <c r="J8" s="29">
        <f t="shared" ca="1" si="0"/>
        <v>215972.83934828948</v>
      </c>
      <c r="K8" s="29">
        <f t="shared" ca="1" si="0"/>
        <v>292362.32990732184</v>
      </c>
      <c r="L8" s="29">
        <f t="shared" ca="1" si="0"/>
        <v>351990.72645500209</v>
      </c>
      <c r="M8" s="29">
        <f t="shared" ca="1" si="0"/>
        <v>524141.25907690002</v>
      </c>
      <c r="N8" s="29">
        <f t="shared" ca="1" si="0"/>
        <v>622334.44708153419</v>
      </c>
      <c r="O8" s="29">
        <f t="shared" ca="1" si="0"/>
        <v>747173.13121816807</v>
      </c>
      <c r="P8" s="29">
        <f t="shared" ca="1" si="0"/>
        <v>867164.72468196484</v>
      </c>
      <c r="Q8" s="29">
        <f t="shared" ca="1" si="0"/>
        <v>1080141.6645471985</v>
      </c>
      <c r="R8" s="29">
        <f t="shared" ca="1" si="0"/>
        <v>1376148.6140461504</v>
      </c>
      <c r="S8" s="29">
        <f t="shared" ca="1" si="0"/>
        <v>1740003.8142635741</v>
      </c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 spans="1:29">
      <c r="A9" s="5" t="s">
        <v>1246</v>
      </c>
      <c r="B9" s="3"/>
      <c r="C9" s="3"/>
      <c r="D9" s="123"/>
      <c r="E9" s="70">
        <f>IF(E$4=Assumptions!$B$9,Assumptions!$B$8,0)</f>
        <v>0</v>
      </c>
      <c r="F9" s="70">
        <f>IF(F$4=Assumptions!$B$9,Assumptions!$B$8,0)</f>
        <v>75000</v>
      </c>
      <c r="G9" s="70">
        <f>IF(G$4=Assumptions!$B$9,Assumptions!$B$8,0)</f>
        <v>0</v>
      </c>
      <c r="H9" s="70">
        <f>IF(H$4=Assumptions!$B$9,Assumptions!$B$8,0)</f>
        <v>0</v>
      </c>
      <c r="I9" s="70">
        <f>IF(I$4=Assumptions!$B$9,Assumptions!$B$8,0)</f>
        <v>0</v>
      </c>
      <c r="J9" s="70">
        <f>IF(J$4=Assumptions!$B$9,Assumptions!$B$8,0)</f>
        <v>0</v>
      </c>
      <c r="K9" s="70">
        <f>IF(K$4=Assumptions!$B$9,Assumptions!$B$8,0)</f>
        <v>0</v>
      </c>
      <c r="L9" s="70">
        <f>IF(L$4=Assumptions!$B$9,Assumptions!$B$8,0)</f>
        <v>0</v>
      </c>
      <c r="M9" s="70">
        <f>IF(M$4=Assumptions!$B$9,Assumptions!$B$8,0)</f>
        <v>0</v>
      </c>
      <c r="N9" s="70">
        <f>IF(N$4=Assumptions!$B$9,Assumptions!$B$8,0)</f>
        <v>0</v>
      </c>
      <c r="O9" s="70">
        <f>IF(O$4=Assumptions!$B$9,Assumptions!$B$8,0)</f>
        <v>0</v>
      </c>
      <c r="P9" s="70">
        <f>IF(P$4=Assumptions!$B$9,Assumptions!$B$8,0)</f>
        <v>0</v>
      </c>
      <c r="Q9" s="70">
        <f>IF(Q$4=Assumptions!$B$9,Assumptions!$B$8,0)</f>
        <v>0</v>
      </c>
      <c r="R9" s="70">
        <f>IF(R$4=Assumptions!$B$9,Assumptions!$B$8,0)</f>
        <v>0</v>
      </c>
      <c r="S9" s="70">
        <f>IF(S$4=Assumptions!$B$9,Assumptions!$B$8,0)</f>
        <v>0</v>
      </c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29">
      <c r="A10" s="5" t="s">
        <v>1247</v>
      </c>
      <c r="B10" s="3"/>
      <c r="C10" s="3"/>
      <c r="D10" s="123"/>
      <c r="E10" s="29">
        <f>0</f>
        <v>0</v>
      </c>
      <c r="F10" s="29">
        <f>0</f>
        <v>0</v>
      </c>
      <c r="G10" s="29">
        <f>0</f>
        <v>0</v>
      </c>
      <c r="H10" s="29">
        <f>0</f>
        <v>0</v>
      </c>
      <c r="I10" s="29">
        <f>0</f>
        <v>0</v>
      </c>
      <c r="J10" s="29">
        <f>0</f>
        <v>0</v>
      </c>
      <c r="K10" s="29">
        <f>0</f>
        <v>0</v>
      </c>
      <c r="L10" s="29">
        <f>0</f>
        <v>0</v>
      </c>
      <c r="M10" s="29">
        <f>0</f>
        <v>0</v>
      </c>
      <c r="N10" s="29">
        <f>0</f>
        <v>0</v>
      </c>
      <c r="O10" s="29">
        <f>0</f>
        <v>0</v>
      </c>
      <c r="P10" s="29">
        <f>0</f>
        <v>0</v>
      </c>
      <c r="Q10" s="29">
        <f>0</f>
        <v>0</v>
      </c>
      <c r="R10" s="29">
        <f>0</f>
        <v>0</v>
      </c>
      <c r="S10" s="29">
        <f>0</f>
        <v>0</v>
      </c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>
      <c r="A11" s="5" t="s">
        <v>1248</v>
      </c>
      <c r="B11" s="3"/>
      <c r="C11" s="3"/>
      <c r="D11" s="124"/>
      <c r="E11" s="29">
        <f t="shared" ref="E11:S11" si="1">E8+E9+E105</f>
        <v>24700</v>
      </c>
      <c r="F11" s="29">
        <f t="shared" ca="1" si="1"/>
        <v>84151.709906776756</v>
      </c>
      <c r="G11" s="29">
        <f t="shared" ca="1" si="1"/>
        <v>79577.407271310556</v>
      </c>
      <c r="H11" s="29">
        <f t="shared" ca="1" si="1"/>
        <v>105129.39171586618</v>
      </c>
      <c r="I11" s="29">
        <f t="shared" ca="1" si="1"/>
        <v>162774.87968209494</v>
      </c>
      <c r="J11" s="29">
        <f t="shared" ca="1" si="1"/>
        <v>215972.83934828948</v>
      </c>
      <c r="K11" s="29">
        <f t="shared" ca="1" si="1"/>
        <v>292362.32990732184</v>
      </c>
      <c r="L11" s="29">
        <f t="shared" ca="1" si="1"/>
        <v>351990.72645500209</v>
      </c>
      <c r="M11" s="29">
        <f t="shared" ca="1" si="1"/>
        <v>524141.25907690002</v>
      </c>
      <c r="N11" s="29">
        <f t="shared" ca="1" si="1"/>
        <v>622334.44708153419</v>
      </c>
      <c r="O11" s="29">
        <f t="shared" ca="1" si="1"/>
        <v>747173.13121816807</v>
      </c>
      <c r="P11" s="29">
        <f t="shared" ca="1" si="1"/>
        <v>867164.72468196484</v>
      </c>
      <c r="Q11" s="29">
        <f t="shared" ca="1" si="1"/>
        <v>1080141.6645471985</v>
      </c>
      <c r="R11" s="29">
        <f t="shared" ca="1" si="1"/>
        <v>1376148.6140461504</v>
      </c>
      <c r="S11" s="29">
        <f t="shared" ca="1" si="1"/>
        <v>1740003.8142635741</v>
      </c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spans="1:2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spans="1:29">
      <c r="A13" s="13" t="s">
        <v>1249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1:29">
      <c r="A14" s="78" t="s">
        <v>1250</v>
      </c>
      <c r="B14" s="78"/>
      <c r="C14" s="78"/>
      <c r="D14" s="125">
        <f ca="1">Starlink!D65 + 'Customer Launch'!D101 + 'AI - Compute'!D8 + 'Lunar - Mars'!D106</f>
        <v>15624.189830359477</v>
      </c>
      <c r="E14" s="125">
        <f ca="1">Starlink!D65+'Customer Launch'!D101+'AI - Compute'!D8+'Lunar - Mars'!D106</f>
        <v>15624.189830359477</v>
      </c>
      <c r="F14" s="125">
        <f ca="1">Starlink!E65+'Customer Launch'!E101+'AI - Compute'!E8+'Lunar - Mars'!E106</f>
        <v>22476.432722651574</v>
      </c>
      <c r="G14" s="125">
        <f ca="1">Starlink!F65+'Customer Launch'!F101+'AI - Compute'!F8+'Lunar - Mars'!F106</f>
        <v>74502.361764839152</v>
      </c>
      <c r="H14" s="125">
        <f ca="1">Starlink!G65+'Customer Launch'!G101+'AI - Compute'!G8+'Lunar - Mars'!G106</f>
        <v>131853.15480347234</v>
      </c>
      <c r="I14" s="125">
        <f ca="1">Starlink!H65+'Customer Launch'!H101+'AI - Compute'!H8+'Lunar - Mars'!H106</f>
        <v>223352.9368251882</v>
      </c>
      <c r="J14" s="125">
        <f ca="1">Starlink!I65+'Customer Launch'!I101+'AI - Compute'!I8+'Lunar - Mars'!I106</f>
        <v>303410.63930427388</v>
      </c>
      <c r="K14" s="125">
        <f ca="1">Starlink!J65+'Customer Launch'!J101+'AI - Compute'!J8+'Lunar - Mars'!J106</f>
        <v>407763.15937032894</v>
      </c>
      <c r="L14" s="125">
        <f ca="1">Starlink!K65+'Customer Launch'!K101+'AI - Compute'!K8+'Lunar - Mars'!K106</f>
        <v>489077.34573356376</v>
      </c>
      <c r="M14" s="125">
        <f ca="1">Starlink!L65+'Customer Launch'!L101+'AI - Compute'!L8+'Lunar - Mars'!L106</f>
        <v>513613.40677406942</v>
      </c>
      <c r="N14" s="125">
        <f ca="1">Starlink!M65+'Customer Launch'!M101+'AI - Compute'!M8+'Lunar - Mars'!M106</f>
        <v>562232.26081810868</v>
      </c>
      <c r="O14" s="125">
        <f ca="1">Starlink!N65+'Customer Launch'!N101+'AI - Compute'!N8+'Lunar - Mars'!N106</f>
        <v>670876.79470998817</v>
      </c>
      <c r="P14" s="125">
        <f ca="1">Starlink!O65+'Customer Launch'!O101+'AI - Compute'!O8+'Lunar - Mars'!O106</f>
        <v>834538.15363503108</v>
      </c>
      <c r="Q14" s="125">
        <f ca="1">Starlink!P65+'Customer Launch'!P101+'AI - Compute'!P8+'Lunar - Mars'!P106</f>
        <v>1015553.8654901711</v>
      </c>
      <c r="R14" s="125">
        <f ca="1">Starlink!Q65+'Customer Launch'!Q101+'AI - Compute'!Q8+'Lunar - Mars'!Q106</f>
        <v>1199932.6848804487</v>
      </c>
      <c r="S14" s="125">
        <f ca="1">Starlink!R65+'Customer Launch'!R101+'AI - Compute'!R8+'Lunar - Mars'!R106</f>
        <v>1457575.1723640908</v>
      </c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>
      <c r="A15" s="5" t="s">
        <v>1251</v>
      </c>
      <c r="B15" s="3"/>
      <c r="C15" s="3"/>
      <c r="D15" s="70">
        <f ca="1">MAX(Assumptions!$B$120, Assumptions!$B$119*(1+Assumptions!$B$121)^D$5)*D14 + Assumptions!$B$123*D14</f>
        <v>546.84664406258162</v>
      </c>
      <c r="E15" s="70">
        <f ca="1">MAX(Assumptions!$B$120, Assumptions!$B$119*(1+Assumptions!$B$121)^E$5)*E14 + Assumptions!$B$123*E14</f>
        <v>518.72310236793464</v>
      </c>
      <c r="F15" s="70">
        <f ca="1">MAX(Assumptions!$B$120, Assumptions!$B$119*(1+Assumptions!$B$121)^F$5)*F14 + Assumptions!$B$123*F14</f>
        <v>708.18744222530574</v>
      </c>
      <c r="G15" s="70">
        <f ca="1">MAX(Assumptions!$B$120, Assumptions!$B$119*(1+Assumptions!$B$121)^G$5)*G14 + Assumptions!$B$123*G14</f>
        <v>2228.9258981468101</v>
      </c>
      <c r="H15" s="70">
        <f ca="1">MAX(Assumptions!$B$120, Assumptions!$B$119*(1+Assumptions!$B$121)^H$5)*H14 + Assumptions!$B$123*H14</f>
        <v>3747.5921785832625</v>
      </c>
      <c r="I15" s="70">
        <f ca="1">MAX(Assumptions!$B$120, Assumptions!$B$119*(1+Assumptions!$B$121)^I$5)*I14 + Assumptions!$B$123*I14</f>
        <v>6034.3532466517008</v>
      </c>
      <c r="J15" s="70">
        <f ca="1">MAX(Assumptions!$B$120, Assumptions!$B$119*(1+Assumptions!$B$121)^J$5)*J14 + Assumptions!$B$123*J14</f>
        <v>7796.4681357283807</v>
      </c>
      <c r="K15" s="70">
        <f ca="1">MAX(Assumptions!$B$120, Assumptions!$B$119*(1+Assumptions!$B$121)^K$5)*K14 + Assumptions!$B$123*K14</f>
        <v>9971.5739745174724</v>
      </c>
      <c r="L15" s="70">
        <f ca="1">MAX(Assumptions!$B$120, Assumptions!$B$119*(1+Assumptions!$B$121)^L$5)*L14 + Assumptions!$B$123*L14</f>
        <v>11389.177483766758</v>
      </c>
      <c r="M15" s="70">
        <f ca="1">MAX(Assumptions!$B$120, Assumptions!$B$119*(1+Assumptions!$B$121)^M$5)*M14 + Assumptions!$B$123*M14</f>
        <v>11397.001406964564</v>
      </c>
      <c r="N15" s="70">
        <f ca="1">MAX(Assumptions!$B$120, Assumptions!$B$119*(1+Assumptions!$B$121)^N$5)*N14 + Assumptions!$B$123*N14</f>
        <v>11895.96510334191</v>
      </c>
      <c r="O15" s="70">
        <f ca="1">MAX(Assumptions!$B$120, Assumptions!$B$119*(1+Assumptions!$B$121)^O$5)*O14 + Assumptions!$B$123*O14</f>
        <v>13544.29552695275</v>
      </c>
      <c r="P15" s="70">
        <f ca="1">MAX(Assumptions!$B$120, Assumptions!$B$119*(1+Assumptions!$B$121)^P$5)*P14 + Assumptions!$B$123*P14</f>
        <v>16690.763072700622</v>
      </c>
      <c r="Q15" s="70">
        <f ca="1">MAX(Assumptions!$B$120, Assumptions!$B$119*(1+Assumptions!$B$121)^Q$5)*Q14 + Assumptions!$B$123*Q14</f>
        <v>20311.077309803422</v>
      </c>
      <c r="R15" s="70">
        <f ca="1">MAX(Assumptions!$B$120, Assumptions!$B$119*(1+Assumptions!$B$121)^R$5)*R14 + Assumptions!$B$123*R14</f>
        <v>23998.653697608974</v>
      </c>
      <c r="S15" s="70">
        <f ca="1">MAX(Assumptions!$B$120, Assumptions!$B$119*(1+Assumptions!$B$121)^S$5)*S14 + Assumptions!$B$123*S14</f>
        <v>29151.503447281815</v>
      </c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>
      <c r="A16" s="5" t="s">
        <v>1252</v>
      </c>
      <c r="B16" s="3"/>
      <c r="C16" s="3"/>
      <c r="D16" s="123"/>
      <c r="E16" s="70">
        <f>Assumptions!E114</f>
        <v>110.00000000000001</v>
      </c>
      <c r="F16" s="70">
        <f>Assumptions!F114</f>
        <v>121.00000000000001</v>
      </c>
      <c r="G16" s="70">
        <f>Assumptions!G114</f>
        <v>133.10000000000005</v>
      </c>
      <c r="H16" s="70">
        <f>Assumptions!H114</f>
        <v>146.41000000000005</v>
      </c>
      <c r="I16" s="70">
        <f>Assumptions!I114</f>
        <v>161.05100000000004</v>
      </c>
      <c r="J16" s="70">
        <f>Assumptions!J114</f>
        <v>177.15610000000009</v>
      </c>
      <c r="K16" s="70">
        <f>Assumptions!K114</f>
        <v>194.87171000000012</v>
      </c>
      <c r="L16" s="70">
        <f>Assumptions!L114</f>
        <v>214.35888100000011</v>
      </c>
      <c r="M16" s="70">
        <f>Assumptions!M114</f>
        <v>235.79476910000014</v>
      </c>
      <c r="N16" s="70">
        <f>Assumptions!N114</f>
        <v>259.37424601000021</v>
      </c>
      <c r="O16" s="70">
        <f>Assumptions!O114</f>
        <v>285.31167061100024</v>
      </c>
      <c r="P16" s="70">
        <f>Assumptions!P114</f>
        <v>313.84283767210025</v>
      </c>
      <c r="Q16" s="70">
        <f>Assumptions!Q114</f>
        <v>345.22712143931028</v>
      </c>
      <c r="R16" s="70">
        <f>Assumptions!R114</f>
        <v>379.74983358324141</v>
      </c>
      <c r="S16" s="70">
        <f>Assumptions!S114</f>
        <v>417.72481694156556</v>
      </c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>
      <c r="A17" s="5" t="s">
        <v>1253</v>
      </c>
      <c r="B17" s="3"/>
      <c r="C17" s="3"/>
      <c r="D17" s="70">
        <f ca="1">'Facilities Build'!D79</f>
        <v>3332.07</v>
      </c>
      <c r="E17" s="70">
        <f ca="1">'Facilities Build'!E79</f>
        <v>1117.3541655079741</v>
      </c>
      <c r="F17" s="70">
        <f ca="1">'Facilities Build'!F79</f>
        <v>1392.784432443525</v>
      </c>
      <c r="G17" s="70">
        <f ca="1">'Facilities Build'!G79</f>
        <v>5820.8589383151084</v>
      </c>
      <c r="H17" s="70">
        <f ca="1">'Facilities Build'!H79</f>
        <v>10219.481748570475</v>
      </c>
      <c r="I17" s="70">
        <f ca="1">'Facilities Build'!I79</f>
        <v>19209.131753565718</v>
      </c>
      <c r="J17" s="70">
        <f ca="1">'Facilities Build'!J79</f>
        <v>25211.106276474748</v>
      </c>
      <c r="K17" s="70">
        <f ca="1">'Facilities Build'!K79</f>
        <v>28916.751237239892</v>
      </c>
      <c r="L17" s="70">
        <f ca="1">'Facilities Build'!L79</f>
        <v>35047.358081225422</v>
      </c>
      <c r="M17" s="70">
        <f ca="1">'Facilities Build'!M79</f>
        <v>30184.063170162401</v>
      </c>
      <c r="N17" s="70">
        <f ca="1">'Facilities Build'!N79</f>
        <v>33388.803939549311</v>
      </c>
      <c r="O17" s="70">
        <f ca="1">'Facilities Build'!O79</f>
        <v>42131.66243082747</v>
      </c>
      <c r="P17" s="70">
        <f ca="1">'Facilities Build'!P79</f>
        <v>54736.593685499705</v>
      </c>
      <c r="Q17" s="70">
        <f ca="1">'Facilities Build'!Q79</f>
        <v>52118.461546257109</v>
      </c>
      <c r="R17" s="70">
        <f ca="1">'Facilities Build'!R79</f>
        <v>57585.943511961792</v>
      </c>
      <c r="S17" s="70">
        <f ca="1">'Facilities Build'!S79</f>
        <v>71329.521557641943</v>
      </c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>
      <c r="A18" s="5" t="s">
        <v>1254</v>
      </c>
      <c r="B18" s="3"/>
      <c r="C18" s="3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>
      <c r="A19" s="5" t="s">
        <v>1255</v>
      </c>
      <c r="B19" s="3"/>
      <c r="C19" s="3"/>
      <c r="D19" s="124"/>
      <c r="E19" s="70">
        <f ca="1">Assumptions!$B$3*MAX(0,(Starlink!D152+'Customer Launch'!D108+'Customer Launch'!D105+'AI - Compute'!D12+'Lunar - Mars'!D94)-E15-E16-E18-Assumptions!E112)</f>
        <v>52.502005002733704</v>
      </c>
      <c r="F19" s="70">
        <f ca="1">Assumptions!$B$3*MAX(0,(Starlink!E152+'Customer Launch'!E108+'Customer Launch'!E105+'AI - Compute'!E12+'Lunar - Mars'!E94)-F15-F16-F18-Assumptions!F112)</f>
        <v>547.01216626128519</v>
      </c>
      <c r="G19" s="70">
        <f ca="1">Assumptions!$B$3*MAX(0,(Starlink!F152+'Customer Launch'!F108+'Customer Launch'!F105+'AI - Compute'!F12+'Lunar - Mars'!F94)-G15-G16-G18-Assumptions!G112)</f>
        <v>5297.4031934070954</v>
      </c>
      <c r="H19" s="70">
        <f ca="1">Assumptions!$B$3*MAX(0,(Starlink!G152+'Customer Launch'!G108+'Customer Launch'!G105+'AI - Compute'!G12+'Lunar - Mars'!G94)-H15-H16-H18-Assumptions!H112)</f>
        <v>11958.416281250251</v>
      </c>
      <c r="I19" s="70">
        <f ca="1">Assumptions!$B$3*MAX(0,(Starlink!H152+'Customer Launch'!H108+'Customer Launch'!H105+'AI - Compute'!H12+'Lunar - Mars'!H94)-I15-I16-I18-Assumptions!I112)</f>
        <v>21770.400801943491</v>
      </c>
      <c r="J19" s="70">
        <f ca="1">Assumptions!$B$3*MAX(0,(Starlink!I152+'Customer Launch'!I108+'Customer Launch'!I105+'AI - Compute'!I12+'Lunar - Mars'!I94)-J15-J16-J18-Assumptions!J112)</f>
        <v>32771.187744137344</v>
      </c>
      <c r="K19" s="70">
        <f ca="1">Assumptions!$B$3*MAX(0,(Starlink!J152+'Customer Launch'!J108+'Customer Launch'!J105+'AI - Compute'!J12+'Lunar - Mars'!J94)-K15-K16-K18-Assumptions!K112)</f>
        <v>42771.415116528893</v>
      </c>
      <c r="L19" s="70">
        <f ca="1">Assumptions!$B$3*MAX(0,(Starlink!K152+'Customer Launch'!K108+'Customer Launch'!K105+'AI - Compute'!K12+'Lunar - Mars'!K94)-L15-L16-L18-Assumptions!L112)</f>
        <v>50538.4272581685</v>
      </c>
      <c r="M19" s="70">
        <f ca="1">Assumptions!$B$3*MAX(0,(Starlink!L152+'Customer Launch'!L108+'Customer Launch'!L105+'AI - Compute'!L12+'Lunar - Mars'!L94)-M15-M16-M18-Assumptions!M112)</f>
        <v>54284.972051006123</v>
      </c>
      <c r="N19" s="70">
        <f ca="1">Assumptions!$B$3*MAX(0,(Starlink!M152+'Customer Launch'!M108+'Customer Launch'!M105+'AI - Compute'!M12+'Lunar - Mars'!M94)-N15-N16-N18-Assumptions!N112)</f>
        <v>58453.298723661341</v>
      </c>
      <c r="O19" s="70">
        <f ca="1">Assumptions!$B$3*MAX(0,(Starlink!N152+'Customer Launch'!N108+'Customer Launch'!N105+'AI - Compute'!N12+'Lunar - Mars'!N94)-O15-O16-O18-Assumptions!O112)</f>
        <v>69736.173653870734</v>
      </c>
      <c r="P19" s="70">
        <f ca="1">Assumptions!$B$3*MAX(0,(Starlink!O152+'Customer Launch'!O108+'Customer Launch'!O105+'AI - Compute'!O12+'Lunar - Mars'!O94)-P15-P16-P18-Assumptions!P112)</f>
        <v>88078.777960220395</v>
      </c>
      <c r="Q19" s="70">
        <f ca="1">Assumptions!$B$3*MAX(0,(Starlink!P152+'Customer Launch'!P108+'Customer Launch'!P105+'AI - Compute'!P12+'Lunar - Mars'!P94)-Q15-Q16-Q18-Assumptions!Q112)</f>
        <v>112516.82318945418</v>
      </c>
      <c r="R19" s="70">
        <f ca="1">Assumptions!$B$3*MAX(0,(Starlink!Q152+'Customer Launch'!Q108+'Customer Launch'!Q105+'AI - Compute'!Q12+'Lunar - Mars'!Q94)-R15-R16-R18-Assumptions!R112)</f>
        <v>134837.59004717958</v>
      </c>
      <c r="S19" s="70">
        <f ca="1">Assumptions!$B$3*MAX(0,(Starlink!R152+'Customer Launch'!R108+'Customer Launch'!R105+'AI - Compute'!R12+'Lunar - Mars'!R94)-S15-S16-S18-Assumptions!S112)</f>
        <v>170644.92079734677</v>
      </c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29">
      <c r="A20" s="78" t="s">
        <v>1256</v>
      </c>
      <c r="B20" s="78"/>
      <c r="C20" s="78"/>
      <c r="D20" s="126"/>
      <c r="E20" s="125">
        <f t="array" aca="1" ref="E20" ca="1">E15+E16+E17+E18+E19+Assumptions!E112 + INDEX($D:$AC, MATCH("Placeholder AI/strategic CapEx ($mm): TEMP (retire when AI-Compute loaded)",$A$1:$A$91,0), E$5+1)</f>
        <v>5298.5792728786428</v>
      </c>
      <c r="F20" s="125">
        <f t="array" aca="1" ref="F20" ca="1">F15+F16+F17+F18+F19+Assumptions!F112 + INDEX($D:$AC, MATCH("Placeholder AI/strategic CapEx ($mm): TEMP (retire when AI-Compute loaded)",$A$1:$A$91,0), F$5+1)</f>
        <v>6568.984040930116</v>
      </c>
      <c r="G20" s="125">
        <f t="array" aca="1" ref="G20" ca="1">G15+G16+G17+G18+G19+Assumptions!G112 + INDEX($D:$AC, MATCH("Placeholder AI/strategic CapEx ($mm): TEMP (retire when AI-Compute loaded)",$A$1:$A$91,0), G$5+1)</f>
        <v>16980.288029869014</v>
      </c>
      <c r="H20" s="125">
        <f t="array" aca="1" ref="H20" ca="1">H15+H16+H17+H18+H19+Assumptions!H112 + INDEX($D:$AC, MATCH("Placeholder AI/strategic CapEx ($mm): TEMP (retire when AI-Compute loaded)",$A$1:$A$91,0), H$5+1)</f>
        <v>29071.900208403989</v>
      </c>
      <c r="I20" s="125">
        <f t="array" aca="1" ref="I20" ca="1">I15+I16+I17+I18+I19+Assumptions!I112 + INDEX($D:$AC, MATCH("Placeholder AI/strategic CapEx ($mm): TEMP (retire when AI-Compute loaded)",$A$1:$A$91,0), I$5+1)</f>
        <v>49674.936802160912</v>
      </c>
      <c r="J20" s="125">
        <f t="array" aca="1" ref="J20" ca="1">J15+J16+J17+J18+J19+Assumptions!J112 + INDEX($D:$AC, MATCH("Placeholder AI/strategic CapEx ($mm): TEMP (retire when AI-Compute loaded)",$A$1:$A$91,0), J$5+1)</f>
        <v>68155.918256340461</v>
      </c>
      <c r="K20" s="125">
        <f t="array" aca="1" ref="K20" ca="1">K15+K16+K17+K18+K19+Assumptions!K112 + INDEX($D:$AC, MATCH("Placeholder AI/strategic CapEx ($mm): TEMP (retire when AI-Compute loaded)",$A$1:$A$91,0), K$5+1)</f>
        <v>83754.612038286257</v>
      </c>
      <c r="L20" s="125">
        <f t="array" aca="1" ref="L20" ca="1">L15+L16+L17+L18+L19+Assumptions!L112 + INDEX($D:$AC, MATCH("Placeholder AI/strategic CapEx ($mm): TEMP (retire when AI-Compute loaded)",$A$1:$A$91,0), L$5+1)</f>
        <v>98889.321704160684</v>
      </c>
      <c r="M20" s="125">
        <f t="array" aca="1" ref="M20" ca="1">M15+M16+M17+M18+M19+Assumptions!M112 + INDEX($D:$AC, MATCH("Placeholder AI/strategic CapEx ($mm): TEMP (retire when AI-Compute loaded)",$A$1:$A$91,0), M$5+1)</f>
        <v>97601.831397233094</v>
      </c>
      <c r="N20" s="125">
        <f t="array" aca="1" ref="N20" ca="1">N15+N16+N17+N18+N19+Assumptions!N112 + INDEX($D:$AC, MATCH("Placeholder AI/strategic CapEx ($mm): TEMP (retire when AI-Compute loaded)",$A$1:$A$91,0), N$5+1)</f>
        <v>105297.44201256256</v>
      </c>
      <c r="O20" s="125">
        <f t="array" aca="1" ref="O20" ca="1">O15+O16+O17+O18+O19+Assumptions!O112 + INDEX($D:$AC, MATCH("Placeholder AI/strategic CapEx ($mm): TEMP (retire when AI-Compute loaded)",$A$1:$A$91,0), O$5+1)</f>
        <v>126897.44328226196</v>
      </c>
      <c r="P20" s="125">
        <f t="array" aca="1" ref="P20" ca="1">P15+P16+P17+P18+P19+Assumptions!P112 + INDEX($D:$AC, MATCH("Placeholder AI/strategic CapEx ($mm): TEMP (retire when AI-Compute loaded)",$A$1:$A$91,0), P$5+1)</f>
        <v>160919.97755609284</v>
      </c>
      <c r="Q20" s="125">
        <f t="array" aca="1" ref="Q20" ca="1">Q15+Q16+Q17+Q18+Q19+Assumptions!Q112 + INDEX($D:$AC, MATCH("Placeholder AI/strategic CapEx ($mm): TEMP (retire when AI-Compute loaded)",$A$1:$A$91,0), Q$5+1)</f>
        <v>186291.58916695404</v>
      </c>
      <c r="R20" s="125">
        <f t="array" aca="1" ref="R20" ca="1">R15+R16+R17+R18+R19+Assumptions!R112 + INDEX($D:$AC, MATCH("Placeholder AI/strategic CapEx ($mm): TEMP (retire when AI-Compute loaded)",$A$1:$A$91,0), R$5+1)</f>
        <v>217751.93709033358</v>
      </c>
      <c r="S20" s="125">
        <f t="array" aca="1" ref="S20" ca="1">S15+S16+S17+S18+S19+Assumptions!S112 + INDEX($D:$AC, MATCH("Placeholder AI/strategic CapEx ($mm): TEMP (retire when AI-Compute loaded)",$A$1:$A$91,0), S$5+1)</f>
        <v>272443.67061921209</v>
      </c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spans="1:29">
      <c r="A21" s="5" t="s">
        <v>1257</v>
      </c>
      <c r="B21" s="3"/>
      <c r="C21" s="3"/>
      <c r="D21" s="124"/>
      <c r="E21" s="29">
        <f t="shared" ref="E21:S21" ca="1" si="2">MAX(0,E11-E20)</f>
        <v>19401.420727121356</v>
      </c>
      <c r="F21" s="29">
        <f t="shared" ca="1" si="2"/>
        <v>77582.725865846645</v>
      </c>
      <c r="G21" s="29">
        <f t="shared" ca="1" si="2"/>
        <v>62597.119241441542</v>
      </c>
      <c r="H21" s="29">
        <f t="shared" ca="1" si="2"/>
        <v>76057.491507462197</v>
      </c>
      <c r="I21" s="29">
        <f t="shared" ca="1" si="2"/>
        <v>113099.94287993402</v>
      </c>
      <c r="J21" s="29">
        <f t="shared" ca="1" si="2"/>
        <v>147816.92109194901</v>
      </c>
      <c r="K21" s="29">
        <f t="shared" ca="1" si="2"/>
        <v>208607.71786903558</v>
      </c>
      <c r="L21" s="29">
        <f t="shared" ca="1" si="2"/>
        <v>253101.40475084141</v>
      </c>
      <c r="M21" s="29">
        <f t="shared" ca="1" si="2"/>
        <v>426539.4276796669</v>
      </c>
      <c r="N21" s="29">
        <f t="shared" ca="1" si="2"/>
        <v>517037.00506897166</v>
      </c>
      <c r="O21" s="29">
        <f t="shared" ca="1" si="2"/>
        <v>620275.68793590611</v>
      </c>
      <c r="P21" s="29">
        <f t="shared" ca="1" si="2"/>
        <v>706244.74712587195</v>
      </c>
      <c r="Q21" s="29">
        <f t="shared" ca="1" si="2"/>
        <v>893850.07538024441</v>
      </c>
      <c r="R21" s="29">
        <f t="shared" ca="1" si="2"/>
        <v>1158396.6769558168</v>
      </c>
      <c r="S21" s="29">
        <f t="shared" ca="1" si="2"/>
        <v>1467560.143644362</v>
      </c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spans="1:2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spans="1:29">
      <c r="A23" s="13" t="s">
        <v>1258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1:29">
      <c r="A24" s="5" t="s">
        <v>1259</v>
      </c>
      <c r="B24" s="3"/>
      <c r="C24" s="3"/>
      <c r="D24" s="70">
        <f>Assumptions!$B14</f>
        <v>750</v>
      </c>
      <c r="E24" s="70">
        <f>IF(E$4&lt;Assumptions!$B85,Assumptions!$B14,MAX(Assumptions!$B12,E98*IF(Assumptions!$B13=1,D55,0)))</f>
        <v>750</v>
      </c>
      <c r="F24" s="70">
        <f>IF(F$4&lt;Assumptions!$B85,Assumptions!$B14,MAX(Assumptions!$B12,F98*IF(Assumptions!$B13=1,E55,0)))</f>
        <v>750</v>
      </c>
      <c r="G24" s="70">
        <f>IF(G$4&lt;Assumptions!$B85,Assumptions!$B14,MAX(Assumptions!$B12,G98*IF(Assumptions!$B13=1,F55,0)))</f>
        <v>750</v>
      </c>
      <c r="H24" s="70">
        <f>IF(H$4&lt;Assumptions!$B85,Assumptions!$B14,MAX(Assumptions!$B12,H98*IF(Assumptions!$B13=1,G55,0)))</f>
        <v>750</v>
      </c>
      <c r="I24" s="70">
        <f ca="1">IF(I$4&lt;Assumptions!$B85,Assumptions!$B14,MAX(Assumptions!$B12,I98*IF(Assumptions!$B13=1,H55,0)))</f>
        <v>14332.043796298705</v>
      </c>
      <c r="J24" s="70">
        <f ca="1">IF(J$4&lt;Assumptions!$B85,Assumptions!$B14,MAX(Assumptions!$B12,J98*IF(Assumptions!$B13=1,I55,0)))</f>
        <v>11699.173085990644</v>
      </c>
      <c r="K24" s="70">
        <f ca="1">IF(K$4&lt;Assumptions!$B85,Assumptions!$B14,MAX(Assumptions!$B12,K98*IF(Assumptions!$B13=1,J55,0)))</f>
        <v>23340.494509868313</v>
      </c>
      <c r="L24" s="70">
        <f ca="1">IF(L$4&lt;Assumptions!$B85,Assumptions!$B14,MAX(Assumptions!$B12,L98*IF(Assumptions!$B13=1,K55,0)))</f>
        <v>9168.1647692186853</v>
      </c>
      <c r="M24" s="70">
        <f ca="1">IF(M$4&lt;Assumptions!$B85,Assumptions!$B14,MAX(Assumptions!$B12,M98*IF(Assumptions!$B13=1,L55,0)))</f>
        <v>25512.880362733562</v>
      </c>
      <c r="N24" s="70">
        <f ca="1">IF(N$4&lt;Assumptions!$B85,Assumptions!$B14,MAX(Assumptions!$B12,N98*IF(Assumptions!$B13=1,M55,0)))</f>
        <v>19897.388660654004</v>
      </c>
      <c r="O24" s="70">
        <f ca="1">IF(O$4&lt;Assumptions!$B85,Assumptions!$B14,MAX(Assumptions!$B12,O98*IF(Assumptions!$B13=1,N55,0)))</f>
        <v>23194.991144342184</v>
      </c>
      <c r="P24" s="70">
        <f ca="1">IF(P$4&lt;Assumptions!$B85,Assumptions!$B14,MAX(Assumptions!$B12,P98*IF(Assumptions!$B13=1,O55,0)))</f>
        <v>23224.530723223212</v>
      </c>
      <c r="Q24" s="70">
        <f ca="1">IF(Q$4&lt;Assumptions!$B85,Assumptions!$B14,MAX(Assumptions!$B12,Q98*IF(Assumptions!$B13=1,P55,0)))</f>
        <v>48556.101531877561</v>
      </c>
      <c r="R24" s="70">
        <f ca="1">IF(R$4&lt;Assumptions!$B85,Assumptions!$B14,MAX(Assumptions!$B12,R98*IF(Assumptions!$B13=1,Q55,0)))</f>
        <v>71388.313152967516</v>
      </c>
      <c r="S24" s="70">
        <f ca="1">IF(S$4&lt;Assumptions!$B85,Assumptions!$B14,MAX(Assumptions!$B12,S98*IF(Assumptions!$B13=1,R55,0)))</f>
        <v>94332.599034176033</v>
      </c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spans="1:29">
      <c r="A25" s="5" t="s">
        <v>1260</v>
      </c>
      <c r="B25" s="3"/>
      <c r="C25" s="3"/>
      <c r="D25" s="124"/>
      <c r="E25" s="29">
        <f t="shared" ref="E25:S25" ca="1" si="3">MAX(0,E21-E24)</f>
        <v>18651.420727121356</v>
      </c>
      <c r="F25" s="29">
        <f t="shared" ca="1" si="3"/>
        <v>76832.725865846645</v>
      </c>
      <c r="G25" s="29">
        <f t="shared" ca="1" si="3"/>
        <v>61847.119241441542</v>
      </c>
      <c r="H25" s="29">
        <f t="shared" ca="1" si="3"/>
        <v>75307.491507462197</v>
      </c>
      <c r="I25" s="29">
        <f t="shared" ca="1" si="3"/>
        <v>98767.899083635319</v>
      </c>
      <c r="J25" s="29">
        <f t="shared" ca="1" si="3"/>
        <v>136117.74800595836</v>
      </c>
      <c r="K25" s="29">
        <f t="shared" ca="1" si="3"/>
        <v>185267.22335916726</v>
      </c>
      <c r="L25" s="29">
        <f t="shared" ca="1" si="3"/>
        <v>243933.23998162273</v>
      </c>
      <c r="M25" s="29">
        <f t="shared" ca="1" si="3"/>
        <v>401026.54731693334</v>
      </c>
      <c r="N25" s="29">
        <f t="shared" ca="1" si="3"/>
        <v>497139.61640831764</v>
      </c>
      <c r="O25" s="29">
        <f t="shared" ca="1" si="3"/>
        <v>597080.69679156388</v>
      </c>
      <c r="P25" s="29">
        <f t="shared" ca="1" si="3"/>
        <v>683020.21640264872</v>
      </c>
      <c r="Q25" s="29">
        <f t="shared" ca="1" si="3"/>
        <v>845293.97384836688</v>
      </c>
      <c r="R25" s="29">
        <f t="shared" ca="1" si="3"/>
        <v>1087008.3638028493</v>
      </c>
      <c r="S25" s="29">
        <f t="shared" ca="1" si="3"/>
        <v>1373227.544610186</v>
      </c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spans="1:2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spans="1:29">
      <c r="A27" s="13" t="s">
        <v>1261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>
      <c r="A28" s="5" t="s">
        <v>1262</v>
      </c>
      <c r="B28" s="3"/>
      <c r="C28" s="3"/>
      <c r="D28" s="110"/>
      <c r="E28" s="110">
        <f>IFERROR(Starlink!D160,0)</f>
        <v>0.46924224407146692</v>
      </c>
      <c r="F28" s="110">
        <f ca="1">IFERROR(Starlink!E160,0)</f>
        <v>0.40646070985146027</v>
      </c>
      <c r="G28" s="110">
        <f ca="1">IFERROR(Starlink!F160,0)</f>
        <v>1.7115714151522643</v>
      </c>
      <c r="H28" s="110">
        <f ca="1">IFERROR(Starlink!G160,0)</f>
        <v>1.2169838634329504</v>
      </c>
      <c r="I28" s="110">
        <f ca="1">IFERROR(Starlink!H160,0)</f>
        <v>0.50560740936462445</v>
      </c>
      <c r="J28" s="110">
        <f ca="1">IFERROR(Starlink!I160,0)</f>
        <v>0.30693051536254601</v>
      </c>
      <c r="K28" s="110">
        <f ca="1">IFERROR(Starlink!J160,0)</f>
        <v>-0.12983916955673469</v>
      </c>
      <c r="L28" s="110">
        <f ca="1">IFERROR(Starlink!K160,0)</f>
        <v>-0.36332260610111483</v>
      </c>
      <c r="M28" s="110">
        <f ca="1">IFERROR(Starlink!L160,0)</f>
        <v>-0.15248568999975054</v>
      </c>
      <c r="N28" s="110">
        <f ca="1">IFERROR(Starlink!M160,0)</f>
        <v>-8.1240188014213247E-2</v>
      </c>
      <c r="O28" s="110">
        <f ca="1">IFERROR(Starlink!N160,0)</f>
        <v>-1.1283854287918503E-2</v>
      </c>
      <c r="P28" s="110">
        <f ca="1">IFERROR(Starlink!O160,0)</f>
        <v>-1.7456531440873932E-2</v>
      </c>
      <c r="Q28" s="110">
        <f ca="1">IFERROR(Starlink!P160,0)</f>
        <v>-1.2705828125457811E-2</v>
      </c>
      <c r="R28" s="110">
        <f ca="1">IFERROR(Starlink!Q160,0)</f>
        <v>-1.0881560638109361E-2</v>
      </c>
      <c r="S28" s="110">
        <f ca="1">IFERROR(Starlink!R160,0)</f>
        <v>-1.7602545445938702E-3</v>
      </c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>
      <c r="A29" s="5" t="s">
        <v>1263</v>
      </c>
      <c r="B29" s="3"/>
      <c r="C29" s="3"/>
      <c r="D29" s="110"/>
      <c r="E29" s="110">
        <f ca="1">IFERROR('Customer Launch'!D116,0)</f>
        <v>0</v>
      </c>
      <c r="F29" s="110">
        <f ca="1">IFERROR('Customer Launch'!E116,0)</f>
        <v>0</v>
      </c>
      <c r="G29" s="110">
        <f ca="1">IFERROR('Customer Launch'!F116,0)</f>
        <v>0</v>
      </c>
      <c r="H29" s="110">
        <f ca="1">IFERROR('Customer Launch'!G116,0)</f>
        <v>0</v>
      </c>
      <c r="I29" s="110">
        <f ca="1">IFERROR('Customer Launch'!H116,0)</f>
        <v>0</v>
      </c>
      <c r="J29" s="110">
        <f ca="1">IFERROR('Customer Launch'!I116,0)</f>
        <v>0</v>
      </c>
      <c r="K29" s="110">
        <f ca="1">IFERROR('Customer Launch'!J116,0)</f>
        <v>0</v>
      </c>
      <c r="L29" s="110">
        <f ca="1">IFERROR('Customer Launch'!K116,0)</f>
        <v>1.5897203427853834</v>
      </c>
      <c r="M29" s="110">
        <f ca="1">IFERROR('Customer Launch'!L116,0)</f>
        <v>1.1744562980473956</v>
      </c>
      <c r="N29" s="110">
        <f ca="1">IFERROR('Customer Launch'!M116,0)</f>
        <v>1.0862868932350631</v>
      </c>
      <c r="O29" s="110">
        <f ca="1">IFERROR('Customer Launch'!N116,0)</f>
        <v>0.88725620243046777</v>
      </c>
      <c r="P29" s="110">
        <f ca="1">IFERROR('Customer Launch'!O116,0)</f>
        <v>0.65784788044266307</v>
      </c>
      <c r="Q29" s="110">
        <f ca="1">IFERROR('Customer Launch'!P116,0)</f>
        <v>0.38924887998178537</v>
      </c>
      <c r="R29" s="110">
        <f ca="1">IFERROR('Customer Launch'!Q116,0)</f>
        <v>0.2636884727514518</v>
      </c>
      <c r="S29" s="110">
        <f ca="1">IFERROR('Customer Launch'!R116,0)</f>
        <v>9.0586387116495262E-2</v>
      </c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>
      <c r="A30" s="5" t="s">
        <v>1264</v>
      </c>
      <c r="B30" s="3"/>
      <c r="C30" s="3"/>
      <c r="D30" s="110"/>
      <c r="E30" s="110">
        <f ca="1">IFERROR('AI - Compute'!D16,0)</f>
        <v>0</v>
      </c>
      <c r="F30" s="110">
        <f ca="1">IFERROR('AI - Compute'!E16,0)</f>
        <v>0</v>
      </c>
      <c r="G30" s="110">
        <f ca="1">IFERROR('AI - Compute'!F16,0)</f>
        <v>-4.8748517787806783E-3</v>
      </c>
      <c r="H30" s="110">
        <f ca="1">IFERROR('AI - Compute'!G16,0)</f>
        <v>0.13436333955388979</v>
      </c>
      <c r="I30" s="110">
        <f ca="1">IFERROR('AI - Compute'!H16,0)</f>
        <v>0.1800699877389122</v>
      </c>
      <c r="J30" s="110">
        <f ca="1">IFERROR('AI - Compute'!I16,0)</f>
        <v>0.29955224433626382</v>
      </c>
      <c r="K30" s="110">
        <f ca="1">IFERROR('AI - Compute'!J16,0)</f>
        <v>0.40988070937061677</v>
      </c>
      <c r="L30" s="110">
        <f ca="1">IFERROR('AI - Compute'!K16,0)</f>
        <v>0.43552653119439338</v>
      </c>
      <c r="M30" s="110">
        <f ca="1">IFERROR('AI - Compute'!L16,0)</f>
        <v>0.44557575010580985</v>
      </c>
      <c r="N30" s="110">
        <f ca="1">IFERROR('AI - Compute'!M16,0)</f>
        <v>0.46827772397716627</v>
      </c>
      <c r="O30" s="110">
        <f ca="1">IFERROR('AI - Compute'!N16,0)</f>
        <v>0.52142390515181636</v>
      </c>
      <c r="P30" s="110">
        <f ca="1">IFERROR('AI - Compute'!O16,0)</f>
        <v>0.59830076003014521</v>
      </c>
      <c r="Q30" s="110">
        <f ca="1">IFERROR('AI - Compute'!P16,0)</f>
        <v>0.65553134373027622</v>
      </c>
      <c r="R30" s="110">
        <f ca="1">IFERROR('AI - Compute'!Q16,0)</f>
        <v>0.70016665947734091</v>
      </c>
      <c r="S30" s="110">
        <f ca="1">IFERROR('AI - Compute'!R16,0)</f>
        <v>0.75562211533868917</v>
      </c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>
      <c r="A31" s="5" t="s">
        <v>1265</v>
      </c>
      <c r="B31" s="3"/>
      <c r="C31" s="3"/>
      <c r="D31" s="31"/>
      <c r="E31" s="72">
        <f>EXP(MIN(Assumptions!$B$16*E28,700))</f>
        <v>4.0866547760141971</v>
      </c>
      <c r="F31" s="72">
        <f ca="1">EXP(MIN(Assumptions!$B$16*F28,700))</f>
        <v>3.3850955368468032</v>
      </c>
      <c r="G31" s="72">
        <f ca="1">EXP(MIN(Assumptions!$B$16*G28,700))</f>
        <v>169.8157873080811</v>
      </c>
      <c r="H31" s="72">
        <f ca="1">EXP(MIN(Assumptions!$B$16*H28,700))</f>
        <v>38.511295593391374</v>
      </c>
      <c r="I31" s="72">
        <f ca="1">EXP(MIN(Assumptions!$B$16*I28,700))</f>
        <v>4.5577187676348876</v>
      </c>
      <c r="J31" s="72">
        <f ca="1">EXP(MIN(Assumptions!$B$16*J28,700))</f>
        <v>2.5112773952265854</v>
      </c>
      <c r="K31" s="72">
        <f ca="1">EXP(MIN(Assumptions!$B$16*K28,700))</f>
        <v>0.67738362739126878</v>
      </c>
      <c r="L31" s="72">
        <f ca="1">EXP(MIN(Assumptions!$B$16*L28,700))</f>
        <v>0.3362273138980495</v>
      </c>
      <c r="M31" s="72">
        <f ca="1">EXP(MIN(Assumptions!$B$16*M28,700))</f>
        <v>0.63289099845492269</v>
      </c>
      <c r="N31" s="72">
        <f ca="1">EXP(MIN(Assumptions!$B$16*N28,700))</f>
        <v>0.7837065994719743</v>
      </c>
      <c r="O31" s="72">
        <f ca="1">EXP(MIN(Assumptions!$B$16*O28,700))</f>
        <v>0.96671499039267439</v>
      </c>
      <c r="P31" s="72">
        <f ca="1">EXP(MIN(Assumptions!$B$16*P28,700))</f>
        <v>0.94897806511456029</v>
      </c>
      <c r="Q31" s="72">
        <f ca="1">EXP(MIN(Assumptions!$B$16*Q28,700))</f>
        <v>0.96259984380541264</v>
      </c>
      <c r="R31" s="72">
        <f ca="1">EXP(MIN(Assumptions!$B$16*R28,700))</f>
        <v>0.96788240462140074</v>
      </c>
      <c r="S31" s="72">
        <f ca="1">EXP(MIN(Assumptions!$B$16*S28,700))</f>
        <v>0.99473315508722648</v>
      </c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>
      <c r="A32" s="5" t="s">
        <v>1266</v>
      </c>
      <c r="B32" s="3"/>
      <c r="C32" s="3"/>
      <c r="D32" s="31"/>
      <c r="E32" s="72">
        <f ca="1">EXP(MIN(Assumptions!$B$16*E29,700))</f>
        <v>1</v>
      </c>
      <c r="F32" s="72">
        <f ca="1">EXP(MIN(Assumptions!$B$16*F29,700))</f>
        <v>1</v>
      </c>
      <c r="G32" s="72">
        <f ca="1">EXP(MIN(Assumptions!$B$16*G29,700))</f>
        <v>1</v>
      </c>
      <c r="H32" s="72">
        <f ca="1">EXP(MIN(Assumptions!$B$16*H29,700))</f>
        <v>1</v>
      </c>
      <c r="I32" s="72">
        <f ca="1">EXP(MIN(Assumptions!$B$16*I29,700))</f>
        <v>1</v>
      </c>
      <c r="J32" s="72">
        <f ca="1">EXP(MIN(Assumptions!$B$16*J29,700))</f>
        <v>1</v>
      </c>
      <c r="K32" s="72">
        <f ca="1">EXP(MIN(Assumptions!$B$16*K29,700))</f>
        <v>1</v>
      </c>
      <c r="L32" s="72">
        <f ca="1">EXP(MIN(Assumptions!$B$16*L29,700))</f>
        <v>117.82035254890801</v>
      </c>
      <c r="M32" s="72">
        <f ca="1">EXP(MIN(Assumptions!$B$16*M29,700))</f>
        <v>33.89843655977441</v>
      </c>
      <c r="N32" s="72">
        <f ca="1">EXP(MIN(Assumptions!$B$16*N29,700))</f>
        <v>26.019875276572922</v>
      </c>
      <c r="O32" s="72">
        <f ca="1">EXP(MIN(Assumptions!$B$16*O29,700))</f>
        <v>14.32159599219913</v>
      </c>
      <c r="P32" s="72">
        <f ca="1">EXP(MIN(Assumptions!$B$16*P29,700))</f>
        <v>7.1961318696331666</v>
      </c>
      <c r="Q32" s="72">
        <f ca="1">EXP(MIN(Assumptions!$B$16*Q29,700))</f>
        <v>3.2147405029254612</v>
      </c>
      <c r="R32" s="72">
        <f ca="1">EXP(MIN(Assumptions!$B$16*R29,700))</f>
        <v>2.2057452160296225</v>
      </c>
      <c r="S32" s="72">
        <f ca="1">EXP(MIN(Assumptions!$B$16*S29,700))</f>
        <v>1.3122709176931338</v>
      </c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spans="1:29">
      <c r="A33" s="5" t="s">
        <v>1267</v>
      </c>
      <c r="B33" s="3"/>
      <c r="C33" s="3"/>
      <c r="D33" s="31"/>
      <c r="E33" s="72">
        <f ca="1">EXP(MIN(Assumptions!$B$16*E30,700))</f>
        <v>1</v>
      </c>
      <c r="F33" s="72">
        <f ca="1">EXP(MIN(Assumptions!$B$16*F30,700))</f>
        <v>1</v>
      </c>
      <c r="G33" s="72">
        <f ca="1">EXP(MIN(Assumptions!$B$16*G30,700))</f>
        <v>0.98548186406262916</v>
      </c>
      <c r="H33" s="72">
        <f ca="1">EXP(MIN(Assumptions!$B$16*H30,700))</f>
        <v>1.4964415932701551</v>
      </c>
      <c r="I33" s="72">
        <f ca="1">EXP(MIN(Assumptions!$B$16*I30,700))</f>
        <v>1.7163671983329294</v>
      </c>
      <c r="J33" s="72">
        <f ca="1">EXP(MIN(Assumptions!$B$16*J30,700))</f>
        <v>2.4563014255053885</v>
      </c>
      <c r="K33" s="72">
        <f ca="1">EXP(MIN(Assumptions!$B$16*K30,700))</f>
        <v>3.4200053934719441</v>
      </c>
      <c r="L33" s="72">
        <f ca="1">EXP(MIN(Assumptions!$B$16*L30,700))</f>
        <v>3.6935187467633392</v>
      </c>
      <c r="M33" s="72">
        <f ca="1">EXP(MIN(Assumptions!$B$16*M30,700))</f>
        <v>3.8065651623308749</v>
      </c>
      <c r="N33" s="72">
        <f ca="1">EXP(MIN(Assumptions!$B$16*N30,700))</f>
        <v>4.0748468857242255</v>
      </c>
      <c r="O33" s="72">
        <f ca="1">EXP(MIN(Assumptions!$B$16*O30,700))</f>
        <v>4.779193055711505</v>
      </c>
      <c r="P33" s="72">
        <f ca="1">EXP(MIN(Assumptions!$B$16*P30,700))</f>
        <v>6.0188865280214001</v>
      </c>
      <c r="Q33" s="72">
        <f ca="1">EXP(MIN(Assumptions!$B$16*Q30,700))</f>
        <v>7.1462949328654908</v>
      </c>
      <c r="R33" s="72">
        <f ca="1">EXP(MIN(Assumptions!$B$16*R30,700))</f>
        <v>8.1702538422494708</v>
      </c>
      <c r="S33" s="72">
        <f ca="1">EXP(MIN(Assumptions!$B$16*S30,700))</f>
        <v>9.6491163963750353</v>
      </c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1:29">
      <c r="A34" s="5" t="s">
        <v>1268</v>
      </c>
      <c r="B34" s="3"/>
      <c r="C34" s="3"/>
      <c r="D34" s="31"/>
      <c r="E34" s="31">
        <f t="shared" ref="E34:S34" ca="1" si="4">E31+E32+E33</f>
        <v>6.0866547760141971</v>
      </c>
      <c r="F34" s="31">
        <f t="shared" ca="1" si="4"/>
        <v>5.3850955368468032</v>
      </c>
      <c r="G34" s="31">
        <f t="shared" ca="1" si="4"/>
        <v>171.80126917214372</v>
      </c>
      <c r="H34" s="31">
        <f t="shared" ca="1" si="4"/>
        <v>41.007737186661529</v>
      </c>
      <c r="I34" s="31">
        <f t="shared" ca="1" si="4"/>
        <v>7.2740859659678172</v>
      </c>
      <c r="J34" s="31">
        <f t="shared" ca="1" si="4"/>
        <v>5.9675788207319744</v>
      </c>
      <c r="K34" s="31">
        <f t="shared" ca="1" si="4"/>
        <v>5.0973890208632131</v>
      </c>
      <c r="L34" s="31">
        <f t="shared" ca="1" si="4"/>
        <v>121.8500986095694</v>
      </c>
      <c r="M34" s="31">
        <f t="shared" ca="1" si="4"/>
        <v>38.337892720560212</v>
      </c>
      <c r="N34" s="31">
        <f t="shared" ca="1" si="4"/>
        <v>30.878428761769122</v>
      </c>
      <c r="O34" s="31">
        <f t="shared" ca="1" si="4"/>
        <v>20.067504038303309</v>
      </c>
      <c r="P34" s="31">
        <f t="shared" ca="1" si="4"/>
        <v>14.163996462769127</v>
      </c>
      <c r="Q34" s="31">
        <f t="shared" ca="1" si="4"/>
        <v>11.323635279596365</v>
      </c>
      <c r="R34" s="31">
        <f t="shared" ca="1" si="4"/>
        <v>11.343881462900494</v>
      </c>
      <c r="S34" s="31">
        <f t="shared" ca="1" si="4"/>
        <v>11.956120469155396</v>
      </c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spans="1:29" s="117" customFormat="1">
      <c r="A35" s="127" t="s">
        <v>1269</v>
      </c>
      <c r="B35" s="116"/>
      <c r="C35" s="116"/>
      <c r="D35" s="128"/>
      <c r="E35" s="128">
        <f ca="1">Assumptions!$B$397 + (1-3*Assumptions!$B$397) * IFERROR(E31/E34,0)</f>
        <v>0.62070044013351566</v>
      </c>
      <c r="F35" s="128">
        <f ca="1">Assumptions!$B$397 + (1-3*Assumptions!$B$397) * IFERROR(F31/F34,0)</f>
        <v>0.58431386437474042</v>
      </c>
      <c r="G35" s="128">
        <f ca="1">Assumptions!$B$397 + (1-3*Assumptions!$B$397) * IFERROR(G31/G34,0)</f>
        <v>0.89017667568705683</v>
      </c>
      <c r="H35" s="128">
        <f ca="1">Assumptions!$B$397 + (1-3*Assumptions!$B$397) * IFERROR(H31/H34,0)</f>
        <v>0.848254268587884</v>
      </c>
      <c r="I35" s="128">
        <f ca="1">Assumptions!$B$397 + (1-3*Assumptions!$B$397) * IFERROR(I31/I34,0)</f>
        <v>0.58258388347548362</v>
      </c>
      <c r="J35" s="128">
        <f ca="1">Assumptions!$B$397 + (1-3*Assumptions!$B$397) * IFERROR(J31/J34,0)</f>
        <v>0.40769712475800568</v>
      </c>
      <c r="K35" s="128">
        <f ca="1">Assumptions!$B$397 + (1-3*Assumptions!$B$397) * IFERROR(K31/K34,0)</f>
        <v>0.16295509935105446</v>
      </c>
      <c r="L35" s="128">
        <f ca="1">Assumptions!$B$397 + (1-3*Assumptions!$B$397) * IFERROR(L31/L34,0)</f>
        <v>5.2345449204182243E-2</v>
      </c>
      <c r="M35" s="128">
        <f ca="1">Assumptions!$B$397 + (1-3*Assumptions!$B$397) * IFERROR(M31/M34,0)</f>
        <v>6.4032000992015489E-2</v>
      </c>
      <c r="N35" s="128">
        <f ca="1">Assumptions!$B$397 + (1-3*Assumptions!$B$397) * IFERROR(N31/N34,0)</f>
        <v>7.1573332461007388E-2</v>
      </c>
      <c r="O35" s="128">
        <f ca="1">Assumptions!$B$397 + (1-3*Assumptions!$B$397) * IFERROR(O31/O34,0)</f>
        <v>9.0947182084297112E-2</v>
      </c>
      <c r="P35" s="128">
        <f ca="1">Assumptions!$B$397 + (1-3*Assumptions!$B$397) * IFERROR(P31/P34,0)</f>
        <v>0.10694941801684665</v>
      </c>
      <c r="Q35" s="128">
        <f ca="1">Assumptions!$B$397 + (1-3*Assumptions!$B$397) * IFERROR(Q31/Q34,0)</f>
        <v>0.12225681921325235</v>
      </c>
      <c r="R35" s="128">
        <f ca="1">Assumptions!$B$397 + (1-3*Assumptions!$B$397) * IFERROR(R31/R34,0)</f>
        <v>0.12252368130068912</v>
      </c>
      <c r="S35" s="128">
        <f ca="1">Assumptions!$B$397 + (1-3*Assumptions!$B$397) * IFERROR(S31/S34,0)</f>
        <v>0.12071885767673868</v>
      </c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spans="1:29" s="117" customFormat="1">
      <c r="A36" s="127" t="s">
        <v>1270</v>
      </c>
      <c r="B36" s="116"/>
      <c r="C36" s="116"/>
      <c r="D36" s="128"/>
      <c r="E36" s="128">
        <f ca="1">Assumptions!$B$397 + (1-3*Assumptions!$B$397) * IFERROR(E32/E34,0)</f>
        <v>0.18964977993324217</v>
      </c>
      <c r="F36" s="128">
        <f ca="1">Assumptions!$B$397 + (1-3*Assumptions!$B$397) * IFERROR(F32/F34,0)</f>
        <v>0.20784306781262979</v>
      </c>
      <c r="G36" s="128">
        <f ca="1">Assumptions!$B$397 + (1-3*Assumptions!$B$397) * IFERROR(G32/G34,0)</f>
        <v>5.4947576953860024E-2</v>
      </c>
      <c r="H36" s="128">
        <f ca="1">Assumptions!$B$397 + (1-3*Assumptions!$B$397) * IFERROR(H32/H34,0)</f>
        <v>7.0727795735983146E-2</v>
      </c>
      <c r="I36" s="128">
        <f ca="1">Assumptions!$B$397 + (1-3*Assumptions!$B$397) * IFERROR(I32/I34,0)</f>
        <v>0.16685316945342252</v>
      </c>
      <c r="J36" s="128">
        <f ca="1">Assumptions!$B$397 + (1-3*Assumptions!$B$397) * IFERROR(J32/J34,0)</f>
        <v>0.19243632560780155</v>
      </c>
      <c r="K36" s="128">
        <f ca="1">Assumptions!$B$397 + (1-3*Assumptions!$B$397) * IFERROR(K32/K34,0)</f>
        <v>0.21675203648789931</v>
      </c>
      <c r="L36" s="128">
        <f ca="1">Assumptions!$B$397 + (1-3*Assumptions!$B$397) * IFERROR(L32/L34,0)</f>
        <v>0.87188936085692115</v>
      </c>
      <c r="M36" s="128">
        <f ca="1">Assumptions!$B$397 + (1-3*Assumptions!$B$397) * IFERROR(M32/M34,0)</f>
        <v>0.80157159225801111</v>
      </c>
      <c r="N36" s="128">
        <f ca="1">Assumptions!$B$397 + (1-3*Assumptions!$B$397) * IFERROR(N32/N34,0)</f>
        <v>0.76625710478086639</v>
      </c>
      <c r="O36" s="128">
        <f ca="1">Assumptions!$B$397 + (1-3*Assumptions!$B$397) * IFERROR(O32/O34,0)</f>
        <v>0.65662036345594821</v>
      </c>
      <c r="P36" s="128">
        <f ca="1">Assumptions!$B$397 + (1-3*Assumptions!$B$397) * IFERROR(P32/P34,0)</f>
        <v>0.48184930928684699</v>
      </c>
      <c r="Q36" s="128">
        <f ca="1">Assumptions!$B$397 + (1-3*Assumptions!$B$397) * IFERROR(Q32/Q34,0)</f>
        <v>0.29131203098798886</v>
      </c>
      <c r="R36" s="128">
        <f ca="1">Assumptions!$B$397 + (1-3*Assumptions!$B$397) * IFERROR(R32/R34,0)</f>
        <v>0.21527706497611743</v>
      </c>
      <c r="S36" s="128">
        <f ca="1">Assumptions!$B$397 + (1-3*Assumptions!$B$397) * IFERROR(S32/S34,0)</f>
        <v>0.14329366351876177</v>
      </c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spans="1:29" s="117" customFormat="1">
      <c r="A37" s="127" t="s">
        <v>1271</v>
      </c>
      <c r="B37" s="116"/>
      <c r="C37" s="116"/>
      <c r="D37" s="128"/>
      <c r="E37" s="128">
        <f ca="1">Assumptions!$B$397 + (1-3*Assumptions!$B$397) * IFERROR(E33/E34,0)</f>
        <v>0.18964977993324217</v>
      </c>
      <c r="F37" s="128">
        <f ca="1">Assumptions!$B$397 + (1-3*Assumptions!$B$397) * IFERROR(F33/F34,0)</f>
        <v>0.20784306781262979</v>
      </c>
      <c r="G37" s="128">
        <f ca="1">Assumptions!$B$397 + (1-3*Assumptions!$B$397) * IFERROR(G33/G34,0)</f>
        <v>5.4875747359083279E-2</v>
      </c>
      <c r="H37" s="128">
        <f ca="1">Assumptions!$B$397 + (1-3*Assumptions!$B$397) * IFERROR(H33/H34,0)</f>
        <v>8.1017935676132941E-2</v>
      </c>
      <c r="I37" s="128">
        <f ca="1">Assumptions!$B$397 + (1-3*Assumptions!$B$397) * IFERROR(I33/I34,0)</f>
        <v>0.25056294707109383</v>
      </c>
      <c r="J37" s="128">
        <f ca="1">Assumptions!$B$397 + (1-3*Assumptions!$B$397) * IFERROR(J33/J34,0)</f>
        <v>0.39986654963419266</v>
      </c>
      <c r="K37" s="128">
        <f ca="1">Assumptions!$B$397 + (1-3*Assumptions!$B$397) * IFERROR(K33/K34,0)</f>
        <v>0.62029286416104623</v>
      </c>
      <c r="L37" s="128">
        <f ca="1">Assumptions!$B$397 + (1-3*Assumptions!$B$397) * IFERROR(L33/L34,0)</f>
        <v>7.5765189938896624E-2</v>
      </c>
      <c r="M37" s="128">
        <f ca="1">Assumptions!$B$397 + (1-3*Assumptions!$B$397) * IFERROR(M33/M34,0)</f>
        <v>0.13439640674997338</v>
      </c>
      <c r="N37" s="128">
        <f ca="1">Assumptions!$B$397 + (1-3*Assumptions!$B$397) * IFERROR(N33/N34,0)</f>
        <v>0.16216956275812622</v>
      </c>
      <c r="O37" s="128">
        <f ca="1">Assumptions!$B$397 + (1-3*Assumptions!$B$397) * IFERROR(O33/O34,0)</f>
        <v>0.25243245445975476</v>
      </c>
      <c r="P37" s="128">
        <f ca="1">Assumptions!$B$397 + (1-3*Assumptions!$B$397) * IFERROR(P33/P34,0)</f>
        <v>0.41120127269630635</v>
      </c>
      <c r="Q37" s="128">
        <f ca="1">Assumptions!$B$397 + (1-3*Assumptions!$B$397) * IFERROR(Q33/Q34,0)</f>
        <v>0.58643114979875877</v>
      </c>
      <c r="R37" s="128">
        <f ca="1">Assumptions!$B$397 + (1-3*Assumptions!$B$397) * IFERROR(R33/R34,0)</f>
        <v>0.66219925372319344</v>
      </c>
      <c r="S37" s="128">
        <f ca="1">Assumptions!$B$397 + (1-3*Assumptions!$B$397) * IFERROR(S33/S34,0)</f>
        <v>0.73598747880449955</v>
      </c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spans="1:29">
      <c r="A38" s="5" t="s">
        <v>1272</v>
      </c>
      <c r="B38" s="3"/>
      <c r="C38" s="3"/>
      <c r="D38" s="31"/>
      <c r="E38" s="31">
        <f t="shared" ref="E38:S38" ca="1" si="5">E35+E36+E37</f>
        <v>1</v>
      </c>
      <c r="F38" s="31">
        <f t="shared" ca="1" si="5"/>
        <v>1</v>
      </c>
      <c r="G38" s="31">
        <f t="shared" ca="1" si="5"/>
        <v>1</v>
      </c>
      <c r="H38" s="31">
        <f t="shared" ca="1" si="5"/>
        <v>1</v>
      </c>
      <c r="I38" s="31">
        <f t="shared" ca="1" si="5"/>
        <v>1</v>
      </c>
      <c r="J38" s="31">
        <f t="shared" ca="1" si="5"/>
        <v>0.99999999999999989</v>
      </c>
      <c r="K38" s="31">
        <f t="shared" ca="1" si="5"/>
        <v>1</v>
      </c>
      <c r="L38" s="31">
        <f t="shared" ca="1" si="5"/>
        <v>1</v>
      </c>
      <c r="M38" s="31">
        <f t="shared" ca="1" si="5"/>
        <v>1</v>
      </c>
      <c r="N38" s="31">
        <f t="shared" ca="1" si="5"/>
        <v>1</v>
      </c>
      <c r="O38" s="31">
        <f t="shared" ca="1" si="5"/>
        <v>1</v>
      </c>
      <c r="P38" s="31">
        <f t="shared" ca="1" si="5"/>
        <v>1</v>
      </c>
      <c r="Q38" s="31">
        <f t="shared" ca="1" si="5"/>
        <v>1</v>
      </c>
      <c r="R38" s="31">
        <f t="shared" ca="1" si="5"/>
        <v>1</v>
      </c>
      <c r="S38" s="31">
        <f t="shared" ca="1" si="5"/>
        <v>1</v>
      </c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spans="1:29">
      <c r="A39" s="5" t="s">
        <v>1273</v>
      </c>
      <c r="B39" s="3"/>
      <c r="C39" s="3"/>
      <c r="D39" s="124"/>
      <c r="E39" s="29">
        <f t="shared" ref="E39:AC39" ca="1" si="6">E127</f>
        <v>13695.090418447</v>
      </c>
      <c r="F39" s="29">
        <f t="shared" ca="1" si="6"/>
        <v>56677.180466115693</v>
      </c>
      <c r="G39" s="29">
        <f t="shared" ca="1" si="6"/>
        <v>57774.103467961926</v>
      </c>
      <c r="H39" s="29">
        <f t="shared" ca="1" si="6"/>
        <v>67795.202174664169</v>
      </c>
      <c r="I39" s="29">
        <f t="shared" ca="1" si="6"/>
        <v>68617.686803190241</v>
      </c>
      <c r="J39" s="29">
        <f t="shared" ca="1" si="6"/>
        <v>68448.419428732843</v>
      </c>
      <c r="K39" s="29">
        <f t="shared" ca="1" si="6"/>
        <v>76570.127961173624</v>
      </c>
      <c r="L39" s="29">
        <f t="shared" ca="1" si="6"/>
        <v>30442.344136836604</v>
      </c>
      <c r="M39" s="29">
        <f t="shared" ca="1" si="6"/>
        <v>71361.977079347096</v>
      </c>
      <c r="N39" s="29">
        <f t="shared" ca="1" si="6"/>
        <v>96838.082188447792</v>
      </c>
      <c r="O39" s="29">
        <f t="shared" ca="1" si="6"/>
        <v>144858.07676749706</v>
      </c>
      <c r="P39" s="29">
        <f t="shared" ca="1" si="6"/>
        <v>94295.25148659767</v>
      </c>
      <c r="Q39" s="29">
        <f t="shared" ca="1" si="6"/>
        <v>55818.529649959048</v>
      </c>
      <c r="R39" s="29">
        <f t="shared" ca="1" si="6"/>
        <v>29241.513342096157</v>
      </c>
      <c r="S39" s="29">
        <f t="shared" ca="1" si="6"/>
        <v>35740.835833827136</v>
      </c>
      <c r="T39" s="29">
        <f t="shared" si="6"/>
        <v>0</v>
      </c>
      <c r="U39" s="29">
        <f t="shared" si="6"/>
        <v>0</v>
      </c>
      <c r="V39" s="29">
        <f t="shared" si="6"/>
        <v>0</v>
      </c>
      <c r="W39" s="29">
        <f t="shared" si="6"/>
        <v>0</v>
      </c>
      <c r="X39" s="29">
        <f t="shared" si="6"/>
        <v>0</v>
      </c>
      <c r="Y39" s="29">
        <f t="shared" si="6"/>
        <v>0</v>
      </c>
      <c r="Z39" s="29">
        <f t="shared" si="6"/>
        <v>0</v>
      </c>
      <c r="AA39" s="29">
        <f t="shared" si="6"/>
        <v>0</v>
      </c>
      <c r="AB39" s="29">
        <f t="shared" si="6"/>
        <v>0</v>
      </c>
      <c r="AC39" s="29">
        <f t="shared" si="6"/>
        <v>0</v>
      </c>
    </row>
    <row r="40" spans="1:29">
      <c r="A40" s="5" t="s">
        <v>1274</v>
      </c>
      <c r="B40" s="3"/>
      <c r="C40" s="3"/>
      <c r="D40" s="124"/>
      <c r="E40" s="29">
        <f t="shared" ref="E40:AC40" ca="1" si="7">E128</f>
        <v>900.78459459459452</v>
      </c>
      <c r="F40" s="29">
        <f t="shared" ca="1" si="7"/>
        <v>705.62165998167836</v>
      </c>
      <c r="G40" s="29">
        <f t="shared" ca="1" si="7"/>
        <v>663.32847657385526</v>
      </c>
      <c r="H40" s="29">
        <f t="shared" ca="1" si="7"/>
        <v>1258.8941454686951</v>
      </c>
      <c r="I40" s="29">
        <f t="shared" ca="1" si="7"/>
        <v>1231.1697007792723</v>
      </c>
      <c r="J40" s="29">
        <f t="shared" ca="1" si="7"/>
        <v>570.36499943713488</v>
      </c>
      <c r="K40" s="29">
        <f t="shared" ca="1" si="7"/>
        <v>2121.2190978006115</v>
      </c>
      <c r="L40" s="29">
        <f t="shared" ca="1" si="7"/>
        <v>862.06716064212981</v>
      </c>
      <c r="M40" s="29">
        <f t="shared" ca="1" si="7"/>
        <v>1001.9146449172931</v>
      </c>
      <c r="N40" s="29">
        <f t="shared" ca="1" si="7"/>
        <v>1182.0845901509697</v>
      </c>
      <c r="O40" s="29">
        <f t="shared" ca="1" si="7"/>
        <v>1977.4794976222788</v>
      </c>
      <c r="P40" s="29">
        <f t="shared" ca="1" si="7"/>
        <v>444.50037934505934</v>
      </c>
      <c r="Q40" s="29">
        <f t="shared" ca="1" si="7"/>
        <v>501.0013016058403</v>
      </c>
      <c r="R40" s="29">
        <f t="shared" ca="1" si="7"/>
        <v>616.9316660058347</v>
      </c>
      <c r="S40" s="29">
        <f t="shared" ca="1" si="7"/>
        <v>-19.772840194073638</v>
      </c>
      <c r="T40" s="29">
        <f t="shared" si="7"/>
        <v>0</v>
      </c>
      <c r="U40" s="29">
        <f t="shared" si="7"/>
        <v>0</v>
      </c>
      <c r="V40" s="29">
        <f t="shared" si="7"/>
        <v>0</v>
      </c>
      <c r="W40" s="29">
        <f t="shared" si="7"/>
        <v>0</v>
      </c>
      <c r="X40" s="29">
        <f t="shared" si="7"/>
        <v>0</v>
      </c>
      <c r="Y40" s="29">
        <f t="shared" si="7"/>
        <v>0</v>
      </c>
      <c r="Z40" s="29">
        <f t="shared" si="7"/>
        <v>0</v>
      </c>
      <c r="AA40" s="29">
        <f t="shared" si="7"/>
        <v>0</v>
      </c>
      <c r="AB40" s="29">
        <f t="shared" si="7"/>
        <v>0</v>
      </c>
      <c r="AC40" s="29">
        <f t="shared" si="7"/>
        <v>0</v>
      </c>
    </row>
    <row r="41" spans="1:29">
      <c r="A41" s="5" t="s">
        <v>1275</v>
      </c>
      <c r="B41" s="3"/>
      <c r="C41" s="3"/>
      <c r="D41" s="124"/>
      <c r="E41" s="29">
        <f t="shared" ref="E41:S41" ca="1" si="8">E88+E90</f>
        <v>3537.237836340877</v>
      </c>
      <c r="F41" s="29">
        <f t="shared" ca="1" si="8"/>
        <v>15969.14945236436</v>
      </c>
      <c r="G41" s="29">
        <f t="shared" ca="1" si="8"/>
        <v>5960.3207828820478</v>
      </c>
      <c r="H41" s="29">
        <f t="shared" ca="1" si="8"/>
        <v>6101.2575028825004</v>
      </c>
      <c r="I41" s="29">
        <f t="shared" ca="1" si="8"/>
        <v>24747.575870416054</v>
      </c>
      <c r="J41" s="29">
        <f t="shared" ca="1" si="8"/>
        <v>55179.775208717539</v>
      </c>
      <c r="K41" s="29">
        <f t="shared" ca="1" si="8"/>
        <v>80101.124651967897</v>
      </c>
      <c r="L41" s="29">
        <f t="shared" ca="1" si="8"/>
        <v>26507.196527653567</v>
      </c>
      <c r="M41" s="29">
        <f t="shared" ca="1" si="8"/>
        <v>53896.526970744024</v>
      </c>
      <c r="N41" s="29">
        <f t="shared" ca="1" si="8"/>
        <v>80620.914222679465</v>
      </c>
      <c r="O41" s="29">
        <f t="shared" ca="1" si="8"/>
        <v>131942.49543495651</v>
      </c>
      <c r="P41" s="29">
        <f t="shared" ca="1" si="8"/>
        <v>160668.93322578201</v>
      </c>
      <c r="Q41" s="29">
        <f t="shared" ca="1" si="8"/>
        <v>153675.22599629522</v>
      </c>
      <c r="R41" s="29">
        <f t="shared" ca="1" si="8"/>
        <v>208822.03146653221</v>
      </c>
      <c r="S41" s="29">
        <f t="shared" ca="1" si="8"/>
        <v>255595.8101078071</v>
      </c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spans="1:2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29">
      <c r="A43" s="5" t="s">
        <v>1276</v>
      </c>
      <c r="B43" s="3"/>
      <c r="C43" s="3"/>
      <c r="D43" s="123"/>
      <c r="E43" s="70">
        <f ca="1">Starlink!E156+'Customer Launch'!E113+'AI - Compute'!E13</f>
        <v>20203.709868754875</v>
      </c>
      <c r="F43" s="70">
        <f ca="1">Starlink!F156+'Customer Launch'!F113+'AI - Compute'!F13</f>
        <v>35529.703697851452</v>
      </c>
      <c r="G43" s="70">
        <f ca="1">Starlink!G156+'Customer Launch'!G113+'AI - Compute'!G13</f>
        <v>32719.655396527138</v>
      </c>
      <c r="H43" s="70">
        <f ca="1">Starlink!H156+'Customer Launch'!H113+'AI - Compute'!H13</f>
        <v>54563.217146894705</v>
      </c>
      <c r="I43" s="70">
        <f ca="1">Starlink!I156+'Customer Launch'!I113+'AI - Compute'!I13</f>
        <v>106417.93884317439</v>
      </c>
      <c r="J43" s="70">
        <f ca="1">Starlink!J156+'Customer Launch'!J113+'AI - Compute'!J13</f>
        <v>141466.07900431921</v>
      </c>
      <c r="K43" s="70">
        <f ca="1">Starlink!K156+'Customer Launch'!K113+'AI - Compute'!K13</f>
        <v>191137.35870855878</v>
      </c>
      <c r="L43" s="70">
        <f ca="1">Starlink!L156+'Customer Launch'!L113+'AI - Compute'!L13</f>
        <v>119275.26626071907</v>
      </c>
      <c r="M43" s="70">
        <f ca="1">Starlink!M156+'Customer Launch'!M113+'AI - Compute'!M13</f>
        <v>181533.75503287511</v>
      </c>
      <c r="N43" s="70">
        <f ca="1">Starlink!N156+'Customer Launch'!N113+'AI - Compute'!N13</f>
        <v>248885.46318845669</v>
      </c>
      <c r="O43" s="70">
        <f ca="1">Starlink!O156+'Customer Launch'!O113+'AI - Compute'!O13</f>
        <v>373220.95677843492</v>
      </c>
      <c r="P43" s="70">
        <f ca="1">Starlink!P156+'Customer Launch'!P113+'AI - Compute'!P13</f>
        <v>399651.47078751703</v>
      </c>
      <c r="Q43" s="70">
        <f ca="1">Starlink!Q156+'Customer Launch'!Q113+'AI - Compute'!Q13</f>
        <v>418749.4871123542</v>
      </c>
      <c r="R43" s="70">
        <f ca="1">Starlink!R156+'Customer Launch'!R113+'AI - Compute'!R13</f>
        <v>510782.85601500381</v>
      </c>
      <c r="S43" s="70">
        <f ca="1">Starlink!S156+'Customer Launch'!S113+'AI - Compute'!S13</f>
        <v>649712.63064528711</v>
      </c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spans="1:29">
      <c r="A44" s="5" t="s">
        <v>1277</v>
      </c>
      <c r="B44" s="3"/>
      <c r="C44" s="3"/>
      <c r="D44" s="124"/>
      <c r="E44" s="29">
        <f t="shared" ref="E44:S44" ca="1" si="9">MAX(0,E25-E43)</f>
        <v>0</v>
      </c>
      <c r="F44" s="29">
        <f t="shared" ca="1" si="9"/>
        <v>41303.022167995194</v>
      </c>
      <c r="G44" s="29">
        <f t="shared" ca="1" si="9"/>
        <v>29127.463844914404</v>
      </c>
      <c r="H44" s="29">
        <f t="shared" ca="1" si="9"/>
        <v>20744.274360567491</v>
      </c>
      <c r="I44" s="29">
        <f t="shared" ca="1" si="9"/>
        <v>0</v>
      </c>
      <c r="J44" s="29">
        <f t="shared" ca="1" si="9"/>
        <v>0</v>
      </c>
      <c r="K44" s="29">
        <f t="shared" ca="1" si="9"/>
        <v>0</v>
      </c>
      <c r="L44" s="29">
        <f t="shared" ca="1" si="9"/>
        <v>124657.97372090365</v>
      </c>
      <c r="M44" s="29">
        <f t="shared" ca="1" si="9"/>
        <v>219492.79228405823</v>
      </c>
      <c r="N44" s="29">
        <f t="shared" ca="1" si="9"/>
        <v>248254.15321986095</v>
      </c>
      <c r="O44" s="29">
        <f t="shared" ca="1" si="9"/>
        <v>223859.74001312896</v>
      </c>
      <c r="P44" s="29">
        <f t="shared" ca="1" si="9"/>
        <v>283368.74561513169</v>
      </c>
      <c r="Q44" s="29">
        <f t="shared" ca="1" si="9"/>
        <v>426544.48673601268</v>
      </c>
      <c r="R44" s="29">
        <f t="shared" ca="1" si="9"/>
        <v>576225.50778784556</v>
      </c>
      <c r="S44" s="29">
        <f t="shared" ca="1" si="9"/>
        <v>723514.91396489891</v>
      </c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:29">
      <c r="A45" s="13" t="s">
        <v>1278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:29">
      <c r="A46" s="78" t="s">
        <v>1279</v>
      </c>
      <c r="B46" s="78"/>
      <c r="C46" s="78"/>
      <c r="D46" s="129"/>
      <c r="E46" s="125">
        <f ca="1">Starlink!E159+'Customer Launch'!E115+'AI - Compute'!E15</f>
        <v>39852469.651219949</v>
      </c>
      <c r="F46" s="125">
        <f ca="1">Starlink!F159+'Customer Launch'!F115+'AI - Compute'!F15</f>
        <v>54362171.453616835</v>
      </c>
      <c r="G46" s="125">
        <f ca="1">Starlink!G159+'Customer Launch'!G115+'AI - Compute'!G15</f>
        <v>71705457.468759358</v>
      </c>
      <c r="H46" s="125">
        <f ca="1">Starlink!H159+'Customer Launch'!H115+'AI - Compute'!H15</f>
        <v>110082618.18539524</v>
      </c>
      <c r="I46" s="125">
        <f ca="1">Starlink!I159+'Customer Launch'!I115+'AI - Compute'!I15</f>
        <v>152183790.19887418</v>
      </c>
      <c r="J46" s="125">
        <f ca="1">Starlink!J159+'Customer Launch'!J115+'AI - Compute'!J15</f>
        <v>194514653.67112786</v>
      </c>
      <c r="K46" s="125">
        <f ca="1">Starlink!K159+'Customer Launch'!K115+'AI - Compute'!K15</f>
        <v>213266037.22500673</v>
      </c>
      <c r="L46" s="125">
        <f ca="1">Starlink!L159+'Customer Launch'!L115+'AI - Compute'!L15</f>
        <v>155057817.55497295</v>
      </c>
      <c r="M46" s="125">
        <f ca="1">Starlink!M159+'Customer Launch'!M115+'AI - Compute'!M15</f>
        <v>248054484.89829105</v>
      </c>
      <c r="N46" s="125">
        <f ca="1">Starlink!N159+'Customer Launch'!N115+'AI - Compute'!N15</f>
        <v>325852145.58413297</v>
      </c>
      <c r="O46" s="125">
        <f ca="1">Starlink!O159+'Customer Launch'!O115+'AI - Compute'!O15</f>
        <v>432179127.31541646</v>
      </c>
      <c r="P46" s="125">
        <f ca="1">Starlink!P159+'Customer Launch'!P115+'AI - Compute'!P15</f>
        <v>347916571.9510017</v>
      </c>
      <c r="Q46" s="125">
        <f ca="1">Starlink!Q159+'Customer Launch'!Q115+'AI - Compute'!Q15</f>
        <v>304548723.69176698</v>
      </c>
      <c r="R46" s="125">
        <f ca="1">Starlink!R159+'Customer Launch'!R115+'AI - Compute'!R15</f>
        <v>173932893.31008494</v>
      </c>
      <c r="S46" s="125" t="e">
        <f ca="1">Starlink!S159+'Customer Launch'!S115+'AI - Compute'!S15</f>
        <v>#REF!</v>
      </c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:29">
      <c r="A47" s="5" t="s">
        <v>1280</v>
      </c>
      <c r="B47" s="3"/>
      <c r="C47" s="3"/>
      <c r="D47" s="123"/>
      <c r="E47" s="70">
        <f>'Lunar - Mars'!E114</f>
        <v>0</v>
      </c>
      <c r="F47" s="70">
        <f>'Lunar - Mars'!F114</f>
        <v>0</v>
      </c>
      <c r="G47" s="70">
        <f>'Lunar - Mars'!G114</f>
        <v>0</v>
      </c>
      <c r="H47" s="70">
        <f>'Lunar - Mars'!H114</f>
        <v>0</v>
      </c>
      <c r="I47" s="70">
        <f ca="1">'Lunar - Mars'!I114</f>
        <v>16073320.145381723</v>
      </c>
      <c r="J47" s="70">
        <f ca="1">'Lunar - Mars'!J114</f>
        <v>13120567.946905397</v>
      </c>
      <c r="K47" s="70">
        <f ca="1">'Lunar - Mars'!K114</f>
        <v>26176255.52508596</v>
      </c>
      <c r="L47" s="70">
        <f ca="1">'Lunar - Mars'!L114</f>
        <v>10282053.946787311</v>
      </c>
      <c r="M47" s="70">
        <f ca="1">'Lunar - Mars'!M114</f>
        <v>28612576.107738573</v>
      </c>
      <c r="N47" s="70">
        <f ca="1">'Lunar - Mars'!N114</f>
        <v>22314828.404471781</v>
      </c>
      <c r="O47" s="70">
        <f ca="1">'Lunar - Mars'!O114</f>
        <v>26013074.180570673</v>
      </c>
      <c r="P47" s="70">
        <f ca="1">'Lunar - Mars'!P114</f>
        <v>26046202.680250332</v>
      </c>
      <c r="Q47" s="70">
        <f ca="1">'Lunar - Mars'!Q114</f>
        <v>54455440.97032997</v>
      </c>
      <c r="R47" s="70">
        <f ca="1">'Lunar - Mars'!R114</f>
        <v>80061659.610804692</v>
      </c>
      <c r="S47" s="70">
        <f ca="1">'Lunar - Mars'!S114</f>
        <v>105793569.01029086</v>
      </c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:29">
      <c r="A48" s="5" t="s">
        <v>1281</v>
      </c>
      <c r="B48" s="3"/>
      <c r="C48" s="3"/>
      <c r="D48" s="123">
        <f>MIN(IF(INDEX(Assumptions!$B:$B,MATCH("Max Starship launch capacity (kg/yr ceiling): 0 = off",Assumptions!$A:$A,0))=0,1E+30,INDEX(Assumptions!$B:$B,MATCH("Max Starship launch capacity (kg/yr ceiling): 0 = off",Assumptions!$A:$A,0))),MAX(0,'Vehicle Build'!D68-D47))</f>
        <v>5107200</v>
      </c>
      <c r="E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Build'!E68-E47))</f>
        <v>5675245.7142857146</v>
      </c>
      <c r="F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Build'!F68-F47))</f>
        <v>8463944.0858080592</v>
      </c>
      <c r="G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Build'!G68-G47))</f>
        <v>20795565.623956859</v>
      </c>
      <c r="H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Build'!H68-H47))</f>
        <v>60080413.873316675</v>
      </c>
      <c r="I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Build'!I68-I47))</f>
        <v>141881778.4565585</v>
      </c>
      <c r="J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Build'!J68-J47))</f>
        <v>299339064.99425566</v>
      </c>
      <c r="K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Build'!K68-K47))</f>
        <v>501039669.21486217</v>
      </c>
      <c r="L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Build'!L68-L47))</f>
        <v>541263584.13560259</v>
      </c>
      <c r="M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Build'!M68-M47))</f>
        <v>506037714.13514364</v>
      </c>
      <c r="N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Build'!N68-N47))</f>
        <v>499605501.51605189</v>
      </c>
      <c r="O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Build'!O68-O47))</f>
        <v>463810513.37805653</v>
      </c>
      <c r="P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Build'!P68-P47))</f>
        <v>435555154.34310138</v>
      </c>
      <c r="Q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Build'!Q68-Q47))</f>
        <v>345429535.00257778</v>
      </c>
      <c r="R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Build'!R68-R47))</f>
        <v>260194396.58283812</v>
      </c>
      <c r="S48" s="123">
        <f ca="1">MIN(IF(INDEX(Assumptions!$B:$B,MATCH("Max Starship launch capacity (kg/yr ceiling): 0 = off",Assumptions!$A:$A,0))=0,1E+30,INDEX(Assumptions!$B:$B,MATCH("Max Starship launch capacity (kg/yr ceiling): 0 = off",Assumptions!$A:$A,0))),MAX(0,'Vehicle Build'!S68-S47))</f>
        <v>176181242.06540817</v>
      </c>
      <c r="T48" s="123">
        <f>MIN(IF(INDEX(Assumptions!$B:$B,MATCH("Max Starship launch capacity (kg/yr ceiling): 0 = off",Assumptions!$A:$A,0))=0,1E+30,INDEX(Assumptions!$B:$B,MATCH("Max Starship launch capacity (kg/yr ceiling): 0 = off",Assumptions!$A:$A,0))),MAX(0,'Vehicle Build'!T68-T47))</f>
        <v>0</v>
      </c>
      <c r="U48" s="123">
        <f>MIN(IF(INDEX(Assumptions!$B:$B,MATCH("Max Starship launch capacity (kg/yr ceiling): 0 = off",Assumptions!$A:$A,0))=0,1E+30,INDEX(Assumptions!$B:$B,MATCH("Max Starship launch capacity (kg/yr ceiling): 0 = off",Assumptions!$A:$A,0))),MAX(0,'Vehicle Build'!U68-U47))</f>
        <v>0</v>
      </c>
      <c r="V48" s="123">
        <f>MIN(IF(INDEX(Assumptions!$B:$B,MATCH("Max Starship launch capacity (kg/yr ceiling): 0 = off",Assumptions!$A:$A,0))=0,1E+30,INDEX(Assumptions!$B:$B,MATCH("Max Starship launch capacity (kg/yr ceiling): 0 = off",Assumptions!$A:$A,0))),MAX(0,'Vehicle Build'!V68-V47))</f>
        <v>0</v>
      </c>
      <c r="W48" s="123">
        <f>MIN(IF(INDEX(Assumptions!$B:$B,MATCH("Max Starship launch capacity (kg/yr ceiling): 0 = off",Assumptions!$A:$A,0))=0,1E+30,INDEX(Assumptions!$B:$B,MATCH("Max Starship launch capacity (kg/yr ceiling): 0 = off",Assumptions!$A:$A,0))),MAX(0,'Vehicle Build'!W68-W47))</f>
        <v>0</v>
      </c>
      <c r="X48" s="123">
        <f>MIN(IF(INDEX(Assumptions!$B:$B,MATCH("Max Starship launch capacity (kg/yr ceiling): 0 = off",Assumptions!$A:$A,0))=0,1E+30,INDEX(Assumptions!$B:$B,MATCH("Max Starship launch capacity (kg/yr ceiling): 0 = off",Assumptions!$A:$A,0))),MAX(0,'Vehicle Build'!X68-X47))</f>
        <v>0</v>
      </c>
      <c r="Y48" s="123">
        <f>MIN(IF(INDEX(Assumptions!$B:$B,MATCH("Max Starship launch capacity (kg/yr ceiling): 0 = off",Assumptions!$A:$A,0))=0,1E+30,INDEX(Assumptions!$B:$B,MATCH("Max Starship launch capacity (kg/yr ceiling): 0 = off",Assumptions!$A:$A,0))),MAX(0,'Vehicle Build'!Y68-Y47))</f>
        <v>0</v>
      </c>
      <c r="Z48" s="123">
        <f>MIN(IF(INDEX(Assumptions!$B:$B,MATCH("Max Starship launch capacity (kg/yr ceiling): 0 = off",Assumptions!$A:$A,0))=0,1E+30,INDEX(Assumptions!$B:$B,MATCH("Max Starship launch capacity (kg/yr ceiling): 0 = off",Assumptions!$A:$A,0))),MAX(0,'Vehicle Build'!Z68-Z47))</f>
        <v>0</v>
      </c>
      <c r="AA48" s="123">
        <f>MIN(IF(INDEX(Assumptions!$B:$B,MATCH("Max Starship launch capacity (kg/yr ceiling): 0 = off",Assumptions!$A:$A,0))=0,1E+30,INDEX(Assumptions!$B:$B,MATCH("Max Starship launch capacity (kg/yr ceiling): 0 = off",Assumptions!$A:$A,0))),MAX(0,'Vehicle Build'!AA68-AA47))</f>
        <v>0</v>
      </c>
      <c r="AB48" s="123">
        <f>MIN(IF(INDEX(Assumptions!$B:$B,MATCH("Max Starship launch capacity (kg/yr ceiling): 0 = off",Assumptions!$A:$A,0))=0,1E+30,INDEX(Assumptions!$B:$B,MATCH("Max Starship launch capacity (kg/yr ceiling): 0 = off",Assumptions!$A:$A,0))),MAX(0,'Vehicle Build'!AB68-AB47))</f>
        <v>0</v>
      </c>
      <c r="AC48" s="123">
        <f>MIN(IF(INDEX(Assumptions!$B:$B,MATCH("Max Starship launch capacity (kg/yr ceiling): 0 = off",Assumptions!$A:$A,0))=0,1E+30,INDEX(Assumptions!$B:$B,MATCH("Max Starship launch capacity (kg/yr ceiling): 0 = off",Assumptions!$A:$A,0))),MAX(0,'Vehicle Build'!AC68-AC47))</f>
        <v>0</v>
      </c>
    </row>
    <row r="49" spans="1:29">
      <c r="A49" s="5" t="s">
        <v>1282</v>
      </c>
      <c r="B49" s="3"/>
      <c r="C49" s="3"/>
      <c r="D49" s="35"/>
      <c r="E49" s="35">
        <f t="shared" ref="E49:S49" ca="1" si="10">IF(E46&gt;E48,1,0)</f>
        <v>1</v>
      </c>
      <c r="F49" s="35">
        <f t="shared" ca="1" si="10"/>
        <v>1</v>
      </c>
      <c r="G49" s="35">
        <f t="shared" ca="1" si="10"/>
        <v>1</v>
      </c>
      <c r="H49" s="35">
        <f t="shared" ca="1" si="10"/>
        <v>1</v>
      </c>
      <c r="I49" s="35">
        <f t="shared" ca="1" si="10"/>
        <v>1</v>
      </c>
      <c r="J49" s="35">
        <f t="shared" ca="1" si="10"/>
        <v>0</v>
      </c>
      <c r="K49" s="35">
        <f t="shared" ca="1" si="10"/>
        <v>0</v>
      </c>
      <c r="L49" s="35">
        <f t="shared" ca="1" si="10"/>
        <v>0</v>
      </c>
      <c r="M49" s="35">
        <f t="shared" ca="1" si="10"/>
        <v>0</v>
      </c>
      <c r="N49" s="35">
        <f t="shared" ca="1" si="10"/>
        <v>0</v>
      </c>
      <c r="O49" s="35">
        <f t="shared" ca="1" si="10"/>
        <v>0</v>
      </c>
      <c r="P49" s="35">
        <f t="shared" ca="1" si="10"/>
        <v>0</v>
      </c>
      <c r="Q49" s="35">
        <f t="shared" ca="1" si="10"/>
        <v>0</v>
      </c>
      <c r="R49" s="35">
        <f t="shared" ca="1" si="10"/>
        <v>0</v>
      </c>
      <c r="S49" s="35" t="e">
        <f t="shared" ca="1" si="10"/>
        <v>#REF!</v>
      </c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:29">
      <c r="A50" s="5" t="s">
        <v>1283</v>
      </c>
      <c r="B50" s="3"/>
      <c r="C50" s="3"/>
      <c r="D50" s="29">
        <f t="shared" ref="D50:AC50" ca="1" si="11">IFERROR(D99*MIN(1,D48/(D99+D101)),0)</f>
        <v>0</v>
      </c>
      <c r="E50" s="29">
        <f t="shared" ca="1" si="11"/>
        <v>0</v>
      </c>
      <c r="F50" s="29">
        <f t="shared" ca="1" si="11"/>
        <v>7837470.6009799857</v>
      </c>
      <c r="G50" s="29">
        <f t="shared" ca="1" si="11"/>
        <v>18994759.928346638</v>
      </c>
      <c r="H50" s="29">
        <f t="shared" ca="1" si="11"/>
        <v>54047008.388016149</v>
      </c>
      <c r="I50" s="29">
        <f t="shared" ca="1" si="11"/>
        <v>125339846.21428774</v>
      </c>
      <c r="J50" s="29">
        <f t="shared" ca="1" si="11"/>
        <v>264794635.49774557</v>
      </c>
      <c r="K50" s="29">
        <f t="shared" ca="1" si="11"/>
        <v>337506408.01019883</v>
      </c>
      <c r="L50" s="29">
        <f t="shared" ca="1" si="11"/>
        <v>312539997.23320109</v>
      </c>
      <c r="M50" s="29">
        <f t="shared" ca="1" si="11"/>
        <v>321636959.13073313</v>
      </c>
      <c r="N50" s="29">
        <f t="shared" ca="1" si="11"/>
        <v>324015868.47049451</v>
      </c>
      <c r="O50" s="29">
        <f t="shared" ca="1" si="11"/>
        <v>269206169.70485008</v>
      </c>
      <c r="P50" s="29">
        <f t="shared" ca="1" si="11"/>
        <v>179655886.19020361</v>
      </c>
      <c r="Q50" s="29">
        <f t="shared" ca="1" si="11"/>
        <v>108814101.67772532</v>
      </c>
      <c r="R50" s="29">
        <f t="shared" ca="1" si="11"/>
        <v>57891060.112696707</v>
      </c>
      <c r="S50" s="29">
        <f t="shared" ca="1" si="11"/>
        <v>67193987.675922021</v>
      </c>
      <c r="T50" s="29">
        <f t="shared" si="11"/>
        <v>0</v>
      </c>
      <c r="U50" s="29">
        <f t="shared" si="11"/>
        <v>0</v>
      </c>
      <c r="V50" s="29">
        <f t="shared" si="11"/>
        <v>0</v>
      </c>
      <c r="W50" s="29">
        <f t="shared" si="11"/>
        <v>0</v>
      </c>
      <c r="X50" s="29">
        <f t="shared" si="11"/>
        <v>0</v>
      </c>
      <c r="Y50" s="29">
        <f t="shared" si="11"/>
        <v>0</v>
      </c>
      <c r="Z50" s="29">
        <f t="shared" si="11"/>
        <v>0</v>
      </c>
      <c r="AA50" s="29">
        <f t="shared" si="11"/>
        <v>0</v>
      </c>
      <c r="AB50" s="29">
        <f t="shared" si="11"/>
        <v>0</v>
      </c>
      <c r="AC50" s="29">
        <f t="shared" si="11"/>
        <v>0</v>
      </c>
    </row>
    <row r="51" spans="1:29">
      <c r="A51" s="5" t="s">
        <v>1284</v>
      </c>
      <c r="B51" s="3"/>
      <c r="C51" s="3"/>
      <c r="D51" s="29">
        <f t="shared" ref="D51:AC51" ca="1" si="12">MAX(0,D48-D50-D52)</f>
        <v>0</v>
      </c>
      <c r="E51" s="29">
        <f t="shared" ca="1" si="12"/>
        <v>0</v>
      </c>
      <c r="F51" s="29">
        <f t="shared" ca="1" si="12"/>
        <v>1.280568540096283E-9</v>
      </c>
      <c r="G51" s="29">
        <f t="shared" ca="1" si="12"/>
        <v>0</v>
      </c>
      <c r="H51" s="29">
        <f t="shared" ca="1" si="12"/>
        <v>6.5192580223083496E-9</v>
      </c>
      <c r="I51" s="29">
        <f t="shared" ca="1" si="12"/>
        <v>1.4901161193847656E-8</v>
      </c>
      <c r="J51" s="29">
        <f t="shared" ca="1" si="12"/>
        <v>0</v>
      </c>
      <c r="K51" s="29">
        <f t="shared" ca="1" si="12"/>
        <v>131382024.94135226</v>
      </c>
      <c r="L51" s="29">
        <f t="shared" ca="1" si="12"/>
        <v>208947644.92065668</v>
      </c>
      <c r="M51" s="29">
        <f t="shared" ca="1" si="12"/>
        <v>156939271.22486457</v>
      </c>
      <c r="N51" s="29">
        <f t="shared" ca="1" si="12"/>
        <v>135137329.26604563</v>
      </c>
      <c r="O51" s="29">
        <f t="shared" ca="1" si="12"/>
        <v>133038590.81808072</v>
      </c>
      <c r="P51" s="29">
        <f t="shared" ca="1" si="12"/>
        <v>188280369.95038456</v>
      </c>
      <c r="Q51" s="29">
        <f t="shared" ca="1" si="12"/>
        <v>170758797.56799871</v>
      </c>
      <c r="R51" s="29">
        <f t="shared" ca="1" si="12"/>
        <v>116509673.31989273</v>
      </c>
      <c r="S51" s="29">
        <f t="shared" ca="1" si="12"/>
        <v>0</v>
      </c>
      <c r="T51" s="29">
        <f t="shared" si="12"/>
        <v>0</v>
      </c>
      <c r="U51" s="29">
        <f t="shared" si="12"/>
        <v>0</v>
      </c>
      <c r="V51" s="29">
        <f t="shared" si="12"/>
        <v>0</v>
      </c>
      <c r="W51" s="29">
        <f t="shared" si="12"/>
        <v>0</v>
      </c>
      <c r="X51" s="29">
        <f t="shared" si="12"/>
        <v>0</v>
      </c>
      <c r="Y51" s="29">
        <f t="shared" si="12"/>
        <v>0</v>
      </c>
      <c r="Z51" s="29">
        <f t="shared" si="12"/>
        <v>0</v>
      </c>
      <c r="AA51" s="29">
        <f t="shared" si="12"/>
        <v>0</v>
      </c>
      <c r="AB51" s="29">
        <f t="shared" si="12"/>
        <v>0</v>
      </c>
      <c r="AC51" s="29">
        <f t="shared" si="12"/>
        <v>0</v>
      </c>
    </row>
    <row r="52" spans="1:29">
      <c r="A52" s="5" t="s">
        <v>1285</v>
      </c>
      <c r="B52" s="3"/>
      <c r="C52" s="3"/>
      <c r="D52" s="29">
        <f t="shared" ref="D52:AC52" ca="1" si="13">IFERROR(D101*MIN(1,D48/(D99+D101)),0)</f>
        <v>5107200</v>
      </c>
      <c r="E52" s="29">
        <f t="shared" ca="1" si="13"/>
        <v>5675245.7142857146</v>
      </c>
      <c r="F52" s="29">
        <f t="shared" ca="1" si="13"/>
        <v>626473.48482807225</v>
      </c>
      <c r="G52" s="29">
        <f t="shared" ca="1" si="13"/>
        <v>1800805.6956102236</v>
      </c>
      <c r="H52" s="29">
        <f t="shared" ca="1" si="13"/>
        <v>6033405.4853005195</v>
      </c>
      <c r="I52" s="29">
        <f t="shared" ca="1" si="13"/>
        <v>16541932.242270738</v>
      </c>
      <c r="J52" s="29">
        <f t="shared" ca="1" si="13"/>
        <v>34544429.496510088</v>
      </c>
      <c r="K52" s="29">
        <f t="shared" ca="1" si="13"/>
        <v>32151236.263311077</v>
      </c>
      <c r="L52" s="29">
        <f t="shared" ca="1" si="13"/>
        <v>19775941.981744822</v>
      </c>
      <c r="M52" s="29">
        <f t="shared" ca="1" si="13"/>
        <v>27461483.779545944</v>
      </c>
      <c r="N52" s="29">
        <f t="shared" ca="1" si="13"/>
        <v>40452303.779511757</v>
      </c>
      <c r="O52" s="29">
        <f t="shared" ca="1" si="13"/>
        <v>61565752.855125733</v>
      </c>
      <c r="P52" s="29">
        <f t="shared" ca="1" si="13"/>
        <v>67618898.202513233</v>
      </c>
      <c r="Q52" s="29">
        <f t="shared" ca="1" si="13"/>
        <v>65856635.756853767</v>
      </c>
      <c r="R52" s="29">
        <f t="shared" ca="1" si="13"/>
        <v>85793663.150248677</v>
      </c>
      <c r="S52" s="29">
        <f t="shared" ca="1" si="13"/>
        <v>108987254.38948615</v>
      </c>
      <c r="T52" s="29">
        <f t="shared" si="13"/>
        <v>0</v>
      </c>
      <c r="U52" s="29">
        <f t="shared" si="13"/>
        <v>0</v>
      </c>
      <c r="V52" s="29">
        <f t="shared" si="13"/>
        <v>0</v>
      </c>
      <c r="W52" s="29">
        <f t="shared" si="13"/>
        <v>0</v>
      </c>
      <c r="X52" s="29">
        <f t="shared" si="13"/>
        <v>0</v>
      </c>
      <c r="Y52" s="29">
        <f t="shared" si="13"/>
        <v>0</v>
      </c>
      <c r="Z52" s="29">
        <f t="shared" si="13"/>
        <v>0</v>
      </c>
      <c r="AA52" s="29">
        <f t="shared" si="13"/>
        <v>0</v>
      </c>
      <c r="AB52" s="29">
        <f t="shared" si="13"/>
        <v>0</v>
      </c>
      <c r="AC52" s="29">
        <f t="shared" si="13"/>
        <v>0</v>
      </c>
    </row>
    <row r="53" spans="1:2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:29">
      <c r="A54" s="13" t="s">
        <v>1286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:29">
      <c r="A55" s="78" t="s">
        <v>1287</v>
      </c>
      <c r="B55" s="78"/>
      <c r="C55" s="78"/>
      <c r="D55" s="126"/>
      <c r="E55" s="125">
        <f ca="1">Starlink!E157+'Customer Launch'!E114+'Customer Launch'!E105+'AI - Compute'!E14+'Lunar - Mars'!E96-E20</f>
        <v>-15548.290093223237</v>
      </c>
      <c r="F55" s="125">
        <f ca="1">Starlink!F157+'Customer Launch'!F114+'Customer Launch'!F105+'AI - Compute'!F14+'Lunar - Mars'!F96-F20</f>
        <v>-4574.3026354662052</v>
      </c>
      <c r="G55" s="125">
        <f ca="1">Starlink!G157+'Customer Launch'!G114+'Customer Launch'!G105+'AI - Compute'!G14+'Lunar - Mars'!G96-G20</f>
        <v>25551.984444555623</v>
      </c>
      <c r="H55" s="125">
        <f ca="1">Starlink!H157+'Customer Launch'!H114+'Customer Launch'!H105+'AI - Compute'!H14+'Lunar - Mars'!H96-H20</f>
        <v>50161.073903186312</v>
      </c>
      <c r="I55" s="125">
        <f ca="1">Starlink!I157+'Customer Launch'!I114+'Customer Launch'!I105+'AI - Compute'!I14+'Lunar - Mars'!I96-I20</f>
        <v>39138.201149466404</v>
      </c>
      <c r="J55" s="125">
        <f ca="1">Starlink!J157+'Customer Launch'!J114+'Customer Launch'!J105+'AI - Compute'!J14+'Lunar - Mars'!J96-J20</f>
        <v>66687.127171052329</v>
      </c>
      <c r="K55" s="125">
        <f ca="1">Starlink!K157+'Customer Launch'!K114+'Customer Launch'!K105+'AI - Compute'!K14+'Lunar - Mars'!K96-K20</f>
        <v>61121.098461457907</v>
      </c>
      <c r="L55" s="125">
        <f ca="1">Starlink!L157+'Customer Launch'!L114+'Customer Launch'!L105+'AI - Compute'!L14+'Lunar - Mars'!L96-L20</f>
        <v>164166.10467975787</v>
      </c>
      <c r="M55" s="125">
        <f ca="1">Starlink!M157+'Customer Launch'!M114+'Customer Launch'!M105+'AI - Compute'!M14+'Lunar - Mars'!M96-M20</f>
        <v>128830.7750042486</v>
      </c>
      <c r="N55" s="125">
        <f ca="1">Starlink!N157+'Customer Launch'!N114+'Customer Launch'!N105+'AI - Compute'!N14+'Lunar - Mars'!N96-N20</f>
        <v>138808.5246273407</v>
      </c>
      <c r="O55" s="125">
        <f ca="1">Starlink!O157+'Customer Launch'!O114+'Customer Launch'!O105+'AI - Compute'!O14+'Lunar - Mars'!O96-O20</f>
        <v>119991.59346379671</v>
      </c>
      <c r="P55" s="125">
        <f ca="1">Starlink!P157+'Customer Launch'!P114+'Customer Launch'!P105+'AI - Compute'!P14+'Lunar - Mars'!P96-P20</f>
        <v>212976.93986523373</v>
      </c>
      <c r="Q55" s="125">
        <f ca="1">Starlink!Q157+'Customer Launch'!Q114+'Customer Launch'!Q105+'AI - Compute'!Q14+'Lunar - Mars'!Q96-Q20</f>
        <v>296006.94949895178</v>
      </c>
      <c r="R55" s="125">
        <f ca="1">Starlink!R157+'Customer Launch'!R114+'Customer Launch'!R105+'AI - Compute'!R14+'Lunar - Mars'!R96-R20</f>
        <v>363855.20021742373</v>
      </c>
      <c r="S55" s="125">
        <f ca="1">Starlink!S157+'Customer Launch'!S114+'Customer Launch'!S105+'AI - Compute'!S14+'Lunar - Mars'!S96-S20</f>
        <v>428818.88184189994</v>
      </c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>
      <c r="A56" s="5" t="s">
        <v>1288</v>
      </c>
      <c r="B56" s="3"/>
      <c r="C56" s="3"/>
      <c r="D56" s="18">
        <v>24700</v>
      </c>
      <c r="E56" s="29">
        <f t="shared" ref="E56:S56" ca="1" si="14">E8+E9+E10+E55+E105-E106-E107+E134-E135-E136</f>
        <v>9151.7099067767631</v>
      </c>
      <c r="F56" s="29">
        <f t="shared" ca="1" si="14"/>
        <v>79577.407271310556</v>
      </c>
      <c r="G56" s="29">
        <f t="shared" ca="1" si="14"/>
        <v>105129.39171586618</v>
      </c>
      <c r="H56" s="29">
        <f t="shared" ca="1" si="14"/>
        <v>162774.87968209494</v>
      </c>
      <c r="I56" s="29">
        <f t="shared" ca="1" si="14"/>
        <v>215972.83934828948</v>
      </c>
      <c r="J56" s="29">
        <f t="shared" ca="1" si="14"/>
        <v>292362.32990732184</v>
      </c>
      <c r="K56" s="29">
        <f t="shared" ca="1" si="14"/>
        <v>351990.72645500209</v>
      </c>
      <c r="L56" s="29">
        <f t="shared" ca="1" si="14"/>
        <v>524141.25907690002</v>
      </c>
      <c r="M56" s="29">
        <f t="shared" ca="1" si="14"/>
        <v>622334.44708153419</v>
      </c>
      <c r="N56" s="29">
        <f t="shared" ca="1" si="14"/>
        <v>747173.13121816807</v>
      </c>
      <c r="O56" s="29">
        <f t="shared" ca="1" si="14"/>
        <v>867164.72468196484</v>
      </c>
      <c r="P56" s="29">
        <f t="shared" ca="1" si="14"/>
        <v>1080141.6645471985</v>
      </c>
      <c r="Q56" s="29">
        <f t="shared" ca="1" si="14"/>
        <v>1376148.6140461504</v>
      </c>
      <c r="R56" s="29">
        <f t="shared" ca="1" si="14"/>
        <v>1740003.8142635741</v>
      </c>
      <c r="S56" s="29">
        <f t="shared" ca="1" si="14"/>
        <v>2168822.6961054741</v>
      </c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:29">
      <c r="A57" s="5" t="s">
        <v>1289</v>
      </c>
      <c r="B57" s="3"/>
      <c r="C57" s="3"/>
      <c r="D57" s="70">
        <f>D56+D9+D10+D55</f>
        <v>24700</v>
      </c>
      <c r="E57" s="29">
        <f t="shared" ref="E57:S57" ca="1" si="15">D57+E9+E10+E55+E105-E107-E106</f>
        <v>9151.7099067767631</v>
      </c>
      <c r="F57" s="29">
        <f t="shared" ca="1" si="15"/>
        <v>79577.407271310556</v>
      </c>
      <c r="G57" s="29">
        <f t="shared" ca="1" si="15"/>
        <v>105129.39171586618</v>
      </c>
      <c r="H57" s="29">
        <f t="shared" ca="1" si="15"/>
        <v>155290.4656190525</v>
      </c>
      <c r="I57" s="29">
        <f t="shared" ca="1" si="15"/>
        <v>194428.66676851892</v>
      </c>
      <c r="J57" s="29">
        <f t="shared" ca="1" si="15"/>
        <v>261115.79393957125</v>
      </c>
      <c r="K57" s="29">
        <f t="shared" ca="1" si="15"/>
        <v>322236.89240102912</v>
      </c>
      <c r="L57" s="29">
        <f t="shared" ca="1" si="15"/>
        <v>486402.99708078697</v>
      </c>
      <c r="M57" s="29">
        <f t="shared" ca="1" si="15"/>
        <v>615233.77208503557</v>
      </c>
      <c r="N57" s="29">
        <f t="shared" ca="1" si="15"/>
        <v>754042.29671237629</v>
      </c>
      <c r="O57" s="29">
        <f t="shared" ca="1" si="15"/>
        <v>874033.89017617307</v>
      </c>
      <c r="P57" s="29">
        <f t="shared" ca="1" si="15"/>
        <v>1087010.8300414067</v>
      </c>
      <c r="Q57" s="29">
        <f t="shared" ca="1" si="15"/>
        <v>1383017.7795403586</v>
      </c>
      <c r="R57" s="29">
        <f t="shared" ca="1" si="15"/>
        <v>1746872.9797577823</v>
      </c>
      <c r="S57" s="29">
        <f t="shared" ca="1" si="15"/>
        <v>2175691.8615996824</v>
      </c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:2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:29">
      <c r="A59" s="13" t="s">
        <v>1290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:29">
      <c r="A60" s="5" t="s">
        <v>1291</v>
      </c>
      <c r="B60" s="3"/>
      <c r="C60" s="3"/>
      <c r="D60" s="70">
        <f>D24-'Lunar - Mars'!D30</f>
        <v>0</v>
      </c>
      <c r="E60" s="70">
        <f>E24-'Lunar - Mars'!E30</f>
        <v>0</v>
      </c>
      <c r="F60" s="70">
        <f>F24-'Lunar - Mars'!F30</f>
        <v>0</v>
      </c>
      <c r="G60" s="70">
        <f>G24-'Lunar - Mars'!G30</f>
        <v>0</v>
      </c>
      <c r="H60" s="70">
        <f>H24-'Lunar - Mars'!H30</f>
        <v>0</v>
      </c>
      <c r="I60" s="70">
        <f ca="1">I24-'Lunar - Mars'!I30</f>
        <v>0</v>
      </c>
      <c r="J60" s="70">
        <f ca="1">J24-'Lunar - Mars'!J30</f>
        <v>0</v>
      </c>
      <c r="K60" s="70">
        <f ca="1">K24-'Lunar - Mars'!K30</f>
        <v>0</v>
      </c>
      <c r="L60" s="70">
        <f ca="1">L24-'Lunar - Mars'!L30</f>
        <v>0</v>
      </c>
      <c r="M60" s="70">
        <f ca="1">M24-'Lunar - Mars'!M30</f>
        <v>0</v>
      </c>
      <c r="N60" s="70">
        <f ca="1">N24-'Lunar - Mars'!N30</f>
        <v>0</v>
      </c>
      <c r="O60" s="70">
        <f ca="1">O24-'Lunar - Mars'!O30</f>
        <v>0</v>
      </c>
      <c r="P60" s="70">
        <f ca="1">P24-'Lunar - Mars'!P30</f>
        <v>0</v>
      </c>
      <c r="Q60" s="70">
        <f ca="1">Q24-'Lunar - Mars'!Q30</f>
        <v>0</v>
      </c>
      <c r="R60" s="70">
        <f ca="1">R24-'Lunar - Mars'!R30</f>
        <v>0</v>
      </c>
      <c r="S60" s="70">
        <f ca="1">S24-'Lunar - Mars'!S30</f>
        <v>0</v>
      </c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:29">
      <c r="A61" s="5" t="s">
        <v>1292</v>
      </c>
      <c r="B61" s="3"/>
      <c r="C61" s="3"/>
      <c r="D61" s="70">
        <f ca="1">'Vehicle Build'!D30</f>
        <v>0</v>
      </c>
      <c r="E61" s="70">
        <f ca="1">'Vehicle Build'!E30</f>
        <v>487.76808362611092</v>
      </c>
      <c r="F61" s="70">
        <f ca="1">'Vehicle Build'!F30</f>
        <v>0</v>
      </c>
      <c r="G61" s="70">
        <f ca="1">'Vehicle Build'!G30</f>
        <v>0</v>
      </c>
      <c r="H61" s="70">
        <f ca="1">'Vehicle Build'!H30</f>
        <v>0</v>
      </c>
      <c r="I61" s="70">
        <f ca="1">'Vehicle Build'!I30</f>
        <v>367.43921069007502</v>
      </c>
      <c r="J61" s="70">
        <f ca="1">'Vehicle Build'!J30</f>
        <v>328.86220326439707</v>
      </c>
      <c r="K61" s="70">
        <f ca="1">'Vehicle Build'!K30</f>
        <v>167.85498723759974</v>
      </c>
      <c r="L61" s="70">
        <f ca="1">'Vehicle Build'!L30</f>
        <v>70.092042950035079</v>
      </c>
      <c r="M61" s="70">
        <f ca="1">'Vehicle Build'!M30</f>
        <v>86.722721722420374</v>
      </c>
      <c r="N61" s="70">
        <f ca="1">'Vehicle Build'!N30</f>
        <v>57.109084848414</v>
      </c>
      <c r="O61" s="70">
        <f ca="1">'Vehicle Build'!O30</f>
        <v>60.379212986033508</v>
      </c>
      <c r="P61" s="70">
        <f ca="1">'Vehicle Build'!P30</f>
        <v>19.825817997295218</v>
      </c>
      <c r="Q61" s="70">
        <f ca="1">'Vehicle Build'!Q30</f>
        <v>68.45318161358432</v>
      </c>
      <c r="R61" s="70">
        <f ca="1">'Vehicle Build'!R30</f>
        <v>177.90591038208663</v>
      </c>
      <c r="S61" s="70">
        <f ca="1">'Vehicle Build'!S30</f>
        <v>585.93106232366404</v>
      </c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spans="1:2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spans="1:29">
      <c r="A63" s="13" t="s">
        <v>1293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spans="1:29">
      <c r="A64" s="5" t="s">
        <v>1294</v>
      </c>
      <c r="B64" s="3"/>
      <c r="C64" s="3"/>
      <c r="D64" s="77">
        <f>Starlink!D38*Starlink!D37</f>
        <v>424295.95519999997</v>
      </c>
      <c r="E64" s="77">
        <f>Starlink!E38*Starlink!E37</f>
        <v>424295.95519999997</v>
      </c>
      <c r="F64" s="3">
        <f ca="1">Starlink!F38*Starlink!F37</f>
        <v>416271.84350753826</v>
      </c>
      <c r="G64" s="3">
        <f ca="1">Starlink!G38*Starlink!G37</f>
        <v>389972.71782240528</v>
      </c>
      <c r="H64" s="3">
        <f ca="1">Starlink!H38*Starlink!H37</f>
        <v>349669.92523695005</v>
      </c>
      <c r="I64" s="3">
        <f ca="1">Starlink!I38*Starlink!I37</f>
        <v>289377.01602731791</v>
      </c>
      <c r="J64" s="3">
        <f ca="1">Starlink!J38*Starlink!J37</f>
        <v>252082.07356785837</v>
      </c>
      <c r="K64" s="3">
        <f ca="1">Starlink!K38*Starlink!K37</f>
        <v>203981.41422109093</v>
      </c>
      <c r="L64" s="3">
        <f ca="1">Starlink!L38*Starlink!L37</f>
        <v>181543.10896361212</v>
      </c>
      <c r="M64" s="3">
        <f ca="1">Starlink!M38*Starlink!M37</f>
        <v>182914.82957794549</v>
      </c>
      <c r="N64" s="3">
        <f ca="1">Starlink!N38*Starlink!N37</f>
        <v>178669.3463223064</v>
      </c>
      <c r="O64" s="3">
        <f ca="1">Starlink!O38*Starlink!O37</f>
        <v>144858.07676749706</v>
      </c>
      <c r="P64" s="3">
        <f ca="1">Starlink!P38*Starlink!P37</f>
        <v>94295.25148659767</v>
      </c>
      <c r="Q64" s="3">
        <f ca="1">Starlink!Q38*Starlink!Q37</f>
        <v>55818.529649959048</v>
      </c>
      <c r="R64" s="3">
        <f ca="1">Starlink!R38*Starlink!R37</f>
        <v>29241.513342096157</v>
      </c>
      <c r="S64" s="3">
        <f ca="1">Starlink!S38*Starlink!S37</f>
        <v>35740.835833827136</v>
      </c>
      <c r="T64" s="3">
        <f>Starlink!T38*Starlink!T37</f>
        <v>0</v>
      </c>
      <c r="U64" s="3">
        <f>Starlink!U38*Starlink!U37</f>
        <v>0</v>
      </c>
      <c r="V64" s="3">
        <f>Starlink!V38*Starlink!V37</f>
        <v>0</v>
      </c>
      <c r="W64" s="3">
        <f>Starlink!W38*Starlink!W37</f>
        <v>0</v>
      </c>
      <c r="X64" s="3">
        <f>Starlink!X38*Starlink!X37</f>
        <v>0</v>
      </c>
      <c r="Y64" s="3">
        <f>Starlink!Y38*Starlink!Y37</f>
        <v>0</v>
      </c>
      <c r="Z64" s="3">
        <f>Starlink!Z38*Starlink!Z37</f>
        <v>0</v>
      </c>
      <c r="AA64" s="3">
        <f>Starlink!AA38*Starlink!AA37</f>
        <v>0</v>
      </c>
      <c r="AB64" s="3">
        <f>Starlink!AB38*Starlink!AB37</f>
        <v>0</v>
      </c>
      <c r="AC64" s="3">
        <f>Starlink!AC38*Starlink!AC37</f>
        <v>0</v>
      </c>
    </row>
    <row r="65" spans="1:29">
      <c r="A65" s="5" t="s">
        <v>1295</v>
      </c>
      <c r="B65" s="3"/>
      <c r="C65" s="3"/>
      <c r="D65" s="70">
        <f>'Customer Launch'!D113</f>
        <v>3832</v>
      </c>
      <c r="E65" s="70">
        <f ca="1">'Customer Launch'!E113</f>
        <v>900.78459459459452</v>
      </c>
      <c r="F65" s="130">
        <f ca="1">'Customer Launch'!F113</f>
        <v>705.62165998167836</v>
      </c>
      <c r="G65" s="130">
        <f ca="1">'Customer Launch'!G113</f>
        <v>663.32847657385526</v>
      </c>
      <c r="H65" s="130">
        <f ca="1">'Customer Launch'!H113</f>
        <v>1258.8941454686951</v>
      </c>
      <c r="I65" s="130">
        <f ca="1">'Customer Launch'!I113</f>
        <v>1231.1697007792723</v>
      </c>
      <c r="J65" s="130">
        <f ca="1">'Customer Launch'!J113</f>
        <v>570.36499943713488</v>
      </c>
      <c r="K65" s="130">
        <f ca="1">'Customer Launch'!K113</f>
        <v>2121.2190978006115</v>
      </c>
      <c r="L65" s="130">
        <f ca="1">'Customer Launch'!L113</f>
        <v>862.06716064212981</v>
      </c>
      <c r="M65" s="130">
        <f ca="1">'Customer Launch'!M113</f>
        <v>1001.9146449172931</v>
      </c>
      <c r="N65" s="130">
        <f ca="1">'Customer Launch'!N113</f>
        <v>1182.0845901509697</v>
      </c>
      <c r="O65" s="130">
        <f ca="1">'Customer Launch'!O113</f>
        <v>1977.4794976222788</v>
      </c>
      <c r="P65" s="130">
        <f ca="1">'Customer Launch'!P113</f>
        <v>444.50037934505934</v>
      </c>
      <c r="Q65" s="130">
        <f ca="1">'Customer Launch'!Q113</f>
        <v>501.0013016058403</v>
      </c>
      <c r="R65" s="130">
        <f ca="1">'Customer Launch'!R113</f>
        <v>616.9316660058347</v>
      </c>
      <c r="S65" s="130">
        <f ca="1">'Customer Launch'!S113</f>
        <v>-19.772840194073638</v>
      </c>
      <c r="T65" s="3" t="e">
        <f>'Customer Launch'!#REF!</f>
        <v>#REF!</v>
      </c>
      <c r="U65" s="3" t="e">
        <f>'Customer Launch'!#REF!</f>
        <v>#REF!</v>
      </c>
      <c r="V65" s="3" t="e">
        <f>'Customer Launch'!#REF!</f>
        <v>#REF!</v>
      </c>
      <c r="W65" s="3" t="e">
        <f>'Customer Launch'!#REF!</f>
        <v>#REF!</v>
      </c>
      <c r="X65" s="3" t="e">
        <f>'Customer Launch'!#REF!</f>
        <v>#REF!</v>
      </c>
      <c r="Y65" s="3" t="e">
        <f>'Customer Launch'!#REF!</f>
        <v>#REF!</v>
      </c>
      <c r="Z65" s="3" t="e">
        <f>'Customer Launch'!#REF!</f>
        <v>#REF!</v>
      </c>
      <c r="AA65" s="3" t="e">
        <f>'Customer Launch'!#REF!</f>
        <v>#REF!</v>
      </c>
      <c r="AB65" s="3" t="e">
        <f>'Customer Launch'!#REF!</f>
        <v>#REF!</v>
      </c>
      <c r="AC65" s="3" t="e">
        <f>'Customer Launch'!#REF!</f>
        <v>#REF!</v>
      </c>
    </row>
    <row r="66" spans="1:29">
      <c r="A66" s="5" t="s">
        <v>1296</v>
      </c>
      <c r="B66" s="3"/>
      <c r="C66" s="3"/>
      <c r="D66" s="70">
        <f ca="1">'AI - Compute'!D197</f>
        <v>105195.1550433404</v>
      </c>
      <c r="E66" s="70">
        <f ca="1">'AI - Compute'!E197</f>
        <v>126614.88146798909</v>
      </c>
      <c r="F66" s="70">
        <f ca="1">'AI - Compute'!F197</f>
        <v>141762.01138300617</v>
      </c>
      <c r="G66" s="70">
        <f ca="1">'AI - Compute'!G197</f>
        <v>156993.55946301727</v>
      </c>
      <c r="H66" s="70">
        <f ca="1">'AI - Compute'!H197</f>
        <v>182357.17298876296</v>
      </c>
      <c r="I66" s="70">
        <f ca="1">'AI - Compute'!I197</f>
        <v>197900.31442926335</v>
      </c>
      <c r="J66" s="70">
        <f ca="1">'AI - Compute'!J197</f>
        <v>180016.15624723939</v>
      </c>
      <c r="K66" s="70">
        <f ca="1">'AI - Compute'!K197</f>
        <v>106575.87630019302</v>
      </c>
      <c r="L66" s="70">
        <f ca="1">'AI - Compute'!L197</f>
        <v>36531.388542873487</v>
      </c>
      <c r="M66" s="70">
        <f ca="1">'AI - Compute'!M197</f>
        <v>58853.301120796394</v>
      </c>
      <c r="N66" s="70">
        <f ca="1">'AI - Compute'!N197</f>
        <v>91011.896980979713</v>
      </c>
      <c r="O66" s="70">
        <f ca="1">'AI - Compute'!O197</f>
        <v>141095.95640653797</v>
      </c>
      <c r="P66" s="70">
        <f ca="1">'AI - Compute'!P197</f>
        <v>160668.93322578201</v>
      </c>
      <c r="Q66" s="70">
        <f ca="1">'AI - Compute'!Q197</f>
        <v>155909.54435227823</v>
      </c>
      <c r="R66" s="70">
        <f ca="1">'AI - Compute'!R197</f>
        <v>208822.03146653221</v>
      </c>
      <c r="S66" s="70">
        <f ca="1">'AI - Compute'!S197</f>
        <v>285783.41128233407</v>
      </c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spans="1:29">
      <c r="A67" s="5" t="s">
        <v>1297</v>
      </c>
      <c r="B67" s="3"/>
      <c r="C67" s="3"/>
      <c r="D67" s="131">
        <f>D28-0.000000001</f>
        <v>-1.0000000000000001E-9</v>
      </c>
      <c r="E67" s="131">
        <f>E28-0.000000001</f>
        <v>0.46924224307146689</v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spans="1:29">
      <c r="A68" s="5" t="s">
        <v>1298</v>
      </c>
      <c r="B68" s="3"/>
      <c r="C68" s="3"/>
      <c r="D68" s="131">
        <f>D29-0.000000002</f>
        <v>-2.0000000000000001E-9</v>
      </c>
      <c r="E68" s="131">
        <f ca="1">E29-0.000000002</f>
        <v>-2.0000000000000001E-9</v>
      </c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spans="1:29">
      <c r="A69" s="5" t="s">
        <v>1299</v>
      </c>
      <c r="B69" s="3"/>
      <c r="C69" s="3"/>
      <c r="D69" s="131">
        <f>D30-0.000000003</f>
        <v>-3E-9</v>
      </c>
      <c r="E69" s="131">
        <f ca="1">E30-0.000000003</f>
        <v>-3E-9</v>
      </c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spans="1:29">
      <c r="A70" s="5" t="s">
        <v>1300</v>
      </c>
      <c r="B70" s="3"/>
      <c r="C70" s="3"/>
      <c r="D70" s="23">
        <f>IF(D68&gt;D67,D65,0)+IF(D69&gt;D67,D66,0)</f>
        <v>0</v>
      </c>
      <c r="E70" s="23">
        <f ca="1">IF(E68&gt;E67,E65,0)+IF(E69&gt;E67,E66,0)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spans="1:29">
      <c r="A71" s="5" t="s">
        <v>1301</v>
      </c>
      <c r="B71" s="3"/>
      <c r="C71" s="3"/>
      <c r="D71" s="23">
        <f>IF(D67&gt;D68,D64,0)+IF(D69&gt;D68,D66,0)</f>
        <v>424295.95519999997</v>
      </c>
      <c r="E71" s="23">
        <f ca="1">IF(E67&gt;E68,E64,0)+IF(E69&gt;E68,E66,0)</f>
        <v>424295.95519999997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spans="1:29">
      <c r="A72" s="5" t="s">
        <v>1302</v>
      </c>
      <c r="B72" s="3"/>
      <c r="C72" s="3"/>
      <c r="D72" s="23">
        <f>IF(D67&gt;D69,D64,0)+IF(D68&gt;D69,D65,0)</f>
        <v>428127.95519999997</v>
      </c>
      <c r="E72" s="23">
        <f ca="1">IF(E67&gt;E69,E64,0)+IF(E68&gt;E69,E65,0)</f>
        <v>425196.73979459458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spans="1:29">
      <c r="A73" s="3"/>
      <c r="B73" s="3"/>
      <c r="C73" s="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spans="1:29">
      <c r="A74" s="5" t="s">
        <v>1303</v>
      </c>
      <c r="B74" s="3"/>
      <c r="C74" s="3"/>
      <c r="D74" s="70">
        <f t="array" ref="D74">IF(D$4&gt;=2026, INDEX(Assumptions!$B:$B, MATCH("Placeholder AI/strategic CapEx (% of Group revenue): TEMP", Assumptions!$A$1:$A$257, 0)) * INDEX($D:$AC, MATCH("Memo: Group revenue (claims base) ($mm)",$A$1:$A$91,0), D$5+1), 0)</f>
        <v>0</v>
      </c>
      <c r="E74" s="70">
        <f t="array" aca="1" ref="E74" ca="1">IF(E$4&gt;=2026, INDEX(Assumptions!$B:$B, MATCH("Placeholder AI/strategic CapEx (% of Group revenue): TEMP", Assumptions!$A$1:$A$257, 0)) * INDEX($D:$AC, MATCH("Memo: Group revenue (claims base) ($mm)",$A$1:$A$91,0), E$5+1), 0)</f>
        <v>0</v>
      </c>
      <c r="F74" s="70">
        <f t="array" aca="1" ref="F74" ca="1">IF(F$4&gt;=2026, INDEX(Assumptions!$B:$B, MATCH("Placeholder AI/strategic CapEx (% of Group revenue): TEMP", Assumptions!$A$1:$A$257, 0)) * INDEX($D:$AC, MATCH("Memo: Group revenue (claims base) ($mm)",$A$1:$A$91,0), F$5+1), 0)</f>
        <v>0</v>
      </c>
      <c r="G74" s="70">
        <f t="array" aca="1" ref="G74" ca="1">IF(G$4&gt;=2026, INDEX(Assumptions!$B:$B, MATCH("Placeholder AI/strategic CapEx (% of Group revenue): TEMP", Assumptions!$A$1:$A$257, 0)) * INDEX($D:$AC, MATCH("Memo: Group revenue (claims base) ($mm)",$A$1:$A$91,0), G$5+1), 0)</f>
        <v>0</v>
      </c>
      <c r="H74" s="70">
        <f t="array" aca="1" ref="H74" ca="1">IF(H$4&gt;=2026, INDEX(Assumptions!$B:$B, MATCH("Placeholder AI/strategic CapEx (% of Group revenue): TEMP", Assumptions!$A$1:$A$257, 0)) * INDEX($D:$AC, MATCH("Memo: Group revenue (claims base) ($mm)",$A$1:$A$91,0), H$5+1), 0)</f>
        <v>0</v>
      </c>
      <c r="I74" s="70">
        <f t="array" aca="1" ref="I74" ca="1">IF(I$4&gt;=2026, INDEX(Assumptions!$B:$B, MATCH("Placeholder AI/strategic CapEx (% of Group revenue): TEMP", Assumptions!$A$1:$A$257, 0)) * INDEX($D:$AC, MATCH("Memo: Group revenue (claims base) ($mm)",$A$1:$A$91,0), I$5+1), 0)</f>
        <v>0</v>
      </c>
      <c r="J74" s="70">
        <f t="array" aca="1" ref="J74" ca="1">IF(J$4&gt;=2026, INDEX(Assumptions!$B:$B, MATCH("Placeholder AI/strategic CapEx (% of Group revenue): TEMP", Assumptions!$A$1:$A$257, 0)) * INDEX($D:$AC, MATCH("Memo: Group revenue (claims base) ($mm)",$A$1:$A$91,0), J$5+1), 0)</f>
        <v>0</v>
      </c>
      <c r="K74" s="70">
        <f t="array" aca="1" ref="K74" ca="1">IF(K$4&gt;=2026, INDEX(Assumptions!$B:$B, MATCH("Placeholder AI/strategic CapEx (% of Group revenue): TEMP", Assumptions!$A$1:$A$257, 0)) * INDEX($D:$AC, MATCH("Memo: Group revenue (claims base) ($mm)",$A$1:$A$91,0), K$5+1), 0)</f>
        <v>0</v>
      </c>
      <c r="L74" s="70">
        <f t="array" aca="1" ref="L74" ca="1">IF(L$4&gt;=2026, INDEX(Assumptions!$B:$B, MATCH("Placeholder AI/strategic CapEx (% of Group revenue): TEMP", Assumptions!$A$1:$A$257, 0)) * INDEX($D:$AC, MATCH("Memo: Group revenue (claims base) ($mm)",$A$1:$A$91,0), L$5+1), 0)</f>
        <v>0</v>
      </c>
      <c r="M74" s="70">
        <f t="array" aca="1" ref="M74" ca="1">IF(M$4&gt;=2026, INDEX(Assumptions!$B:$B, MATCH("Placeholder AI/strategic CapEx (% of Group revenue): TEMP", Assumptions!$A$1:$A$257, 0)) * INDEX($D:$AC, MATCH("Memo: Group revenue (claims base) ($mm)",$A$1:$A$91,0), M$5+1), 0)</f>
        <v>0</v>
      </c>
      <c r="N74" s="70">
        <f t="array" aca="1" ref="N74" ca="1">IF(N$4&gt;=2026, INDEX(Assumptions!$B:$B, MATCH("Placeholder AI/strategic CapEx (% of Group revenue): TEMP", Assumptions!$A$1:$A$257, 0)) * INDEX($D:$AC, MATCH("Memo: Group revenue (claims base) ($mm)",$A$1:$A$91,0), N$5+1), 0)</f>
        <v>0</v>
      </c>
      <c r="O74" s="70">
        <f t="array" aca="1" ref="O74" ca="1">IF(O$4&gt;=2026, INDEX(Assumptions!$B:$B, MATCH("Placeholder AI/strategic CapEx (% of Group revenue): TEMP", Assumptions!$A$1:$A$257, 0)) * INDEX($D:$AC, MATCH("Memo: Group revenue (claims base) ($mm)",$A$1:$A$91,0), O$5+1), 0)</f>
        <v>0</v>
      </c>
      <c r="P74" s="70">
        <f t="array" aca="1" ref="P74" ca="1">IF(P$4&gt;=2026, INDEX(Assumptions!$B:$B, MATCH("Placeholder AI/strategic CapEx (% of Group revenue): TEMP", Assumptions!$A$1:$A$257, 0)) * INDEX($D:$AC, MATCH("Memo: Group revenue (claims base) ($mm)",$A$1:$A$91,0), P$5+1), 0)</f>
        <v>0</v>
      </c>
      <c r="Q74" s="70">
        <f t="array" aca="1" ref="Q74" ca="1">IF(Q$4&gt;=2026, INDEX(Assumptions!$B:$B, MATCH("Placeholder AI/strategic CapEx (% of Group revenue): TEMP", Assumptions!$A$1:$A$257, 0)) * INDEX($D:$AC, MATCH("Memo: Group revenue (claims base) ($mm)",$A$1:$A$91,0), Q$5+1), 0)</f>
        <v>0</v>
      </c>
      <c r="R74" s="70">
        <f t="array" aca="1" ref="R74" ca="1">IF(R$4&gt;=2026, INDEX(Assumptions!$B:$B, MATCH("Placeholder AI/strategic CapEx (% of Group revenue): TEMP", Assumptions!$A$1:$A$257, 0)) * INDEX($D:$AC, MATCH("Memo: Group revenue (claims base) ($mm)",$A$1:$A$91,0), R$5+1), 0)</f>
        <v>0</v>
      </c>
      <c r="S74" s="70">
        <f t="array" aca="1" ref="S74" ca="1">IF(S$4&gt;=2026, INDEX(Assumptions!$B:$B, MATCH("Placeholder AI/strategic CapEx (% of Group revenue): TEMP", Assumptions!$A$1:$A$257, 0)) * INDEX($D:$AC, MATCH("Memo: Group revenue (claims base) ($mm)",$A$1:$A$91,0), S$5+1), 0)</f>
        <v>0</v>
      </c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spans="1:2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spans="1:29">
      <c r="A76" s="13" t="s">
        <v>1304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spans="1:29">
      <c r="A77" s="5" t="s">
        <v>1305</v>
      </c>
      <c r="B77" s="3"/>
      <c r="C77" s="3"/>
      <c r="D77" s="3"/>
      <c r="E77" s="110">
        <f ca="1">IFERROR('AI - Compute'!D80,0)</f>
        <v>-2.1437508775871059E-2</v>
      </c>
      <c r="F77" s="110">
        <f ca="1">IFERROR('AI - Compute'!E80,0)</f>
        <v>8.9772312234035215E-2</v>
      </c>
      <c r="G77" s="110">
        <f ca="1">IFERROR('AI - Compute'!F80,0)</f>
        <v>0.24081057363528899</v>
      </c>
      <c r="H77" s="110">
        <f ca="1">IFERROR('AI - Compute'!G80,0)</f>
        <v>0.16054276146214208</v>
      </c>
      <c r="I77" s="110">
        <f ca="1">IFERROR('AI - Compute'!H80,0)</f>
        <v>0.34898996946284339</v>
      </c>
      <c r="J77" s="110">
        <f ca="1">IFERROR('AI - Compute'!I80,0)</f>
        <v>0.53871926662856795</v>
      </c>
      <c r="K77" s="110">
        <f ca="1">IFERROR('AI - Compute'!J80,0)</f>
        <v>0.65148799830150916</v>
      </c>
      <c r="L77" s="110">
        <f ca="1">IFERROR('AI - Compute'!K80,0)</f>
        <v>0.62007264077198931</v>
      </c>
      <c r="M77" s="110">
        <f ca="1">IFERROR('AI - Compute'!L80,0)</f>
        <v>0.77064558993442367</v>
      </c>
      <c r="N77" s="110">
        <f ca="1">IFERROR('AI - Compute'!M80,0)</f>
        <v>0.88205157970190473</v>
      </c>
      <c r="O77" s="110">
        <f ca="1">IFERROR('AI - Compute'!N80,0)</f>
        <v>0.98741680870688198</v>
      </c>
      <c r="P77" s="110">
        <f ca="1">IFERROR('AI - Compute'!O80,0)</f>
        <v>1.0730515179930762</v>
      </c>
      <c r="Q77" s="110">
        <f ca="1">IFERROR('AI - Compute'!P80,0)</f>
        <v>1.1735503960544096</v>
      </c>
      <c r="R77" s="110">
        <f ca="1">IFERROR('AI - Compute'!Q80,0)</f>
        <v>1.3273300084942563</v>
      </c>
      <c r="S77" s="110">
        <f ca="1">IFERROR('AI - Compute'!R80,0)</f>
        <v>1.4815442426376033</v>
      </c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spans="1:29">
      <c r="A78" s="5" t="s">
        <v>1306</v>
      </c>
      <c r="B78" s="3"/>
      <c r="C78" s="3"/>
      <c r="D78" s="3"/>
      <c r="E78" s="110">
        <f ca="1">IFERROR('AI - Compute'!D113,0)</f>
        <v>0</v>
      </c>
      <c r="F78" s="110">
        <f ca="1">IFERROR('AI - Compute'!E113,0)</f>
        <v>0.208267391567899</v>
      </c>
      <c r="G78" s="110">
        <f ca="1">IFERROR('AI - Compute'!F113,0)</f>
        <v>0.13978286889289884</v>
      </c>
      <c r="H78" s="110">
        <f ca="1">IFERROR('AI - Compute'!G113,0)</f>
        <v>0.14857898273794687</v>
      </c>
      <c r="I78" s="110">
        <f ca="1">IFERROR('AI - Compute'!H113,0)</f>
        <v>0.26205870605337461</v>
      </c>
      <c r="J78" s="110">
        <f ca="1">IFERROR('AI - Compute'!I113,0)</f>
        <v>0.19637358422912385</v>
      </c>
      <c r="K78" s="110">
        <f ca="1">IFERROR('AI - Compute'!J113,0)</f>
        <v>0.16308472601205323</v>
      </c>
      <c r="L78" s="110">
        <f ca="1">IFERROR('AI - Compute'!K113,0)</f>
        <v>0.2959343440230558</v>
      </c>
      <c r="M78" s="110">
        <f ca="1">IFERROR('AI - Compute'!L113,0)</f>
        <v>0.1760454884983528</v>
      </c>
      <c r="N78" s="110">
        <f ca="1">IFERROR('AI - Compute'!M113,0)</f>
        <v>0.22053256789733613</v>
      </c>
      <c r="O78" s="110">
        <f ca="1">IFERROR('AI - Compute'!N113,0)</f>
        <v>0.15080435872291567</v>
      </c>
      <c r="P78" s="110">
        <f ca="1">IFERROR('AI - Compute'!O113,0)</f>
        <v>0.18344185196218649</v>
      </c>
      <c r="Q78" s="110">
        <f ca="1">IFERROR('AI - Compute'!P113,0)</f>
        <v>0.22502523938101185</v>
      </c>
      <c r="R78" s="110">
        <f ca="1">IFERROR('AI - Compute'!Q113,0)</f>
        <v>0.2345254676395</v>
      </c>
      <c r="S78" s="110">
        <f ca="1">IFERROR('AI - Compute'!R113,0)</f>
        <v>0.25129175471290294</v>
      </c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spans="1:29">
      <c r="A79" s="5" t="s">
        <v>1307</v>
      </c>
      <c r="B79" s="3"/>
      <c r="C79" s="3"/>
      <c r="D79" s="3"/>
      <c r="E79" s="72">
        <f ca="1">EXP(MIN(Assumptions!$B$371*E77,700))</f>
        <v>0.93771189407691458</v>
      </c>
      <c r="F79" s="72">
        <f ca="1">EXP(MIN(Assumptions!$B$371*F77,700))</f>
        <v>1.3090699676244748</v>
      </c>
      <c r="G79" s="72">
        <f ca="1">EXP(MIN(Assumptions!$B$371*G77,700))</f>
        <v>2.0594350979641098</v>
      </c>
      <c r="H79" s="72">
        <f ca="1">EXP(MIN(Assumptions!$B$371*H77,700))</f>
        <v>1.6187079744296959</v>
      </c>
      <c r="I79" s="72">
        <f ca="1">EXP(MIN(Assumptions!$B$371*I77,700))</f>
        <v>2.8490052788393809</v>
      </c>
      <c r="J79" s="72">
        <f ca="1">EXP(MIN(Assumptions!$B$371*J77,700))</f>
        <v>5.0337125827761495</v>
      </c>
      <c r="K79" s="72">
        <f ca="1">EXP(MIN(Assumptions!$B$371*K77,700))</f>
        <v>7.0601337416663572</v>
      </c>
      <c r="L79" s="72">
        <f ca="1">EXP(MIN(Assumptions!$B$371*L77,700))</f>
        <v>6.4251367995666797</v>
      </c>
      <c r="M79" s="72">
        <f ca="1">EXP(MIN(Assumptions!$B$371*M77,700))</f>
        <v>10.09395540364773</v>
      </c>
      <c r="N79" s="72">
        <f ca="1">EXP(MIN(Assumptions!$B$371*N77,700))</f>
        <v>14.099717181110879</v>
      </c>
      <c r="O79" s="72">
        <f ca="1">EXP(MIN(Assumptions!$B$371*O77,700))</f>
        <v>19.341449318389376</v>
      </c>
      <c r="P79" s="72">
        <f ca="1">EXP(MIN(Assumptions!$B$371*P77,700))</f>
        <v>25.006969198989889</v>
      </c>
      <c r="Q79" s="72">
        <f ca="1">EXP(MIN(Assumptions!$B$371*Q77,700))</f>
        <v>33.806435648398036</v>
      </c>
      <c r="R79" s="72">
        <f ca="1">EXP(MIN(Assumptions!$B$371*R77,700))</f>
        <v>53.623640528812345</v>
      </c>
      <c r="S79" s="72">
        <f ca="1">EXP(MIN(Assumptions!$B$371*S77,700))</f>
        <v>85.16859204591151</v>
      </c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spans="1:29">
      <c r="A80" s="5" t="s">
        <v>1308</v>
      </c>
      <c r="B80" s="3"/>
      <c r="C80" s="3"/>
      <c r="D80" s="3"/>
      <c r="E80" s="72">
        <f ca="1">EXP(MIN(Assumptions!$B$371*E78,700))</f>
        <v>1</v>
      </c>
      <c r="F80" s="72">
        <f ca="1">EXP(MIN(Assumptions!$B$371*F78,700))</f>
        <v>1.8678764076764767</v>
      </c>
      <c r="G80" s="72">
        <f ca="1">EXP(MIN(Assumptions!$B$371*G78,700))</f>
        <v>1.5209704828501582</v>
      </c>
      <c r="H80" s="72">
        <f ca="1">EXP(MIN(Assumptions!$B$371*H78,700))</f>
        <v>1.5616406201447066</v>
      </c>
      <c r="I80" s="72">
        <f ca="1">EXP(MIN(Assumptions!$B$371*I78,700))</f>
        <v>2.1949869872729835</v>
      </c>
      <c r="J80" s="72">
        <f ca="1">EXP(MIN(Assumptions!$B$371*J78,700))</f>
        <v>1.8024029605372081</v>
      </c>
      <c r="K80" s="72">
        <f ca="1">EXP(MIN(Assumptions!$B$371*K78,700))</f>
        <v>1.6310992565420361</v>
      </c>
      <c r="L80" s="72">
        <f ca="1">EXP(MIN(Assumptions!$B$371*L78,700))</f>
        <v>2.4297856220185241</v>
      </c>
      <c r="M80" s="72">
        <f ca="1">EXP(MIN(Assumptions!$B$371*M78,700))</f>
        <v>1.6957692378010674</v>
      </c>
      <c r="N80" s="72">
        <f ca="1">EXP(MIN(Assumptions!$B$371*N78,700))</f>
        <v>1.9378860300043228</v>
      </c>
      <c r="O80" s="72">
        <f ca="1">EXP(MIN(Assumptions!$B$371*O78,700))</f>
        <v>1.5721012120163322</v>
      </c>
      <c r="P80" s="72">
        <f ca="1">EXP(MIN(Assumptions!$B$371*P78,700))</f>
        <v>1.7338173804510548</v>
      </c>
      <c r="Q80" s="72">
        <f ca="1">EXP(MIN(Assumptions!$B$371*Q78,700))</f>
        <v>1.9641816945299237</v>
      </c>
      <c r="R80" s="72">
        <f ca="1">EXP(MIN(Assumptions!$B$371*R78,700))</f>
        <v>2.0209675925083053</v>
      </c>
      <c r="S80" s="72">
        <f ca="1">EXP(MIN(Assumptions!$B$371*S78,700))</f>
        <v>2.1252198676186977</v>
      </c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spans="1:29">
      <c r="A81" s="5" t="s">
        <v>1309</v>
      </c>
      <c r="B81" s="3"/>
      <c r="C81" s="3"/>
      <c r="D81" s="3"/>
      <c r="E81" s="31">
        <f t="shared" ref="E81:S81" ca="1" si="16">E79+E80</f>
        <v>1.9377118940769145</v>
      </c>
      <c r="F81" s="31">
        <f t="shared" ca="1" si="16"/>
        <v>3.1769463753009513</v>
      </c>
      <c r="G81" s="31">
        <f t="shared" ca="1" si="16"/>
        <v>3.5804055808142681</v>
      </c>
      <c r="H81" s="31">
        <f t="shared" ca="1" si="16"/>
        <v>3.1803485945744026</v>
      </c>
      <c r="I81" s="31">
        <f t="shared" ca="1" si="16"/>
        <v>5.0439922661123644</v>
      </c>
      <c r="J81" s="31">
        <f t="shared" ca="1" si="16"/>
        <v>6.8361155433133574</v>
      </c>
      <c r="K81" s="31">
        <f t="shared" ca="1" si="16"/>
        <v>8.6912329982083936</v>
      </c>
      <c r="L81" s="31">
        <f t="shared" ca="1" si="16"/>
        <v>8.8549224215852043</v>
      </c>
      <c r="M81" s="31">
        <f t="shared" ca="1" si="16"/>
        <v>11.789724641448798</v>
      </c>
      <c r="N81" s="31">
        <f t="shared" ca="1" si="16"/>
        <v>16.037603211115201</v>
      </c>
      <c r="O81" s="31">
        <f t="shared" ca="1" si="16"/>
        <v>20.913550530405708</v>
      </c>
      <c r="P81" s="31">
        <f t="shared" ca="1" si="16"/>
        <v>26.740786579440943</v>
      </c>
      <c r="Q81" s="31">
        <f t="shared" ca="1" si="16"/>
        <v>35.770617342927963</v>
      </c>
      <c r="R81" s="31">
        <f t="shared" ca="1" si="16"/>
        <v>55.644608121320651</v>
      </c>
      <c r="S81" s="31">
        <f t="shared" ca="1" si="16"/>
        <v>87.293811913530206</v>
      </c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>
      <c r="A82" s="5" t="s">
        <v>1310</v>
      </c>
      <c r="B82" s="3"/>
      <c r="C82" s="3"/>
      <c r="D82" s="3"/>
      <c r="E82" s="60">
        <f t="shared" ref="E82:S82" ca="1" si="17">IFERROR(E79/E81,0)</f>
        <v>0.48392740785833954</v>
      </c>
      <c r="F82" s="60">
        <f t="shared" ca="1" si="17"/>
        <v>0.41205290016910245</v>
      </c>
      <c r="G82" s="60">
        <f t="shared" ca="1" si="17"/>
        <v>0.57519603616966375</v>
      </c>
      <c r="H82" s="60">
        <f t="shared" ca="1" si="17"/>
        <v>0.5089718709424409</v>
      </c>
      <c r="I82" s="60">
        <f t="shared" ca="1" si="17"/>
        <v>0.56483141300199491</v>
      </c>
      <c r="J82" s="60">
        <f t="shared" ca="1" si="17"/>
        <v>0.73634106253511167</v>
      </c>
      <c r="K82" s="60">
        <f t="shared" ca="1" si="17"/>
        <v>0.81232820971681807</v>
      </c>
      <c r="L82" s="60">
        <f t="shared" ca="1" si="17"/>
        <v>0.72560057487397556</v>
      </c>
      <c r="M82" s="60">
        <f t="shared" ca="1" si="17"/>
        <v>0.85616549246287732</v>
      </c>
      <c r="N82" s="60">
        <f t="shared" ca="1" si="17"/>
        <v>0.87916610702394549</v>
      </c>
      <c r="O82" s="60">
        <f t="shared" ca="1" si="17"/>
        <v>0.92482858375813848</v>
      </c>
      <c r="P82" s="60">
        <f t="shared" ca="1" si="17"/>
        <v>0.93516206506116539</v>
      </c>
      <c r="Q82" s="60">
        <f t="shared" ca="1" si="17"/>
        <v>0.94508952205941577</v>
      </c>
      <c r="R82" s="60">
        <f t="shared" ca="1" si="17"/>
        <v>0.96368080105619514</v>
      </c>
      <c r="S82" s="60">
        <f t="shared" ca="1" si="17"/>
        <v>0.97565440412060533</v>
      </c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29">
      <c r="A83" s="5" t="s">
        <v>1311</v>
      </c>
      <c r="B83" s="3"/>
      <c r="C83" s="3"/>
      <c r="D83" s="3"/>
      <c r="E83" s="60">
        <f t="shared" ref="E83:S83" ca="1" si="18">IFERROR(E80/E81,0)</f>
        <v>0.51607259214166057</v>
      </c>
      <c r="F83" s="60">
        <f t="shared" ca="1" si="18"/>
        <v>0.58794709983089766</v>
      </c>
      <c r="G83" s="60">
        <f t="shared" ca="1" si="18"/>
        <v>0.4248039638303362</v>
      </c>
      <c r="H83" s="60">
        <f t="shared" ca="1" si="18"/>
        <v>0.49102812905755916</v>
      </c>
      <c r="I83" s="60">
        <f t="shared" ca="1" si="18"/>
        <v>0.43516858699800515</v>
      </c>
      <c r="J83" s="60">
        <f t="shared" ca="1" si="18"/>
        <v>0.26365893746488839</v>
      </c>
      <c r="K83" s="60">
        <f t="shared" ca="1" si="18"/>
        <v>0.18767179028318193</v>
      </c>
      <c r="L83" s="60">
        <f t="shared" ca="1" si="18"/>
        <v>0.27439942512602444</v>
      </c>
      <c r="M83" s="60">
        <f t="shared" ca="1" si="18"/>
        <v>0.14383450753712262</v>
      </c>
      <c r="N83" s="60">
        <f t="shared" ca="1" si="18"/>
        <v>0.12083389297605454</v>
      </c>
      <c r="O83" s="60">
        <f t="shared" ca="1" si="18"/>
        <v>7.5171416241861563E-2</v>
      </c>
      <c r="P83" s="60">
        <f t="shared" ca="1" si="18"/>
        <v>6.4837934938834663E-2</v>
      </c>
      <c r="Q83" s="60">
        <f t="shared" ca="1" si="18"/>
        <v>5.4910477940584179E-2</v>
      </c>
      <c r="R83" s="60">
        <f t="shared" ca="1" si="18"/>
        <v>3.6319198943804878E-2</v>
      </c>
      <c r="S83" s="60">
        <f t="shared" ca="1" si="18"/>
        <v>2.4345595879394707E-2</v>
      </c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29">
      <c r="A84" s="5" t="s">
        <v>1312</v>
      </c>
      <c r="B84" s="3"/>
      <c r="C84" s="3"/>
      <c r="D84" s="3"/>
      <c r="E84" s="60">
        <f t="shared" ref="E84:S84" ca="1" si="19">E82+E83</f>
        <v>1</v>
      </c>
      <c r="F84" s="60">
        <f t="shared" ca="1" si="19"/>
        <v>1</v>
      </c>
      <c r="G84" s="60">
        <f t="shared" ca="1" si="19"/>
        <v>1</v>
      </c>
      <c r="H84" s="60">
        <f t="shared" ca="1" si="19"/>
        <v>1</v>
      </c>
      <c r="I84" s="60">
        <f t="shared" ca="1" si="19"/>
        <v>1</v>
      </c>
      <c r="J84" s="60">
        <f t="shared" ca="1" si="19"/>
        <v>1</v>
      </c>
      <c r="K84" s="60">
        <f t="shared" ca="1" si="19"/>
        <v>1</v>
      </c>
      <c r="L84" s="60">
        <f t="shared" ca="1" si="19"/>
        <v>1</v>
      </c>
      <c r="M84" s="60">
        <f t="shared" ca="1" si="19"/>
        <v>1</v>
      </c>
      <c r="N84" s="60">
        <f t="shared" ca="1" si="19"/>
        <v>1</v>
      </c>
      <c r="O84" s="60">
        <f t="shared" ca="1" si="19"/>
        <v>1</v>
      </c>
      <c r="P84" s="60">
        <f t="shared" ca="1" si="19"/>
        <v>1</v>
      </c>
      <c r="Q84" s="60">
        <f t="shared" ca="1" si="19"/>
        <v>1</v>
      </c>
      <c r="R84" s="60">
        <f t="shared" ca="1" si="19"/>
        <v>1</v>
      </c>
      <c r="S84" s="60">
        <f t="shared" ca="1" si="19"/>
        <v>1</v>
      </c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29">
      <c r="A85" s="5" t="s">
        <v>1313</v>
      </c>
      <c r="B85" s="3"/>
      <c r="C85" s="3"/>
      <c r="D85" s="3"/>
      <c r="E85" s="29">
        <f t="shared" ref="E85:AC85" ca="1" si="20">E82*E129</f>
        <v>1962.5897248656179</v>
      </c>
      <c r="F85" s="29">
        <f t="shared" ca="1" si="20"/>
        <v>8014.3974850315617</v>
      </c>
      <c r="G85" s="29">
        <f t="shared" ca="1" si="20"/>
        <v>1961.2386177582493</v>
      </c>
      <c r="H85" s="29">
        <f t="shared" ca="1" si="20"/>
        <v>3182.8022482374649</v>
      </c>
      <c r="I85" s="29">
        <f t="shared" ca="1" si="20"/>
        <v>16334.383682937492</v>
      </c>
      <c r="J85" s="29">
        <f t="shared" ca="1" si="20"/>
        <v>49407.722135873446</v>
      </c>
      <c r="K85" s="29">
        <f t="shared" ca="1" si="20"/>
        <v>86574.590793936863</v>
      </c>
      <c r="L85" s="29">
        <f t="shared" ca="1" si="20"/>
        <v>26507.196527653567</v>
      </c>
      <c r="M85" s="29">
        <f t="shared" ca="1" si="20"/>
        <v>50388.165537152658</v>
      </c>
      <c r="N85" s="29">
        <f t="shared" ca="1" si="20"/>
        <v>80014.57516163231</v>
      </c>
      <c r="O85" s="29">
        <f t="shared" ca="1" si="20"/>
        <v>130489.57353745855</v>
      </c>
      <c r="P85" s="29">
        <f t="shared" ca="1" si="20"/>
        <v>150251.49138659678</v>
      </c>
      <c r="Q85" s="29">
        <f t="shared" ca="1" si="20"/>
        <v>147348.47675639592</v>
      </c>
      <c r="R85" s="29">
        <f t="shared" ca="1" si="20"/>
        <v>201237.78256184974</v>
      </c>
      <c r="S85" s="29">
        <f t="shared" ca="1" si="20"/>
        <v>278825.8438422195</v>
      </c>
      <c r="T85" s="29">
        <f t="shared" si="20"/>
        <v>0</v>
      </c>
      <c r="U85" s="29">
        <f t="shared" si="20"/>
        <v>0</v>
      </c>
      <c r="V85" s="29">
        <f t="shared" si="20"/>
        <v>0</v>
      </c>
      <c r="W85" s="29">
        <f t="shared" si="20"/>
        <v>0</v>
      </c>
      <c r="X85" s="29">
        <f t="shared" si="20"/>
        <v>0</v>
      </c>
      <c r="Y85" s="29">
        <f t="shared" si="20"/>
        <v>0</v>
      </c>
      <c r="Z85" s="29">
        <f t="shared" si="20"/>
        <v>0</v>
      </c>
      <c r="AA85" s="29">
        <f t="shared" si="20"/>
        <v>0</v>
      </c>
      <c r="AB85" s="29">
        <f t="shared" si="20"/>
        <v>0</v>
      </c>
      <c r="AC85" s="29">
        <f t="shared" si="20"/>
        <v>0</v>
      </c>
    </row>
    <row r="86" spans="1:29">
      <c r="A86" s="5" t="s">
        <v>1314</v>
      </c>
      <c r="B86" s="3"/>
      <c r="C86" s="3"/>
      <c r="D86" s="3"/>
      <c r="E86" s="29">
        <f t="shared" ref="E86:AC86" ca="1" si="21">E83*E129</f>
        <v>2092.9559892141447</v>
      </c>
      <c r="F86" s="29">
        <f t="shared" ca="1" si="21"/>
        <v>11435.52625471771</v>
      </c>
      <c r="G86" s="29">
        <f t="shared" ca="1" si="21"/>
        <v>1448.4486791475117</v>
      </c>
      <c r="H86" s="29">
        <f t="shared" ca="1" si="21"/>
        <v>3070.5929390918654</v>
      </c>
      <c r="I86" s="29">
        <f t="shared" ca="1" si="21"/>
        <v>12584.658896728315</v>
      </c>
      <c r="J86" s="29">
        <f t="shared" ca="1" si="21"/>
        <v>17691.241441914928</v>
      </c>
      <c r="K86" s="29">
        <f t="shared" ca="1" si="21"/>
        <v>20001.285506256165</v>
      </c>
      <c r="L86" s="29">
        <f t="shared" ca="1" si="21"/>
        <v>10024.19201521992</v>
      </c>
      <c r="M86" s="29">
        <f t="shared" ca="1" si="21"/>
        <v>8465.135583643736</v>
      </c>
      <c r="N86" s="29">
        <f t="shared" ca="1" si="21"/>
        <v>10997.321819347404</v>
      </c>
      <c r="O86" s="29">
        <f t="shared" ca="1" si="21"/>
        <v>10606.38286907942</v>
      </c>
      <c r="P86" s="29">
        <f t="shared" ca="1" si="21"/>
        <v>10417.441839185225</v>
      </c>
      <c r="Q86" s="29">
        <f t="shared" ca="1" si="21"/>
        <v>8561.0675958823049</v>
      </c>
      <c r="R86" s="29">
        <f t="shared" ca="1" si="21"/>
        <v>7584.2489046824658</v>
      </c>
      <c r="S86" s="29">
        <f t="shared" ca="1" si="21"/>
        <v>6957.5674401145552</v>
      </c>
      <c r="T86" s="29">
        <f t="shared" si="21"/>
        <v>0</v>
      </c>
      <c r="U86" s="29">
        <f t="shared" si="21"/>
        <v>0</v>
      </c>
      <c r="V86" s="29">
        <f t="shared" si="21"/>
        <v>0</v>
      </c>
      <c r="W86" s="29">
        <f t="shared" si="21"/>
        <v>0</v>
      </c>
      <c r="X86" s="29">
        <f t="shared" si="21"/>
        <v>0</v>
      </c>
      <c r="Y86" s="29">
        <f t="shared" si="21"/>
        <v>0</v>
      </c>
      <c r="Z86" s="29">
        <f t="shared" si="21"/>
        <v>0</v>
      </c>
      <c r="AA86" s="29">
        <f t="shared" si="21"/>
        <v>0</v>
      </c>
      <c r="AB86" s="29">
        <f t="shared" si="21"/>
        <v>0</v>
      </c>
      <c r="AC86" s="29">
        <f t="shared" si="21"/>
        <v>0</v>
      </c>
    </row>
    <row r="87" spans="1:29">
      <c r="A87" s="5" t="s">
        <v>1315</v>
      </c>
      <c r="B87" s="3"/>
      <c r="C87" s="3"/>
      <c r="D87" s="3"/>
      <c r="E87" s="70">
        <f ca="1">IFERROR((E52/'AI - Compute'!D26)*'AI - Compute'!D40,E85)</f>
        <v>13144.313513025025</v>
      </c>
      <c r="F87" s="70">
        <f ca="1">IFERROR((F52/'AI - Compute'!E26)*'AI - Compute'!E40,F85)</f>
        <v>1465.244222024224</v>
      </c>
      <c r="G87" s="70">
        <f ca="1">IFERROR((G52/'AI - Compute'!F26)*'AI - Compute'!F40,G85)</f>
        <v>3912.2070000739668</v>
      </c>
      <c r="H87" s="70">
        <f ca="1">IFERROR((H52/'AI - Compute'!G26)*'AI - Compute'!G40,H85)</f>
        <v>12537.86030309838</v>
      </c>
      <c r="I87" s="70">
        <f ca="1">IFERROR((I52/'AI - Compute'!H26)*'AI - Compute'!H40,I85)</f>
        <v>33217.808720130997</v>
      </c>
      <c r="J87" s="70">
        <f ca="1">IFERROR((J52/'AI - Compute'!I26)*'AI - Compute'!I40,J85)</f>
        <v>67530.260747692519</v>
      </c>
      <c r="K87" s="70">
        <f ca="1">IFERROR((K52/'AI - Compute'!J26)*'AI - Compute'!J40,K85)</f>
        <v>61320.164424927279</v>
      </c>
      <c r="L87" s="70">
        <f ca="1">IFERROR((L52/'AI - Compute'!K26)*'AI - Compute'!K40,L85)</f>
        <v>36966.88122111393</v>
      </c>
      <c r="M87" s="70">
        <f ca="1">IFERROR((M52/'AI - Compute'!L26)*'AI - Compute'!L40,M85)</f>
        <v>50728.614335563419</v>
      </c>
      <c r="N87" s="70">
        <f ca="1">IFERROR((N52/'AI - Compute'!M26)*'AI - Compute'!M40,N85)</f>
        <v>73929.237079927363</v>
      </c>
      <c r="O87" s="70">
        <f ca="1">IFERROR((O52/'AI - Compute'!N26)*'AI - Compute'!N40,O85)</f>
        <v>111254.20626130143</v>
      </c>
      <c r="P87" s="70">
        <f ca="1">IFERROR((P52/'AI - Compute'!O26)*'AI - Compute'!O40,P85)</f>
        <v>120448.13514900576</v>
      </c>
      <c r="Q87" s="70">
        <f ca="1">IFERROR((Q52/'AI - Compute'!P26)*'AI - Compute'!P40,Q85)</f>
        <v>115002.63602979222</v>
      </c>
      <c r="R87" s="70">
        <f ca="1">IFERROR((R52/'AI - Compute'!Q26)*'AI - Compute'!Q40,R85)</f>
        <v>147134.22577388794</v>
      </c>
      <c r="S87" s="70">
        <f ca="1">IFERROR((S52/'AI - Compute'!R26)*'AI - Compute'!R40,S85)</f>
        <v>183803.14333343218</v>
      </c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29">
      <c r="A88" s="5" t="s">
        <v>1316</v>
      </c>
      <c r="B88" s="3"/>
      <c r="C88" s="3"/>
      <c r="D88" s="77">
        <f ca="1">MIN(D85 + D94, 'AI - Compute'!D202)</f>
        <v>0</v>
      </c>
      <c r="E88" s="77">
        <f ca="1">MIN(E85 + E94, 'AI - Compute'!E202)</f>
        <v>1962.5897248656179</v>
      </c>
      <c r="F88" s="77">
        <f ca="1">MIN(F85 + F94, 'AI - Compute'!F202)</f>
        <v>8532.7053627704481</v>
      </c>
      <c r="G88" s="77">
        <f ca="1">MIN(G85 + G94, 'AI - Compute'!G202)</f>
        <v>5960.3207828820478</v>
      </c>
      <c r="H88" s="77">
        <f ca="1">MIN(H85 + H94, 'AI - Compute'!H202)</f>
        <v>4631.2509273849764</v>
      </c>
      <c r="I88" s="77">
        <f ca="1">MIN(I85 + I94, 'AI - Compute'!I202)</f>
        <v>17934.970046531835</v>
      </c>
      <c r="J88" s="77">
        <f ca="1">MIN(J85 + J94, 'AI - Compute'!J202)</f>
        <v>55179.775208717539</v>
      </c>
      <c r="K88" s="77">
        <f ca="1">MIN(K85 + K94, 'AI - Compute'!K202)</f>
        <v>60099.839145711732</v>
      </c>
      <c r="L88" s="77">
        <f ca="1">MIN(L85 + L94, 'AI - Compute'!L202)</f>
        <v>26507.196527653567</v>
      </c>
      <c r="M88" s="77">
        <f ca="1">MIN(M85 + M94, 'AI - Compute'!M202)</f>
        <v>50187.661893632096</v>
      </c>
      <c r="N88" s="77">
        <f ca="1">MIN(N85 + N94, 'AI - Compute'!N202)</f>
        <v>73100.526505718357</v>
      </c>
      <c r="O88" s="77">
        <f ca="1">MIN(O85 + O94, 'AI - Compute'!O202)</f>
        <v>109665.79340343134</v>
      </c>
      <c r="P88" s="77">
        <f ca="1">MIN(P85 + P94, 'AI - Compute'!P202)</f>
        <v>118079.9998261361</v>
      </c>
      <c r="Q88" s="77">
        <f ca="1">MIN(Q85 + Q94, 'AI - Compute'!Q202)</f>
        <v>112942.66683995223</v>
      </c>
      <c r="R88" s="77">
        <f ca="1">MIN(R85 + R94, 'AI - Compute'!R202)</f>
        <v>144687.97340972914</v>
      </c>
      <c r="S88" s="77">
        <f ca="1">MIN(S85 + S94, 'AI - Compute'!S202)</f>
        <v>192088.43351557196</v>
      </c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29">
      <c r="A89" s="5" t="s">
        <v>1317</v>
      </c>
      <c r="B89" s="3"/>
      <c r="C89" s="3"/>
      <c r="D89" s="6">
        <v>0</v>
      </c>
      <c r="E89" s="23">
        <f t="shared" ref="E89:S89" ca="1" si="22">MAX(0, (D85 + D94) - D88)</f>
        <v>0</v>
      </c>
      <c r="F89" s="29">
        <f t="shared" ca="1" si="22"/>
        <v>0</v>
      </c>
      <c r="G89" s="29">
        <f t="shared" ca="1" si="22"/>
        <v>0</v>
      </c>
      <c r="H89" s="29">
        <f t="shared" ca="1" si="22"/>
        <v>0</v>
      </c>
      <c r="I89" s="29">
        <f t="shared" ca="1" si="22"/>
        <v>0</v>
      </c>
      <c r="J89" s="29">
        <f t="shared" ca="1" si="22"/>
        <v>0</v>
      </c>
      <c r="K89" s="29">
        <f t="shared" ca="1" si="22"/>
        <v>0</v>
      </c>
      <c r="L89" s="29">
        <f t="shared" ca="1" si="22"/>
        <v>44165.993090140058</v>
      </c>
      <c r="M89" s="29">
        <f t="shared" ca="1" si="22"/>
        <v>0</v>
      </c>
      <c r="N89" s="29">
        <f t="shared" ca="1" si="22"/>
        <v>54390.688748880544</v>
      </c>
      <c r="O89" s="29">
        <f t="shared" ca="1" si="22"/>
        <v>11670.319162445754</v>
      </c>
      <c r="P89" s="29">
        <f t="shared" ca="1" si="22"/>
        <v>78691.402985294058</v>
      </c>
      <c r="Q89" s="29">
        <f t="shared" ca="1" si="22"/>
        <v>32171.491560460679</v>
      </c>
      <c r="R89" s="29">
        <f t="shared" ca="1" si="22"/>
        <v>80925.721341277065</v>
      </c>
      <c r="S89" s="29">
        <f t="shared" ca="1" si="22"/>
        <v>56549.809152120608</v>
      </c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29">
      <c r="A90" s="5" t="s">
        <v>1318</v>
      </c>
      <c r="B90" s="3"/>
      <c r="C90" s="3"/>
      <c r="D90" s="77">
        <f ca="1">MIN(D86 + D89, 'AI - Compute'!D203, MAX(0, (D37*D25) - D88))</f>
        <v>0</v>
      </c>
      <c r="E90" s="77">
        <f ca="1">MIN(E86 + E89, 'AI - Compute'!E203, MAX(0, (E37*E25) - E88))</f>
        <v>1574.6481114752592</v>
      </c>
      <c r="F90" s="77">
        <f ca="1">MIN(F86 + F89, 'AI - Compute'!F203, MAX(0, (F37*F25) - F88))</f>
        <v>7436.4440895939115</v>
      </c>
      <c r="G90" s="77">
        <f ca="1">MIN(G86 + G89, 'AI - Compute'!G203, MAX(0, (G37*G25) - G88))</f>
        <v>0</v>
      </c>
      <c r="H90" s="77">
        <f ca="1">MIN(H86 + H89, 'AI - Compute'!H203, MAX(0, (H37*H25) - H88))</f>
        <v>1470.006575497524</v>
      </c>
      <c r="I90" s="77">
        <f ca="1">MIN(I86 + I89, 'AI - Compute'!I203, MAX(0, (I37*I25) - I88))</f>
        <v>6812.6058238842197</v>
      </c>
      <c r="J90" s="77">
        <f ca="1">MIN(J86 + J89, 'AI - Compute'!J203, MAX(0, (J37*J25) - J88))</f>
        <v>0</v>
      </c>
      <c r="K90" s="77">
        <f ca="1">MIN(K86 + K89, 'AI - Compute'!K203, MAX(0, (K37*K25) - K88))</f>
        <v>20001.285506256165</v>
      </c>
      <c r="L90" s="77">
        <f ca="1">MIN(L86 + L89, 'AI - Compute'!L203, MAX(0, (L37*L25) - L88))</f>
        <v>0</v>
      </c>
      <c r="M90" s="77">
        <f ca="1">MIN(M86 + M89, 'AI - Compute'!M203, MAX(0, (M37*M25) - M88))</f>
        <v>3708.8650771119283</v>
      </c>
      <c r="N90" s="77">
        <f ca="1">MIN(N86 + N89, 'AI - Compute'!N203, MAX(0, (N37*N25) - N88))</f>
        <v>7520.3877169611078</v>
      </c>
      <c r="O90" s="77">
        <f ca="1">MIN(O86 + O89, 'AI - Compute'!O203, MAX(0, (O37*O25) - O88))</f>
        <v>22276.702031525172</v>
      </c>
      <c r="P90" s="77">
        <f ca="1">MIN(P86 + P89, 'AI - Compute'!P203, MAX(0, (P37*P25) - P88))</f>
        <v>42588.933399645888</v>
      </c>
      <c r="Q90" s="77">
        <f ca="1">MIN(Q86 + Q89, 'AI - Compute'!Q203, MAX(0, (Q37*Q25) - Q88))</f>
        <v>40732.559156342984</v>
      </c>
      <c r="R90" s="77">
        <f ca="1">MIN(R86 + R89, 'AI - Compute'!R203, MAX(0, (R37*R25) - R88))</f>
        <v>64134.058056803078</v>
      </c>
      <c r="S90" s="77">
        <f ca="1">MIN(S86 + S89, 'AI - Compute'!S203, MAX(0, (S37*S25) - S88))</f>
        <v>63507.376592235159</v>
      </c>
      <c r="T90" s="77">
        <f>MIN(T86 + T89, 'AI - Compute'!T203, MAX(0, (T37*T25) - T88))</f>
        <v>0</v>
      </c>
      <c r="U90" s="77">
        <f>MIN(U86 + U89, 'AI - Compute'!U203, MAX(0, (U37*U25) - U88))</f>
        <v>0</v>
      </c>
      <c r="V90" s="77">
        <f>MIN(V86 + V89, 'AI - Compute'!V203, MAX(0, (V37*V25) - V88))</f>
        <v>0</v>
      </c>
      <c r="W90" s="77">
        <f>MIN(W86 + W89, 'AI - Compute'!W203, MAX(0, (W37*W25) - W88))</f>
        <v>0</v>
      </c>
      <c r="X90" s="77">
        <f>MIN(X86 + X89, 'AI - Compute'!X203, MAX(0, (X37*X25) - X88))</f>
        <v>0</v>
      </c>
      <c r="Y90" s="77">
        <f>MIN(Y86 + Y89, 'AI - Compute'!Y203, MAX(0, (Y37*Y25) - Y88))</f>
        <v>0</v>
      </c>
      <c r="Z90" s="77">
        <f>MIN(Z86 + Z89, 'AI - Compute'!Z203, MAX(0, (Z37*Z25) - Z88))</f>
        <v>0</v>
      </c>
      <c r="AA90" s="77">
        <f>MIN(AA86 + AA89, 'AI - Compute'!AA203, MAX(0, (AA37*AA25) - AA88))</f>
        <v>0</v>
      </c>
      <c r="AB90" s="77">
        <f>MIN(AB86 + AB89, 'AI - Compute'!AB203, MAX(0, (AB37*AB25) - AB88))</f>
        <v>0</v>
      </c>
      <c r="AC90" s="77">
        <f>MIN(AC86 + AC89, 'AI - Compute'!AC203, MAX(0, (AC37*AC25) - AC88))</f>
        <v>0</v>
      </c>
    </row>
    <row r="91" spans="1:29">
      <c r="A91" s="5" t="s">
        <v>1319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spans="1:29">
      <c r="A92" s="5" t="s">
        <v>1320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29">
      <c r="A93" s="5" t="s">
        <v>1321</v>
      </c>
      <c r="B93" s="3"/>
      <c r="C93" s="3"/>
      <c r="D93" s="23">
        <f t="shared" ref="D93:S93" ca="1" si="23">ROUND((D85+D86)-(D88+D90),3)</f>
        <v>0</v>
      </c>
      <c r="E93" s="29">
        <f t="shared" ca="1" si="23"/>
        <v>518.30799999999999</v>
      </c>
      <c r="F93" s="29">
        <f t="shared" ca="1" si="23"/>
        <v>3480.7739999999999</v>
      </c>
      <c r="G93" s="29">
        <f t="shared" ca="1" si="23"/>
        <v>-2550.6329999999998</v>
      </c>
      <c r="H93" s="29">
        <f t="shared" ca="1" si="23"/>
        <v>152.13800000000001</v>
      </c>
      <c r="I93" s="29">
        <f t="shared" ca="1" si="23"/>
        <v>4171.4669999999996</v>
      </c>
      <c r="J93" s="29">
        <f t="shared" ca="1" si="23"/>
        <v>11919.188</v>
      </c>
      <c r="K93" s="29">
        <f t="shared" ca="1" si="23"/>
        <v>26474.752</v>
      </c>
      <c r="L93" s="29">
        <f t="shared" ca="1" si="23"/>
        <v>10024.191999999999</v>
      </c>
      <c r="M93" s="29">
        <f t="shared" ca="1" si="23"/>
        <v>4956.7740000000003</v>
      </c>
      <c r="N93" s="29">
        <f t="shared" ca="1" si="23"/>
        <v>10390.983</v>
      </c>
      <c r="O93" s="29">
        <f t="shared" ca="1" si="23"/>
        <v>9153.4609999999993</v>
      </c>
      <c r="P93" s="29">
        <f t="shared" ca="1" si="23"/>
        <v>0</v>
      </c>
      <c r="Q93" s="29">
        <f t="shared" ca="1" si="23"/>
        <v>2234.3180000000002</v>
      </c>
      <c r="R93" s="29">
        <f t="shared" ca="1" si="23"/>
        <v>0</v>
      </c>
      <c r="S93" s="29">
        <f t="shared" ca="1" si="23"/>
        <v>30187.600999999999</v>
      </c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spans="1:29">
      <c r="A94" s="5" t="s">
        <v>1322</v>
      </c>
      <c r="B94" s="3"/>
      <c r="C94" s="3"/>
      <c r="D94" s="6">
        <v>0</v>
      </c>
      <c r="E94" s="23">
        <f t="shared" ref="E94:S94" ca="1" si="24">MAX(0, (D86 + D89) - D90)</f>
        <v>0</v>
      </c>
      <c r="F94" s="29">
        <f t="shared" ca="1" si="24"/>
        <v>518.30787773888551</v>
      </c>
      <c r="G94" s="29">
        <f t="shared" ca="1" si="24"/>
        <v>3999.0821651237984</v>
      </c>
      <c r="H94" s="29">
        <f t="shared" ca="1" si="24"/>
        <v>1448.4486791475117</v>
      </c>
      <c r="I94" s="29">
        <f t="shared" ca="1" si="24"/>
        <v>1600.5863635943415</v>
      </c>
      <c r="J94" s="29">
        <f t="shared" ca="1" si="24"/>
        <v>5772.0530728440954</v>
      </c>
      <c r="K94" s="29">
        <f t="shared" ca="1" si="24"/>
        <v>17691.241441914928</v>
      </c>
      <c r="L94" s="29">
        <f t="shared" ca="1" si="24"/>
        <v>0</v>
      </c>
      <c r="M94" s="29">
        <f t="shared" ca="1" si="24"/>
        <v>54190.185105359982</v>
      </c>
      <c r="N94" s="29">
        <f t="shared" ca="1" si="24"/>
        <v>4756.2705065318078</v>
      </c>
      <c r="O94" s="29">
        <f t="shared" ca="1" si="24"/>
        <v>57867.622851266839</v>
      </c>
      <c r="P94" s="29">
        <f t="shared" ca="1" si="24"/>
        <v>0</v>
      </c>
      <c r="Q94" s="29">
        <f t="shared" ca="1" si="24"/>
        <v>46519.911424833394</v>
      </c>
      <c r="R94" s="29">
        <f t="shared" ca="1" si="24"/>
        <v>0</v>
      </c>
      <c r="S94" s="29">
        <f t="shared" ca="1" si="24"/>
        <v>24375.91218915645</v>
      </c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spans="1:29">
      <c r="A95" s="13" t="s">
        <v>1323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29">
      <c r="A96" s="5" t="s">
        <v>1324</v>
      </c>
      <c r="B96" s="3"/>
      <c r="C96" s="3"/>
      <c r="D96" s="31">
        <f>IFERROR(AVERAGE(D28,D29,D30),0)</f>
        <v>0</v>
      </c>
      <c r="E96" s="31">
        <f t="shared" ref="E96:S96" ca="1" si="25">AVERAGE(E28,E29,E30)</f>
        <v>0.15641408135715565</v>
      </c>
      <c r="F96" s="31">
        <f t="shared" ca="1" si="25"/>
        <v>0.1354869032838201</v>
      </c>
      <c r="G96" s="31">
        <f t="shared" ca="1" si="25"/>
        <v>0.56889885445782784</v>
      </c>
      <c r="H96" s="31">
        <f t="shared" ca="1" si="25"/>
        <v>0.4504490676622801</v>
      </c>
      <c r="I96" s="31">
        <f t="shared" ca="1" si="25"/>
        <v>0.22855913236784553</v>
      </c>
      <c r="J96" s="31">
        <f t="shared" ca="1" si="25"/>
        <v>0.20216091989960328</v>
      </c>
      <c r="K96" s="31">
        <f t="shared" ca="1" si="25"/>
        <v>9.3347179937960698E-2</v>
      </c>
      <c r="L96" s="31">
        <f t="shared" ca="1" si="25"/>
        <v>0.55397475595955403</v>
      </c>
      <c r="M96" s="31">
        <f t="shared" ca="1" si="25"/>
        <v>0.48918211938448497</v>
      </c>
      <c r="N96" s="31">
        <f t="shared" ca="1" si="25"/>
        <v>0.49110814306600536</v>
      </c>
      <c r="O96" s="31">
        <f t="shared" ca="1" si="25"/>
        <v>0.46579875109812185</v>
      </c>
      <c r="P96" s="31">
        <f t="shared" ca="1" si="25"/>
        <v>0.4128973696773115</v>
      </c>
      <c r="Q96" s="31">
        <f t="shared" ca="1" si="25"/>
        <v>0.34402479852886797</v>
      </c>
      <c r="R96" s="31">
        <f t="shared" ca="1" si="25"/>
        <v>0.31765785719689443</v>
      </c>
      <c r="S96" s="31">
        <f t="shared" ca="1" si="25"/>
        <v>0.28148274930353018</v>
      </c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29">
      <c r="A97" s="5" t="s">
        <v>1325</v>
      </c>
      <c r="B97" s="3"/>
      <c r="C97" s="3"/>
      <c r="D97" s="30">
        <v>0</v>
      </c>
      <c r="E97" s="72">
        <f>IF(E$4&lt;Assumptions!$B$335, 0, IFERROR(MEDIAN(0,(Assumptions!$B$336-E96)/(Assumptions!$B$336-Assumptions!$B$337),1),0))</f>
        <v>0</v>
      </c>
      <c r="F97" s="72">
        <f>IF(F$4&lt;Assumptions!$B$335, 0, IFERROR(MEDIAN(0,(Assumptions!$B$336-F96)/(Assumptions!$B$336-Assumptions!$B$337),1),0))</f>
        <v>0</v>
      </c>
      <c r="G97" s="72">
        <f>IF(G$4&lt;Assumptions!$B$335, 0, IFERROR(MEDIAN(0,(Assumptions!$B$336-G96)/(Assumptions!$B$336-Assumptions!$B$337),1),0))</f>
        <v>0</v>
      </c>
      <c r="H97" s="72">
        <f>IF(H$4&lt;Assumptions!$B$335, 0, IFERROR(MEDIAN(0,(Assumptions!$B$336-H96)/(Assumptions!$B$336-Assumptions!$B$337),1),0))</f>
        <v>0</v>
      </c>
      <c r="I97" s="72">
        <f ca="1">IF(I$4&lt;Assumptions!$B$335, 0, IFERROR(MEDIAN(0,(Assumptions!$B$336-I96)/(Assumptions!$B$336-Assumptions!$B$337),1),0))</f>
        <v>0.67860216908038618</v>
      </c>
      <c r="J97" s="72">
        <f ca="1">IF(J$4&lt;Assumptions!$B$335, 0, IFERROR(MEDIAN(0,(Assumptions!$B$336-J96)/(Assumptions!$B$336-Assumptions!$B$337),1),0))</f>
        <v>0.74459770025099181</v>
      </c>
      <c r="K97" s="72">
        <f ca="1">IF(K$4&lt;Assumptions!$B$335, 0, IFERROR(MEDIAN(0,(Assumptions!$B$336-K96)/(Assumptions!$B$336-Assumptions!$B$337),1),0))</f>
        <v>1</v>
      </c>
      <c r="L97" s="72">
        <f ca="1">IF(L$4&lt;Assumptions!$B$335, 0, IFERROR(MEDIAN(0,(Assumptions!$B$336-L96)/(Assumptions!$B$336-Assumptions!$B$337),1),0))</f>
        <v>0</v>
      </c>
      <c r="M97" s="72">
        <f ca="1">IF(M$4&lt;Assumptions!$B$335, 0, IFERROR(MEDIAN(0,(Assumptions!$B$336-M96)/(Assumptions!$B$336-Assumptions!$B$337),1),0))</f>
        <v>2.7044701538787574E-2</v>
      </c>
      <c r="N97" s="72">
        <f ca="1">IF(N$4&lt;Assumptions!$B$335, 0, IFERROR(MEDIAN(0,(Assumptions!$B$336-N96)/(Assumptions!$B$336-Assumptions!$B$337),1),0))</f>
        <v>2.2229642334986588E-2</v>
      </c>
      <c r="O97" s="72">
        <f ca="1">IF(O$4&lt;Assumptions!$B$335, 0, IFERROR(MEDIAN(0,(Assumptions!$B$336-O96)/(Assumptions!$B$336-Assumptions!$B$337),1),0))</f>
        <v>8.5503122254695363E-2</v>
      </c>
      <c r="P97" s="72">
        <f ca="1">IF(P$4&lt;Assumptions!$B$335, 0, IFERROR(MEDIAN(0,(Assumptions!$B$336-P96)/(Assumptions!$B$336-Assumptions!$B$337),1),0))</f>
        <v>0.21775657580672125</v>
      </c>
      <c r="Q97" s="72">
        <f ca="1">IF(Q$4&lt;Assumptions!$B$335, 0, IFERROR(MEDIAN(0,(Assumptions!$B$336-Q96)/(Assumptions!$B$336-Assumptions!$B$337),1),0))</f>
        <v>0.38993800367783005</v>
      </c>
      <c r="R97" s="72">
        <f ca="1">IF(R$4&lt;Assumptions!$B$335, 0, IFERROR(MEDIAN(0,(Assumptions!$B$336-R96)/(Assumptions!$B$336-Assumptions!$B$337),1),0))</f>
        <v>0.45585535700776392</v>
      </c>
      <c r="S97" s="72">
        <f ca="1">IF(S$4&lt;Assumptions!$B$335, 0, IFERROR(MEDIAN(0,(Assumptions!$B$336-S96)/(Assumptions!$B$336-Assumptions!$B$337),1),0))</f>
        <v>0.54629312674117447</v>
      </c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29">
      <c r="A98" s="5" t="s">
        <v>1326</v>
      </c>
      <c r="B98" s="3"/>
      <c r="C98" s="3"/>
      <c r="D98" s="110">
        <f>Assumptions!$B$11</f>
        <v>0.15</v>
      </c>
      <c r="E98" s="110">
        <f>Assumptions!$B$11 + E97*(Assumptions!$B$338-Assumptions!$B$11)</f>
        <v>0.15</v>
      </c>
      <c r="F98" s="110">
        <f>Assumptions!$B$11 + F97*(Assumptions!$B$338-Assumptions!$B$11)</f>
        <v>0.15</v>
      </c>
      <c r="G98" s="110">
        <f>Assumptions!$B$11 + G97*(Assumptions!$B$338-Assumptions!$B$11)</f>
        <v>0.15</v>
      </c>
      <c r="H98" s="110">
        <f>Assumptions!$B$11 + H97*(Assumptions!$B$338-Assumptions!$B$11)</f>
        <v>0.15</v>
      </c>
      <c r="I98" s="110">
        <f ca="1">Assumptions!$B$11 + I97*(Assumptions!$B$338-Assumptions!$B$11)</f>
        <v>0.28572043381607726</v>
      </c>
      <c r="J98" s="110">
        <f ca="1">Assumptions!$B$11 + J97*(Assumptions!$B$338-Assumptions!$B$11)</f>
        <v>0.29891954005019838</v>
      </c>
      <c r="K98" s="110">
        <f ca="1">Assumptions!$B$11 + K97*(Assumptions!$B$338-Assumptions!$B$11)</f>
        <v>0.35</v>
      </c>
      <c r="L98" s="110">
        <f ca="1">Assumptions!$B$11 + L97*(Assumptions!$B$338-Assumptions!$B$11)</f>
        <v>0.15</v>
      </c>
      <c r="M98" s="110">
        <f ca="1">Assumptions!$B$11 + M97*(Assumptions!$B$338-Assumptions!$B$11)</f>
        <v>0.15540894030775751</v>
      </c>
      <c r="N98" s="110">
        <f ca="1">Assumptions!$B$11 + N97*(Assumptions!$B$338-Assumptions!$B$11)</f>
        <v>0.15444592846699731</v>
      </c>
      <c r="O98" s="110">
        <f ca="1">Assumptions!$B$11 + O97*(Assumptions!$B$338-Assumptions!$B$11)</f>
        <v>0.16710062445093907</v>
      </c>
      <c r="P98" s="110">
        <f ca="1">Assumptions!$B$11 + P97*(Assumptions!$B$338-Assumptions!$B$11)</f>
        <v>0.19355131516134425</v>
      </c>
      <c r="Q98" s="110">
        <f ca="1">Assumptions!$B$11 + Q97*(Assumptions!$B$338-Assumptions!$B$11)</f>
        <v>0.22798760073556601</v>
      </c>
      <c r="R98" s="110">
        <f ca="1">Assumptions!$B$11 + R97*(Assumptions!$B$338-Assumptions!$B$11)</f>
        <v>0.24117107140155275</v>
      </c>
      <c r="S98" s="110">
        <f ca="1">Assumptions!$B$11 + S97*(Assumptions!$B$338-Assumptions!$B$11)</f>
        <v>0.25925862534823485</v>
      </c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29">
      <c r="A99" s="5" t="s">
        <v>1327</v>
      </c>
      <c r="B99" s="3"/>
      <c r="C99" s="3"/>
      <c r="D99" s="70">
        <f>IFERROR(Starlink!D38 * Starlink!D161, 0)</f>
        <v>0</v>
      </c>
      <c r="E99" s="70">
        <f>IFERROR(Starlink!E38 * Starlink!E161, 0)</f>
        <v>0</v>
      </c>
      <c r="F99" s="70">
        <f ca="1">IFERROR(Starlink!F38 * Starlink!F161, 0)</f>
        <v>498572672</v>
      </c>
      <c r="G99" s="70">
        <f ca="1">IFERROR(Starlink!G38 * Starlink!G161, 0)</f>
        <v>490738965.11334646</v>
      </c>
      <c r="H99" s="70">
        <f ca="1">IFERROR(Starlink!H38 * Starlink!H161, 0)</f>
        <v>472180349.72880137</v>
      </c>
      <c r="I99" s="70">
        <f ca="1">IFERROR(Starlink!I38 * Starlink!I161, 0)</f>
        <v>424587322.18596011</v>
      </c>
      <c r="J99" s="70">
        <f ca="1">IFERROR(Starlink!J38 * Starlink!J161, 0)</f>
        <v>394801188.14714831</v>
      </c>
      <c r="K99" s="70">
        <f ca="1">IFERROR(Starlink!K38 * Starlink!K161, 0)</f>
        <v>337506408.01019883</v>
      </c>
      <c r="L99" s="70">
        <f ca="1">IFERROR(Starlink!L38 * Starlink!L161, 0)</f>
        <v>312539997.23320109</v>
      </c>
      <c r="M99" s="70">
        <f ca="1">IFERROR(Starlink!M38 * Starlink!M161, 0)</f>
        <v>321636959.13073313</v>
      </c>
      <c r="N99" s="70">
        <f ca="1">IFERROR(Starlink!N38 * Starlink!N161, 0)</f>
        <v>324015868.47049451</v>
      </c>
      <c r="O99" s="70">
        <f ca="1">IFERROR(Starlink!O38 * Starlink!O161, 0)</f>
        <v>269206169.70485008</v>
      </c>
      <c r="P99" s="70">
        <f ca="1">IFERROR(Starlink!P38 * Starlink!P161, 0)</f>
        <v>179655886.19020361</v>
      </c>
      <c r="Q99" s="70">
        <f ca="1">IFERROR(Starlink!Q38 * Starlink!Q161, 0)</f>
        <v>108814101.67772532</v>
      </c>
      <c r="R99" s="70">
        <f ca="1">IFERROR(Starlink!R38 * Starlink!R161, 0)</f>
        <v>57891060.112696707</v>
      </c>
      <c r="S99" s="70">
        <f ca="1">IFERROR(Starlink!S38 * Starlink!S161, 0)</f>
        <v>71543352.050062299</v>
      </c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29">
      <c r="A100" s="5" t="s">
        <v>1328</v>
      </c>
      <c r="B100" s="3"/>
      <c r="C100" s="3"/>
      <c r="D100" s="70">
        <f>IFERROR(('Customer Launch'!D36 + 'Customer Launch'!D37) * 'Customer Launch'!D18 * 'Vehicle Build'!D44, 0)</f>
        <v>0</v>
      </c>
      <c r="E100" s="70">
        <f>IFERROR(('Customer Launch'!E36 + 'Customer Launch'!E37) * 'Customer Launch'!E18 * 'Vehicle Build'!E44, 0)</f>
        <v>0</v>
      </c>
      <c r="F100" s="70">
        <f>IFERROR(('Customer Launch'!F36 + 'Customer Launch'!F37) * 'Customer Launch'!F18 * 'Vehicle Build'!F44, 0)</f>
        <v>0</v>
      </c>
      <c r="G100" s="70">
        <f>IFERROR(('Customer Launch'!G36 + 'Customer Launch'!G37) * 'Customer Launch'!G18 * 'Vehicle Build'!G44, 0)</f>
        <v>2520582.5072531323</v>
      </c>
      <c r="H100" s="70">
        <f>IFERROR(('Customer Launch'!H36 + 'Customer Launch'!H37) * 'Customer Launch'!H18 * 'Vehicle Build'!H44, 0)</f>
        <v>7739300.7629407514</v>
      </c>
      <c r="I100" s="70">
        <f>IFERROR(('Customer Launch'!I36 + 'Customer Launch'!I37) * 'Customer Launch'!I18 * 'Vehicle Build'!I44, 0)</f>
        <v>21445264.403498992</v>
      </c>
      <c r="J100" s="70">
        <f>IFERROR(('Customer Launch'!J36 + 'Customer Launch'!J37) * 'Customer Launch'!J18 * 'Vehicle Build'!J44, 0)</f>
        <v>39215141.858290501</v>
      </c>
      <c r="K100" s="70">
        <f>IFERROR(('Customer Launch'!K36 + 'Customer Launch'!K37) * 'Customer Launch'!K18 * 'Vehicle Build'!K44, 0)</f>
        <v>55162151.824829675</v>
      </c>
      <c r="L100" s="70">
        <f>IFERROR(('Customer Launch'!L36 + 'Customer Launch'!L37) * 'Customer Launch'!L18 * 'Vehicle Build'!L44, 0)</f>
        <v>66797626.972371116</v>
      </c>
      <c r="M100" s="70">
        <f>IFERROR(('Customer Launch'!M36 + 'Customer Launch'!M37) * 'Customer Launch'!M18 * 'Vehicle Build'!M44, 0)</f>
        <v>75187568.680376709</v>
      </c>
      <c r="N100" s="70">
        <f>IFERROR(('Customer Launch'!N36 + 'Customer Launch'!N37) * 'Customer Launch'!N18 * 'Vehicle Build'!N44, 0)</f>
        <v>82119466.795841008</v>
      </c>
      <c r="O100" s="70">
        <f>IFERROR(('Customer Launch'!O36 + 'Customer Launch'!O37) * 'Customer Launch'!O18 * 'Vehicle Build'!O44, 0)</f>
        <v>88671067.84442912</v>
      </c>
      <c r="P100" s="70">
        <f>IFERROR(('Customer Launch'!P36 + 'Customer Launch'!P37) * 'Customer Launch'!P18 * 'Vehicle Build'!P44, 0)</f>
        <v>95354059.40805316</v>
      </c>
      <c r="Q100" s="70">
        <f>IFERROR(('Customer Launch'!Q36 + 'Customer Launch'!Q37) * 'Customer Launch'!Q18 * 'Vehicle Build'!Q44, 0)</f>
        <v>102404050.00394437</v>
      </c>
      <c r="R100" s="70">
        <f>IFERROR(('Customer Launch'!R36 + 'Customer Launch'!R37) * 'Customer Launch'!R18 * 'Vehicle Build'!R44, 0)</f>
        <v>109940958.86379299</v>
      </c>
      <c r="S100" s="70">
        <f>IFERROR(('Customer Launch'!S36 + 'Customer Launch'!S37) * 'Customer Launch'!S18 * 'Vehicle Build'!S44, 0)</f>
        <v>118039861.54691815</v>
      </c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29">
      <c r="A101" s="5" t="s">
        <v>1329</v>
      </c>
      <c r="B101" s="3"/>
      <c r="C101" s="3"/>
      <c r="D101" s="70">
        <f ca="1">IFERROR('AI - Compute'!D32 * 'AI - Compute'!D26, 0)</f>
        <v>29529658.519656353</v>
      </c>
      <c r="E101" s="70">
        <f ca="1">IFERROR('AI - Compute'!E32 * 'AI - Compute'!E26, 0)</f>
        <v>34238621.88016355</v>
      </c>
      <c r="F101" s="70">
        <f ca="1">IFERROR('AI - Compute'!F32 * 'AI - Compute'!F26, 0)</f>
        <v>39852469.651219949</v>
      </c>
      <c r="G101" s="70">
        <f ca="1">IFERROR('AI - Compute'!G32 * 'AI - Compute'!G26, 0)</f>
        <v>46524700.852636851</v>
      </c>
      <c r="H101" s="70">
        <f ca="1">IFERROR('AI - Compute'!H32 * 'AI - Compute'!H26, 0)</f>
        <v>52710697.540412709</v>
      </c>
      <c r="I101" s="70">
        <f ca="1">IFERROR('AI - Compute'!I32 * 'AI - Compute'!I26, 0)</f>
        <v>56035609.797379062</v>
      </c>
      <c r="J101" s="70">
        <f ca="1">IFERROR('AI - Compute'!J32 * 'AI - Compute'!J26, 0)</f>
        <v>51504751.157255575</v>
      </c>
      <c r="K101" s="70">
        <f ca="1">IFERROR('AI - Compute'!K32 * 'AI - Compute'!K26, 0)</f>
        <v>32151236.263311077</v>
      </c>
      <c r="L101" s="70">
        <f ca="1">IFERROR('AI - Compute'!L32 * 'AI - Compute'!L26, 0)</f>
        <v>19775941.981744822</v>
      </c>
      <c r="M101" s="70">
        <f ca="1">IFERROR('AI - Compute'!M32 * 'AI - Compute'!M26, 0)</f>
        <v>27461483.779545944</v>
      </c>
      <c r="N101" s="70">
        <f ca="1">IFERROR('AI - Compute'!N32 * 'AI - Compute'!N26, 0)</f>
        <v>40452303.779511757</v>
      </c>
      <c r="O101" s="70">
        <f ca="1">IFERROR('AI - Compute'!O32 * 'AI - Compute'!O26, 0)</f>
        <v>61565752.855125733</v>
      </c>
      <c r="P101" s="70">
        <f ca="1">IFERROR('AI - Compute'!P32 * 'AI - Compute'!P26, 0)</f>
        <v>67618898.202513233</v>
      </c>
      <c r="Q101" s="70">
        <f ca="1">IFERROR('AI - Compute'!Q32 * 'AI - Compute'!Q26, 0)</f>
        <v>65856635.756853767</v>
      </c>
      <c r="R101" s="70">
        <f ca="1">IFERROR('AI - Compute'!R32 * 'AI - Compute'!R26, 0)</f>
        <v>85793663.150248677</v>
      </c>
      <c r="S101" s="70">
        <f ca="1">IFERROR('AI - Compute'!S32 * 'AI - Compute'!S26, 0)</f>
        <v>116041833.19738825</v>
      </c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29">
      <c r="A102" s="78" t="s">
        <v>1330</v>
      </c>
      <c r="B102" s="78"/>
      <c r="C102" s="78"/>
      <c r="D102" s="81">
        <f t="shared" ref="D102:S102" ca="1" si="26">D99 + D100 + D101</f>
        <v>29529658.519656353</v>
      </c>
      <c r="E102" s="81">
        <f t="shared" ca="1" si="26"/>
        <v>34238621.88016355</v>
      </c>
      <c r="F102" s="81">
        <f t="shared" ca="1" si="26"/>
        <v>538425141.65121996</v>
      </c>
      <c r="G102" s="81">
        <f t="shared" ca="1" si="26"/>
        <v>539784248.47323644</v>
      </c>
      <c r="H102" s="81">
        <f t="shared" ca="1" si="26"/>
        <v>532630348.03215486</v>
      </c>
      <c r="I102" s="81">
        <f t="shared" ca="1" si="26"/>
        <v>502068196.3868382</v>
      </c>
      <c r="J102" s="81">
        <f t="shared" ca="1" si="26"/>
        <v>485521081.16269439</v>
      </c>
      <c r="K102" s="81">
        <f t="shared" ca="1" si="26"/>
        <v>424819796.09833962</v>
      </c>
      <c r="L102" s="81">
        <f t="shared" ca="1" si="26"/>
        <v>399113566.18731701</v>
      </c>
      <c r="M102" s="81">
        <f t="shared" ca="1" si="26"/>
        <v>424286011.5906558</v>
      </c>
      <c r="N102" s="81">
        <f t="shared" ca="1" si="26"/>
        <v>446587639.04584724</v>
      </c>
      <c r="O102" s="81">
        <f t="shared" ca="1" si="26"/>
        <v>419442990.40440494</v>
      </c>
      <c r="P102" s="81">
        <f t="shared" ca="1" si="26"/>
        <v>342628843.80076998</v>
      </c>
      <c r="Q102" s="81">
        <f t="shared" ca="1" si="26"/>
        <v>277074787.43852347</v>
      </c>
      <c r="R102" s="81">
        <f t="shared" ca="1" si="26"/>
        <v>253625682.12673837</v>
      </c>
      <c r="S102" s="81">
        <f t="shared" ca="1" si="26"/>
        <v>305625046.79436868</v>
      </c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spans="1:29">
      <c r="A103" s="13" t="s">
        <v>1331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29">
      <c r="A104" s="5" t="s">
        <v>1332</v>
      </c>
      <c r="B104" s="3"/>
      <c r="C104" s="3"/>
      <c r="D104" s="70">
        <f ca="1">'Facilities Build'!D63</f>
        <v>0</v>
      </c>
      <c r="E104" s="70">
        <f ca="1">'Facilities Build'!E63</f>
        <v>11613.458333333334</v>
      </c>
      <c r="F104" s="70">
        <f ca="1">'Facilities Build'!F63</f>
        <v>11613.458333333334</v>
      </c>
      <c r="G104" s="70">
        <f ca="1">'Facilities Build'!G63</f>
        <v>11613.458333333334</v>
      </c>
      <c r="H104" s="70">
        <f ca="1">'Facilities Build'!H63</f>
        <v>0</v>
      </c>
      <c r="I104" s="70">
        <f ca="1">'Facilities Build'!I63</f>
        <v>0</v>
      </c>
      <c r="J104" s="70">
        <f ca="1">'Facilities Build'!J63</f>
        <v>0</v>
      </c>
      <c r="K104" s="70">
        <f ca="1">'Facilities Build'!K63</f>
        <v>0</v>
      </c>
      <c r="L104" s="70">
        <f ca="1">'Facilities Build'!L63</f>
        <v>0</v>
      </c>
      <c r="M104" s="70">
        <f ca="1">'Facilities Build'!M63</f>
        <v>0</v>
      </c>
      <c r="N104" s="70">
        <f ca="1">'Facilities Build'!N63</f>
        <v>0</v>
      </c>
      <c r="O104" s="70">
        <f ca="1">'Facilities Build'!O63</f>
        <v>0</v>
      </c>
      <c r="P104" s="70">
        <f ca="1">'Facilities Build'!P63</f>
        <v>0</v>
      </c>
      <c r="Q104" s="70">
        <f ca="1">'Facilities Build'!Q63</f>
        <v>0</v>
      </c>
      <c r="R104" s="70">
        <f ca="1">'Facilities Build'!R63</f>
        <v>0</v>
      </c>
      <c r="S104" s="70">
        <f ca="1">'Facilities Build'!S63</f>
        <v>11613.458333333334</v>
      </c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29">
      <c r="A105" s="5" t="s">
        <v>1333</v>
      </c>
      <c r="B105" s="3"/>
      <c r="C105" s="3"/>
      <c r="D105" s="18">
        <v>0</v>
      </c>
      <c r="E105" s="70">
        <f>IF(E$4&lt;=Assumptions!$B$362, MIN( MAX(0, Assumptions!$B$359 - (D56 + E9 + D55)), MAX(0, Assumptions!$B$357 - D108) ), 0)</f>
        <v>0</v>
      </c>
      <c r="F105" s="70">
        <f ca="1">IF(F$4&lt;=Assumptions!$B$362, MIN( MAX(0, Assumptions!$B$359 - (E56 + F9 + E55)), MAX(0, Assumptions!$B$357 - E108) ), 0)</f>
        <v>0</v>
      </c>
      <c r="G105" s="70">
        <f ca="1">IF(G$4&lt;=Assumptions!$B$362, MIN( MAX(0, Assumptions!$B$359 - (F56 + G9 + F55)), MAX(0, Assumptions!$B$357 - F108) ), 0)</f>
        <v>0</v>
      </c>
      <c r="H105" s="70">
        <f ca="1">IF(H$4&lt;=Assumptions!$B$362, MIN( MAX(0, Assumptions!$B$359 - (G56 + H9 + G55)), MAX(0, Assumptions!$B$357 - G108) ), 0)</f>
        <v>0</v>
      </c>
      <c r="I105" s="70">
        <f ca="1">IF(I$4&lt;=Assumptions!$B$362, MIN( MAX(0, Assumptions!$B$359 - (H56 + I9 + H55)), MAX(0, Assumptions!$B$357 - H108) ), 0)</f>
        <v>0</v>
      </c>
      <c r="J105" s="70">
        <f>IF(J$4&lt;=Assumptions!$B$362, MIN( MAX(0, Assumptions!$B$359 - (I56 + J9 + I55)), MAX(0, Assumptions!$B$357 - I108) ), 0)</f>
        <v>0</v>
      </c>
      <c r="K105" s="70">
        <f>IF(K$4&lt;=Assumptions!$B$362, MIN( MAX(0, Assumptions!$B$359 - (J56 + K9 + J55)), MAX(0, Assumptions!$B$357 - J108) ), 0)</f>
        <v>0</v>
      </c>
      <c r="L105" s="70">
        <f>IF(L$4&lt;=Assumptions!$B$362, MIN( MAX(0, Assumptions!$B$359 - (K56 + L9 + K55)), MAX(0, Assumptions!$B$357 - K108) ), 0)</f>
        <v>0</v>
      </c>
      <c r="M105" s="70">
        <f>IF(M$4&lt;=Assumptions!$B$362, MIN( MAX(0, Assumptions!$B$359 - (L56 + M9 + L55)), MAX(0, Assumptions!$B$357 - L108) ), 0)</f>
        <v>0</v>
      </c>
      <c r="N105" s="70">
        <f>IF(N$4&lt;=Assumptions!$B$362, MIN( MAX(0, Assumptions!$B$359 - (M56 + N9 + M55)), MAX(0, Assumptions!$B$357 - M108) ), 0)</f>
        <v>0</v>
      </c>
      <c r="O105" s="70">
        <f>IF(O$4&lt;=Assumptions!$B$362, MIN( MAX(0, Assumptions!$B$359 - (N56 + O9 + N55)), MAX(0, Assumptions!$B$357 - N108) ), 0)</f>
        <v>0</v>
      </c>
      <c r="P105" s="70">
        <f>IF(P$4&lt;=Assumptions!$B$362, MIN( MAX(0, Assumptions!$B$359 - (O56 + P9 + O55)), MAX(0, Assumptions!$B$357 - O108) ), 0)</f>
        <v>0</v>
      </c>
      <c r="Q105" s="70">
        <f>IF(Q$4&lt;=Assumptions!$B$362, MIN( MAX(0, Assumptions!$B$359 - (P56 + Q9 + P55)), MAX(0, Assumptions!$B$357 - P108) ), 0)</f>
        <v>0</v>
      </c>
      <c r="R105" s="70">
        <f>IF(R$4&lt;=Assumptions!$B$362, MIN( MAX(0, Assumptions!$B$359 - (Q56 + R9 + Q55)), MAX(0, Assumptions!$B$357 - Q108) ), 0)</f>
        <v>0</v>
      </c>
      <c r="S105" s="70">
        <f>IF(S$4&lt;=Assumptions!$B$362, MIN( MAX(0, Assumptions!$B$359 - (R56 + S9 + R55)), MAX(0, Assumptions!$B$357 - R108) ), 0)</f>
        <v>0</v>
      </c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29">
      <c r="A106" s="5" t="s">
        <v>1334</v>
      </c>
      <c r="B106" s="3"/>
      <c r="C106" s="3"/>
      <c r="D106" s="18">
        <v>0</v>
      </c>
      <c r="E106" s="70">
        <f>D108*Assumptions!$B$358</f>
        <v>0</v>
      </c>
      <c r="F106" s="70">
        <f>E108*Assumptions!$B$358</f>
        <v>0</v>
      </c>
      <c r="G106" s="70">
        <f ca="1">F108*Assumptions!$B$358</f>
        <v>0</v>
      </c>
      <c r="H106" s="70">
        <f ca="1">G108*Assumptions!$B$358</f>
        <v>0</v>
      </c>
      <c r="I106" s="70">
        <f ca="1">H108*Assumptions!$B$358</f>
        <v>0</v>
      </c>
      <c r="J106" s="70">
        <f ca="1">I108*Assumptions!$B$358</f>
        <v>0</v>
      </c>
      <c r="K106" s="70">
        <f ca="1">J108*Assumptions!$B$358</f>
        <v>0</v>
      </c>
      <c r="L106" s="70">
        <f ca="1">K108*Assumptions!$B$358</f>
        <v>0</v>
      </c>
      <c r="M106" s="70">
        <f ca="1">L108*Assumptions!$B$358</f>
        <v>0</v>
      </c>
      <c r="N106" s="70">
        <f ca="1">M108*Assumptions!$B$358</f>
        <v>0</v>
      </c>
      <c r="O106" s="70">
        <f ca="1">N108*Assumptions!$B$358</f>
        <v>0</v>
      </c>
      <c r="P106" s="70">
        <f ca="1">O108*Assumptions!$B$358</f>
        <v>0</v>
      </c>
      <c r="Q106" s="70">
        <f ca="1">P108*Assumptions!$B$358</f>
        <v>0</v>
      </c>
      <c r="R106" s="70">
        <f ca="1">Q108*Assumptions!$B$358</f>
        <v>0</v>
      </c>
      <c r="S106" s="70">
        <f ca="1">R108*Assumptions!$B$358</f>
        <v>0</v>
      </c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29">
      <c r="A107" s="5" t="s">
        <v>1335</v>
      </c>
      <c r="B107" s="3"/>
      <c r="C107" s="3"/>
      <c r="D107" s="18">
        <v>0</v>
      </c>
      <c r="E107" s="70">
        <f>MIN( D108 + E105, MAX( Assumptions!$B$360*MAX(0, D55 - Assumptions!$B$359), IF(E$4&lt;=Assumptions!$B$361, D108/MAX(1, Assumptions!$B$361 - E$4 + 1), D108) ) )</f>
        <v>0</v>
      </c>
      <c r="F107" s="70">
        <f ca="1">MIN( E108 + F105, MAX( Assumptions!$B$360*MAX(0, E55 - Assumptions!$B$359), IF(F$4&lt;=Assumptions!$B$361, E108/MAX(1, Assumptions!$B$361 - F$4 + 1), E108) ) )</f>
        <v>0</v>
      </c>
      <c r="G107" s="70">
        <f ca="1">MIN( F108 + G105, MAX( Assumptions!$B$360*MAX(0, F55 - Assumptions!$B$359), IF(G$4&lt;=Assumptions!$B$361, F108/MAX(1, Assumptions!$B$361 - G$4 + 1), F108) ) )</f>
        <v>0</v>
      </c>
      <c r="H107" s="70">
        <f ca="1">MIN( G108 + H105, MAX( Assumptions!$B$360*MAX(0, G55 - Assumptions!$B$359), IF(H$4&lt;=Assumptions!$B$361, G108/MAX(1, Assumptions!$B$361 - H$4 + 1), G108) ) )</f>
        <v>0</v>
      </c>
      <c r="I107" s="70">
        <f ca="1">MIN( H108 + I105, MAX( Assumptions!$B$360*MAX(0, H55 - Assumptions!$B$359), IF(I$4&lt;=Assumptions!$B$361, H108/MAX(1, Assumptions!$B$361 - I$4 + 1), H108) ) )</f>
        <v>0</v>
      </c>
      <c r="J107" s="70">
        <f ca="1">MIN( I108 + J105, MAX( Assumptions!$B$360*MAX(0, I55 - Assumptions!$B$359), IF(J$4&lt;=Assumptions!$B$361, I108/MAX(1, Assumptions!$B$361 - J$4 + 1), I108) ) )</f>
        <v>0</v>
      </c>
      <c r="K107" s="70">
        <f ca="1">MIN( J108 + K105, MAX( Assumptions!$B$360*MAX(0, J55 - Assumptions!$B$359), IF(K$4&lt;=Assumptions!$B$361, J108/MAX(1, Assumptions!$B$361 - K$4 + 1), J108) ) )</f>
        <v>0</v>
      </c>
      <c r="L107" s="70">
        <f ca="1">MIN( K108 + L105, MAX( Assumptions!$B$360*MAX(0, K55 - Assumptions!$B$359), IF(L$4&lt;=Assumptions!$B$361, K108/MAX(1, Assumptions!$B$361 - L$4 + 1), K108) ) )</f>
        <v>0</v>
      </c>
      <c r="M107" s="70">
        <f ca="1">MIN( L108 + M105, MAX( Assumptions!$B$360*MAX(0, L55 - Assumptions!$B$359), IF(M$4&lt;=Assumptions!$B$361, L108/MAX(1, Assumptions!$B$361 - M$4 + 1), L108) ) )</f>
        <v>0</v>
      </c>
      <c r="N107" s="70">
        <f ca="1">MIN( M108 + N105, MAX( Assumptions!$B$360*MAX(0, M55 - Assumptions!$B$359), IF(N$4&lt;=Assumptions!$B$361, M108/MAX(1, Assumptions!$B$361 - N$4 + 1), M108) ) )</f>
        <v>0</v>
      </c>
      <c r="O107" s="70">
        <f ca="1">MIN( N108 + O105, MAX( Assumptions!$B$360*MAX(0, N55 - Assumptions!$B$359), IF(O$4&lt;=Assumptions!$B$361, N108/MAX(1, Assumptions!$B$361 - O$4 + 1), N108) ) )</f>
        <v>0</v>
      </c>
      <c r="P107" s="70">
        <f ca="1">MIN( O108 + P105, MAX( Assumptions!$B$360*MAX(0, O55 - Assumptions!$B$359), IF(P$4&lt;=Assumptions!$B$361, O108/MAX(1, Assumptions!$B$361 - P$4 + 1), O108) ) )</f>
        <v>0</v>
      </c>
      <c r="Q107" s="70">
        <f ca="1">MIN( P108 + Q105, MAX( Assumptions!$B$360*MAX(0, P55 - Assumptions!$B$359), IF(Q$4&lt;=Assumptions!$B$361, P108/MAX(1, Assumptions!$B$361 - Q$4 + 1), P108) ) )</f>
        <v>0</v>
      </c>
      <c r="R107" s="70">
        <f ca="1">MIN( Q108 + R105, MAX( Assumptions!$B$360*MAX(0, Q55 - Assumptions!$B$359), IF(R$4&lt;=Assumptions!$B$361, Q108/MAX(1, Assumptions!$B$361 - R$4 + 1), Q108) ) )</f>
        <v>0</v>
      </c>
      <c r="S107" s="70">
        <f ca="1">MIN( R108 + S105, MAX( Assumptions!$B$360*MAX(0, R55 - Assumptions!$B$359), IF(S$4&lt;=Assumptions!$B$361, R108/MAX(1, Assumptions!$B$361 - S$4 + 1), R108) ) )</f>
        <v>0</v>
      </c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29">
      <c r="A108" s="5" t="s">
        <v>1336</v>
      </c>
      <c r="B108" s="3"/>
      <c r="C108" s="3"/>
      <c r="D108" s="18">
        <v>0</v>
      </c>
      <c r="E108" s="29">
        <f t="shared" ref="E108:S108" si="27">D108 + E105 - E107</f>
        <v>0</v>
      </c>
      <c r="F108" s="29">
        <f t="shared" ca="1" si="27"/>
        <v>0</v>
      </c>
      <c r="G108" s="29">
        <f t="shared" ca="1" si="27"/>
        <v>0</v>
      </c>
      <c r="H108" s="29">
        <f t="shared" ca="1" si="27"/>
        <v>0</v>
      </c>
      <c r="I108" s="29">
        <f t="shared" ca="1" si="27"/>
        <v>0</v>
      </c>
      <c r="J108" s="29">
        <f t="shared" ca="1" si="27"/>
        <v>0</v>
      </c>
      <c r="K108" s="29">
        <f t="shared" ca="1" si="27"/>
        <v>0</v>
      </c>
      <c r="L108" s="29">
        <f t="shared" ca="1" si="27"/>
        <v>0</v>
      </c>
      <c r="M108" s="29">
        <f t="shared" ca="1" si="27"/>
        <v>0</v>
      </c>
      <c r="N108" s="29">
        <f t="shared" ca="1" si="27"/>
        <v>0</v>
      </c>
      <c r="O108" s="29">
        <f t="shared" ca="1" si="27"/>
        <v>0</v>
      </c>
      <c r="P108" s="29">
        <f t="shared" ca="1" si="27"/>
        <v>0</v>
      </c>
      <c r="Q108" s="29">
        <f t="shared" ca="1" si="27"/>
        <v>0</v>
      </c>
      <c r="R108" s="29">
        <f t="shared" ca="1" si="27"/>
        <v>0</v>
      </c>
      <c r="S108" s="29">
        <f t="shared" ca="1" si="27"/>
        <v>0</v>
      </c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spans="1:29">
      <c r="A109" s="5" t="s">
        <v>1337</v>
      </c>
      <c r="B109" s="3"/>
      <c r="C109" s="3"/>
      <c r="D109" s="18">
        <v>0</v>
      </c>
      <c r="E109" s="29">
        <f t="shared" ref="E109:S109" si="28">D109 + E105</f>
        <v>0</v>
      </c>
      <c r="F109" s="29">
        <f t="shared" ca="1" si="28"/>
        <v>0</v>
      </c>
      <c r="G109" s="29">
        <f t="shared" ca="1" si="28"/>
        <v>0</v>
      </c>
      <c r="H109" s="29">
        <f t="shared" ca="1" si="28"/>
        <v>0</v>
      </c>
      <c r="I109" s="29">
        <f t="shared" ca="1" si="28"/>
        <v>0</v>
      </c>
      <c r="J109" s="29">
        <f t="shared" ca="1" si="28"/>
        <v>0</v>
      </c>
      <c r="K109" s="29">
        <f t="shared" ca="1" si="28"/>
        <v>0</v>
      </c>
      <c r="L109" s="29">
        <f t="shared" ca="1" si="28"/>
        <v>0</v>
      </c>
      <c r="M109" s="29">
        <f t="shared" ca="1" si="28"/>
        <v>0</v>
      </c>
      <c r="N109" s="29">
        <f t="shared" ca="1" si="28"/>
        <v>0</v>
      </c>
      <c r="O109" s="29">
        <f t="shared" ca="1" si="28"/>
        <v>0</v>
      </c>
      <c r="P109" s="29">
        <f t="shared" ca="1" si="28"/>
        <v>0</v>
      </c>
      <c r="Q109" s="29">
        <f t="shared" ca="1" si="28"/>
        <v>0</v>
      </c>
      <c r="R109" s="29">
        <f t="shared" ca="1" si="28"/>
        <v>0</v>
      </c>
      <c r="S109" s="29">
        <f t="shared" ca="1" si="28"/>
        <v>0</v>
      </c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spans="1:29">
      <c r="A110" s="5" t="s">
        <v>1338</v>
      </c>
      <c r="B110" s="3"/>
      <c r="C110" s="3"/>
      <c r="D110" s="18">
        <v>0</v>
      </c>
      <c r="E110" s="29">
        <f t="shared" ref="E110:S110" si="29">D110 + E107</f>
        <v>0</v>
      </c>
      <c r="F110" s="29">
        <f t="shared" ca="1" si="29"/>
        <v>0</v>
      </c>
      <c r="G110" s="29">
        <f t="shared" ca="1" si="29"/>
        <v>0</v>
      </c>
      <c r="H110" s="29">
        <f t="shared" ca="1" si="29"/>
        <v>0</v>
      </c>
      <c r="I110" s="29">
        <f t="shared" ca="1" si="29"/>
        <v>0</v>
      </c>
      <c r="J110" s="29">
        <f t="shared" ca="1" si="29"/>
        <v>0</v>
      </c>
      <c r="K110" s="29">
        <f t="shared" ca="1" si="29"/>
        <v>0</v>
      </c>
      <c r="L110" s="29">
        <f t="shared" ca="1" si="29"/>
        <v>0</v>
      </c>
      <c r="M110" s="29">
        <f t="shared" ca="1" si="29"/>
        <v>0</v>
      </c>
      <c r="N110" s="29">
        <f t="shared" ca="1" si="29"/>
        <v>0</v>
      </c>
      <c r="O110" s="29">
        <f t="shared" ca="1" si="29"/>
        <v>0</v>
      </c>
      <c r="P110" s="29">
        <f t="shared" ca="1" si="29"/>
        <v>0</v>
      </c>
      <c r="Q110" s="29">
        <f t="shared" ca="1" si="29"/>
        <v>0</v>
      </c>
      <c r="R110" s="29">
        <f t="shared" ca="1" si="29"/>
        <v>0</v>
      </c>
      <c r="S110" s="29">
        <f t="shared" ca="1" si="29"/>
        <v>0</v>
      </c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spans="1:29">
      <c r="A111" s="5" t="s">
        <v>1339</v>
      </c>
      <c r="B111" s="3"/>
      <c r="C111" s="3"/>
      <c r="D111" s="134">
        <f>D109-D110-D108</f>
        <v>0</v>
      </c>
      <c r="E111" s="134">
        <f t="shared" ref="E111:S111" si="30">E109 - E110 - E108</f>
        <v>0</v>
      </c>
      <c r="F111" s="134">
        <f t="shared" ca="1" si="30"/>
        <v>0</v>
      </c>
      <c r="G111" s="134">
        <f t="shared" ca="1" si="30"/>
        <v>0</v>
      </c>
      <c r="H111" s="134">
        <f t="shared" ca="1" si="30"/>
        <v>0</v>
      </c>
      <c r="I111" s="134">
        <f t="shared" ca="1" si="30"/>
        <v>0</v>
      </c>
      <c r="J111" s="134">
        <f t="shared" ca="1" si="30"/>
        <v>0</v>
      </c>
      <c r="K111" s="134">
        <f t="shared" ca="1" si="30"/>
        <v>0</v>
      </c>
      <c r="L111" s="134">
        <f t="shared" ca="1" si="30"/>
        <v>0</v>
      </c>
      <c r="M111" s="134">
        <f t="shared" ca="1" si="30"/>
        <v>0</v>
      </c>
      <c r="N111" s="134">
        <f t="shared" ca="1" si="30"/>
        <v>0</v>
      </c>
      <c r="O111" s="134">
        <f t="shared" ca="1" si="30"/>
        <v>0</v>
      </c>
      <c r="P111" s="134">
        <f t="shared" ca="1" si="30"/>
        <v>0</v>
      </c>
      <c r="Q111" s="134">
        <f t="shared" ca="1" si="30"/>
        <v>0</v>
      </c>
      <c r="R111" s="134">
        <f t="shared" ca="1" si="30"/>
        <v>0</v>
      </c>
      <c r="S111" s="134">
        <f t="shared" ca="1" si="30"/>
        <v>0</v>
      </c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spans="1:29">
      <c r="A112" s="5" t="s">
        <v>1340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spans="1:29">
      <c r="A113" s="5" t="s">
        <v>1341</v>
      </c>
      <c r="B113" s="47"/>
      <c r="C113" s="47"/>
      <c r="D113" s="47"/>
      <c r="E113" s="47">
        <f t="shared" ref="E113:S113" ca="1" si="31">E35*E$25</f>
        <v>11576.945054439602</v>
      </c>
      <c r="F113" s="47">
        <f t="shared" ca="1" si="31"/>
        <v>44894.426961117926</v>
      </c>
      <c r="G113" s="47">
        <f t="shared" ca="1" si="31"/>
        <v>55054.863007167442</v>
      </c>
      <c r="H113" s="47">
        <f t="shared" ca="1" si="31"/>
        <v>63879.90112785063</v>
      </c>
      <c r="I113" s="47">
        <f t="shared" ca="1" si="31"/>
        <v>57540.586210858921</v>
      </c>
      <c r="J113" s="47">
        <f t="shared" ca="1" si="31"/>
        <v>55494.814490563986</v>
      </c>
      <c r="K113" s="47">
        <f t="shared" ca="1" si="31"/>
        <v>30190.238788987095</v>
      </c>
      <c r="L113" s="47">
        <f t="shared" ca="1" si="31"/>
        <v>12768.79502266963</v>
      </c>
      <c r="M113" s="47">
        <f t="shared" ca="1" si="31"/>
        <v>25678.532275622423</v>
      </c>
      <c r="N113" s="47">
        <f t="shared" ca="1" si="31"/>
        <v>35581.939044730199</v>
      </c>
      <c r="O113" s="47">
        <f t="shared" ca="1" si="31"/>
        <v>54302.806850121357</v>
      </c>
      <c r="P113" s="47">
        <f t="shared" ca="1" si="31"/>
        <v>73048.614638003943</v>
      </c>
      <c r="Q113" s="47">
        <f t="shared" ca="1" si="31"/>
        <v>103342.95254283145</v>
      </c>
      <c r="R113" s="47">
        <f t="shared" ca="1" si="31"/>
        <v>133184.26633776384</v>
      </c>
      <c r="S113" s="47">
        <f t="shared" ca="1" si="31"/>
        <v>165774.46051557435</v>
      </c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spans="1:29">
      <c r="A114" s="5" t="s">
        <v>1342</v>
      </c>
      <c r="B114" s="47"/>
      <c r="C114" s="47"/>
      <c r="D114" s="47"/>
      <c r="E114" s="47">
        <f t="shared" ref="E114:S114" ca="1" si="32">E36*E$25</f>
        <v>3537.237836340877</v>
      </c>
      <c r="F114" s="47">
        <f t="shared" ca="1" si="32"/>
        <v>15969.14945236436</v>
      </c>
      <c r="G114" s="47">
        <f t="shared" ca="1" si="32"/>
        <v>3398.3493438936662</v>
      </c>
      <c r="H114" s="47">
        <f t="shared" ca="1" si="32"/>
        <v>5326.3328767290714</v>
      </c>
      <c r="I114" s="47">
        <f t="shared" ca="1" si="32"/>
        <v>16479.73700236034</v>
      </c>
      <c r="J114" s="47">
        <f t="shared" ca="1" si="32"/>
        <v>26193.999276275285</v>
      </c>
      <c r="K114" s="47">
        <f t="shared" ca="1" si="32"/>
        <v>40157.04795755801</v>
      </c>
      <c r="L114" s="47">
        <f t="shared" ca="1" si="32"/>
        <v>212682.79669933501</v>
      </c>
      <c r="M114" s="47">
        <f t="shared" ca="1" si="32"/>
        <v>321451.48807056691</v>
      </c>
      <c r="N114" s="47">
        <f t="shared" ca="1" si="32"/>
        <v>380936.76314090798</v>
      </c>
      <c r="O114" s="47">
        <f t="shared" ca="1" si="32"/>
        <v>392055.34413980751</v>
      </c>
      <c r="P114" s="47">
        <f t="shared" ca="1" si="32"/>
        <v>329112.81950256904</v>
      </c>
      <c r="Q114" s="47">
        <f t="shared" ca="1" si="32"/>
        <v>246244.30430367569</v>
      </c>
      <c r="R114" s="47">
        <f t="shared" ca="1" si="32"/>
        <v>234007.97016396909</v>
      </c>
      <c r="S114" s="47">
        <f t="shared" ca="1" si="32"/>
        <v>196774.80571206741</v>
      </c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spans="1:29">
      <c r="A115" s="5" t="s">
        <v>1343</v>
      </c>
      <c r="B115" s="47"/>
      <c r="C115" s="47"/>
      <c r="D115" s="47"/>
      <c r="E115" s="47">
        <f t="shared" ref="E115:S115" ca="1" si="33">E37*E$25</f>
        <v>3537.237836340877</v>
      </c>
      <c r="F115" s="47">
        <f t="shared" ca="1" si="33"/>
        <v>15969.14945236436</v>
      </c>
      <c r="G115" s="47">
        <f t="shared" ca="1" si="33"/>
        <v>3393.9068903804446</v>
      </c>
      <c r="H115" s="47">
        <f t="shared" ca="1" si="33"/>
        <v>6101.2575028825004</v>
      </c>
      <c r="I115" s="47">
        <f t="shared" ca="1" si="33"/>
        <v>24747.575870416054</v>
      </c>
      <c r="J115" s="47">
        <f t="shared" ca="1" si="33"/>
        <v>54428.93423911908</v>
      </c>
      <c r="K115" s="47">
        <f t="shared" ca="1" si="33"/>
        <v>114919.93661262214</v>
      </c>
      <c r="L115" s="47">
        <f t="shared" ca="1" si="33"/>
        <v>18481.648259618098</v>
      </c>
      <c r="M115" s="47">
        <f t="shared" ca="1" si="33"/>
        <v>53896.526970744024</v>
      </c>
      <c r="N115" s="47">
        <f t="shared" ca="1" si="33"/>
        <v>80620.914222679465</v>
      </c>
      <c r="O115" s="47">
        <f t="shared" ca="1" si="33"/>
        <v>150722.5458016351</v>
      </c>
      <c r="P115" s="47">
        <f t="shared" ca="1" si="33"/>
        <v>280858.78226207575</v>
      </c>
      <c r="Q115" s="47">
        <f t="shared" ca="1" si="33"/>
        <v>495706.71700185974</v>
      </c>
      <c r="R115" s="47">
        <f t="shared" ca="1" si="33"/>
        <v>719816.12730111636</v>
      </c>
      <c r="S115" s="47">
        <f t="shared" ca="1" si="33"/>
        <v>1010678.2783825443</v>
      </c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spans="1:29">
      <c r="A116" s="5" t="s">
        <v>1344</v>
      </c>
      <c r="B116" s="47"/>
      <c r="C116" s="47"/>
      <c r="D116" s="47"/>
      <c r="E116" s="47">
        <f t="shared" ref="E116:S116" ca="1" si="34">MIN(E113,E64)</f>
        <v>11576.945054439602</v>
      </c>
      <c r="F116" s="47">
        <f t="shared" ca="1" si="34"/>
        <v>44894.426961117926</v>
      </c>
      <c r="G116" s="47">
        <f t="shared" ca="1" si="34"/>
        <v>55054.863007167442</v>
      </c>
      <c r="H116" s="47">
        <f t="shared" ca="1" si="34"/>
        <v>63879.90112785063</v>
      </c>
      <c r="I116" s="47">
        <f t="shared" ca="1" si="34"/>
        <v>57540.586210858921</v>
      </c>
      <c r="J116" s="47">
        <f t="shared" ca="1" si="34"/>
        <v>55494.814490563986</v>
      </c>
      <c r="K116" s="47">
        <f t="shared" ca="1" si="34"/>
        <v>30190.238788987095</v>
      </c>
      <c r="L116" s="47">
        <f t="shared" ca="1" si="34"/>
        <v>12768.79502266963</v>
      </c>
      <c r="M116" s="47">
        <f t="shared" ca="1" si="34"/>
        <v>25678.532275622423</v>
      </c>
      <c r="N116" s="47">
        <f t="shared" ca="1" si="34"/>
        <v>35581.939044730199</v>
      </c>
      <c r="O116" s="47">
        <f t="shared" ca="1" si="34"/>
        <v>54302.806850121357</v>
      </c>
      <c r="P116" s="47">
        <f t="shared" ca="1" si="34"/>
        <v>73048.614638003943</v>
      </c>
      <c r="Q116" s="47">
        <f t="shared" ca="1" si="34"/>
        <v>55818.529649959048</v>
      </c>
      <c r="R116" s="47">
        <f t="shared" ca="1" si="34"/>
        <v>29241.513342096157</v>
      </c>
      <c r="S116" s="47">
        <f t="shared" ca="1" si="34"/>
        <v>35740.835833827136</v>
      </c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spans="1:29">
      <c r="A117" s="5" t="s">
        <v>1345</v>
      </c>
      <c r="B117" s="47"/>
      <c r="C117" s="47"/>
      <c r="D117" s="47"/>
      <c r="E117" s="47">
        <f t="shared" ref="E117:S117" ca="1" si="35">MIN(E114,E65)</f>
        <v>900.78459459459452</v>
      </c>
      <c r="F117" s="47">
        <f t="shared" ca="1" si="35"/>
        <v>705.62165998167836</v>
      </c>
      <c r="G117" s="47">
        <f t="shared" ca="1" si="35"/>
        <v>663.32847657385526</v>
      </c>
      <c r="H117" s="47">
        <f t="shared" ca="1" si="35"/>
        <v>1258.8941454686951</v>
      </c>
      <c r="I117" s="47">
        <f t="shared" ca="1" si="35"/>
        <v>1231.1697007792723</v>
      </c>
      <c r="J117" s="47">
        <f t="shared" ca="1" si="35"/>
        <v>570.36499943713488</v>
      </c>
      <c r="K117" s="47">
        <f t="shared" ca="1" si="35"/>
        <v>2121.2190978006115</v>
      </c>
      <c r="L117" s="47">
        <f t="shared" ca="1" si="35"/>
        <v>862.06716064212981</v>
      </c>
      <c r="M117" s="47">
        <f t="shared" ca="1" si="35"/>
        <v>1001.9146449172931</v>
      </c>
      <c r="N117" s="47">
        <f t="shared" ca="1" si="35"/>
        <v>1182.0845901509697</v>
      </c>
      <c r="O117" s="47">
        <f t="shared" ca="1" si="35"/>
        <v>1977.4794976222788</v>
      </c>
      <c r="P117" s="47">
        <f t="shared" ca="1" si="35"/>
        <v>444.50037934505934</v>
      </c>
      <c r="Q117" s="47">
        <f t="shared" ca="1" si="35"/>
        <v>501.0013016058403</v>
      </c>
      <c r="R117" s="47">
        <f t="shared" ca="1" si="35"/>
        <v>616.9316660058347</v>
      </c>
      <c r="S117" s="47">
        <f t="shared" ca="1" si="35"/>
        <v>-19.772840194073638</v>
      </c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spans="1:29">
      <c r="A118" s="5" t="s">
        <v>1346</v>
      </c>
      <c r="B118" s="47"/>
      <c r="C118" s="47"/>
      <c r="D118" s="47"/>
      <c r="E118" s="47">
        <f t="shared" ref="E118:S118" ca="1" si="36">MIN(E115,E66)</f>
        <v>3537.237836340877</v>
      </c>
      <c r="F118" s="47">
        <f t="shared" ca="1" si="36"/>
        <v>15969.14945236436</v>
      </c>
      <c r="G118" s="47">
        <f t="shared" ca="1" si="36"/>
        <v>3393.9068903804446</v>
      </c>
      <c r="H118" s="47">
        <f t="shared" ca="1" si="36"/>
        <v>6101.2575028825004</v>
      </c>
      <c r="I118" s="47">
        <f t="shared" ca="1" si="36"/>
        <v>24747.575870416054</v>
      </c>
      <c r="J118" s="47">
        <f t="shared" ca="1" si="36"/>
        <v>54428.93423911908</v>
      </c>
      <c r="K118" s="47">
        <f t="shared" ca="1" si="36"/>
        <v>106575.87630019302</v>
      </c>
      <c r="L118" s="47">
        <f t="shared" ca="1" si="36"/>
        <v>18481.648259618098</v>
      </c>
      <c r="M118" s="47">
        <f t="shared" ca="1" si="36"/>
        <v>53896.526970744024</v>
      </c>
      <c r="N118" s="47">
        <f t="shared" ca="1" si="36"/>
        <v>80620.914222679465</v>
      </c>
      <c r="O118" s="47">
        <f t="shared" ca="1" si="36"/>
        <v>141095.95640653797</v>
      </c>
      <c r="P118" s="47">
        <f t="shared" ca="1" si="36"/>
        <v>160668.93322578201</v>
      </c>
      <c r="Q118" s="47">
        <f t="shared" ca="1" si="36"/>
        <v>155909.54435227823</v>
      </c>
      <c r="R118" s="47">
        <f t="shared" ca="1" si="36"/>
        <v>208822.03146653221</v>
      </c>
      <c r="S118" s="47">
        <f t="shared" ca="1" si="36"/>
        <v>285783.41128233407</v>
      </c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spans="1:29">
      <c r="A119" s="5" t="s">
        <v>1347</v>
      </c>
      <c r="B119" s="47"/>
      <c r="C119" s="47"/>
      <c r="D119" s="47"/>
      <c r="E119" s="47">
        <f t="shared" ref="E119:S119" ca="1" si="37">MAX(0, E$25 - E116 - E117 - E118)</f>
        <v>2636.4532417462824</v>
      </c>
      <c r="F119" s="47">
        <f t="shared" ca="1" si="37"/>
        <v>15263.52779238268</v>
      </c>
      <c r="G119" s="47">
        <f t="shared" ca="1" si="37"/>
        <v>2735.0208673198003</v>
      </c>
      <c r="H119" s="47">
        <f t="shared" ca="1" si="37"/>
        <v>4067.4387312603712</v>
      </c>
      <c r="I119" s="47">
        <f t="shared" ca="1" si="37"/>
        <v>15248.567301581068</v>
      </c>
      <c r="J119" s="47">
        <f t="shared" ca="1" si="37"/>
        <v>25623.634276838151</v>
      </c>
      <c r="K119" s="47">
        <f t="shared" ca="1" si="37"/>
        <v>46379.889172186522</v>
      </c>
      <c r="L119" s="47">
        <f t="shared" ca="1" si="37"/>
        <v>211820.72953869289</v>
      </c>
      <c r="M119" s="47">
        <f t="shared" ca="1" si="37"/>
        <v>320449.57342564961</v>
      </c>
      <c r="N119" s="47">
        <f t="shared" ca="1" si="37"/>
        <v>379754.678550757</v>
      </c>
      <c r="O119" s="47">
        <f t="shared" ca="1" si="37"/>
        <v>399704.45403728232</v>
      </c>
      <c r="P119" s="47">
        <f t="shared" ca="1" si="37"/>
        <v>448858.16815951769</v>
      </c>
      <c r="Q119" s="47">
        <f t="shared" ca="1" si="37"/>
        <v>633064.89854452375</v>
      </c>
      <c r="R119" s="47">
        <f t="shared" ca="1" si="37"/>
        <v>848327.88732821494</v>
      </c>
      <c r="S119" s="47">
        <f t="shared" ca="1" si="37"/>
        <v>1051723.0703342191</v>
      </c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spans="1:29">
      <c r="A120" s="5" t="s">
        <v>1348</v>
      </c>
      <c r="B120" s="47"/>
      <c r="C120" s="47"/>
      <c r="D120" s="47"/>
      <c r="E120" s="47">
        <f t="shared" ref="E120:S120" ca="1" si="38">MAX(0, E64 - E116)</f>
        <v>412719.01014556037</v>
      </c>
      <c r="F120" s="47">
        <f t="shared" ca="1" si="38"/>
        <v>371377.41654642031</v>
      </c>
      <c r="G120" s="47">
        <f t="shared" ca="1" si="38"/>
        <v>334917.85481523781</v>
      </c>
      <c r="H120" s="47">
        <f t="shared" ca="1" si="38"/>
        <v>285790.02410909941</v>
      </c>
      <c r="I120" s="47">
        <f t="shared" ca="1" si="38"/>
        <v>231836.42981645899</v>
      </c>
      <c r="J120" s="47">
        <f t="shared" ca="1" si="38"/>
        <v>196587.25907729438</v>
      </c>
      <c r="K120" s="47">
        <f t="shared" ca="1" si="38"/>
        <v>173791.17543210383</v>
      </c>
      <c r="L120" s="47">
        <f t="shared" ca="1" si="38"/>
        <v>168774.31394094249</v>
      </c>
      <c r="M120" s="47">
        <f t="shared" ca="1" si="38"/>
        <v>157236.29730232307</v>
      </c>
      <c r="N120" s="47">
        <f t="shared" ca="1" si="38"/>
        <v>143087.40727757622</v>
      </c>
      <c r="O120" s="47">
        <f t="shared" ca="1" si="38"/>
        <v>90555.269917375699</v>
      </c>
      <c r="P120" s="47">
        <f t="shared" ca="1" si="38"/>
        <v>21246.636848593727</v>
      </c>
      <c r="Q120" s="47">
        <f t="shared" ca="1" si="38"/>
        <v>0</v>
      </c>
      <c r="R120" s="47">
        <f t="shared" ca="1" si="38"/>
        <v>0</v>
      </c>
      <c r="S120" s="47">
        <f t="shared" ca="1" si="38"/>
        <v>0</v>
      </c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spans="1:29">
      <c r="A121" s="5" t="s">
        <v>1349</v>
      </c>
      <c r="B121" s="47"/>
      <c r="C121" s="47"/>
      <c r="D121" s="47"/>
      <c r="E121" s="47">
        <f t="shared" ref="E121:S121" ca="1" si="39">MAX(0, E65 - E117)</f>
        <v>0</v>
      </c>
      <c r="F121" s="47">
        <f t="shared" ca="1" si="39"/>
        <v>0</v>
      </c>
      <c r="G121" s="47">
        <f t="shared" ca="1" si="39"/>
        <v>0</v>
      </c>
      <c r="H121" s="47">
        <f t="shared" ca="1" si="39"/>
        <v>0</v>
      </c>
      <c r="I121" s="47">
        <f t="shared" ca="1" si="39"/>
        <v>0</v>
      </c>
      <c r="J121" s="47">
        <f t="shared" ca="1" si="39"/>
        <v>0</v>
      </c>
      <c r="K121" s="47">
        <f t="shared" ca="1" si="39"/>
        <v>0</v>
      </c>
      <c r="L121" s="47">
        <f t="shared" ca="1" si="39"/>
        <v>0</v>
      </c>
      <c r="M121" s="47">
        <f t="shared" ca="1" si="39"/>
        <v>0</v>
      </c>
      <c r="N121" s="47">
        <f t="shared" ca="1" si="39"/>
        <v>0</v>
      </c>
      <c r="O121" s="47">
        <f t="shared" ca="1" si="39"/>
        <v>0</v>
      </c>
      <c r="P121" s="47">
        <f t="shared" ca="1" si="39"/>
        <v>0</v>
      </c>
      <c r="Q121" s="47">
        <f t="shared" ca="1" si="39"/>
        <v>0</v>
      </c>
      <c r="R121" s="47">
        <f t="shared" ca="1" si="39"/>
        <v>0</v>
      </c>
      <c r="S121" s="47">
        <f t="shared" ca="1" si="39"/>
        <v>0</v>
      </c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spans="1:29">
      <c r="A122" s="5" t="s">
        <v>1350</v>
      </c>
      <c r="B122" s="47"/>
      <c r="C122" s="47"/>
      <c r="D122" s="47"/>
      <c r="E122" s="47">
        <f t="shared" ref="E122:S122" ca="1" si="40">MAX(0, E66 - E118)</f>
        <v>123077.64363164821</v>
      </c>
      <c r="F122" s="47">
        <f t="shared" ca="1" si="40"/>
        <v>125792.86193064181</v>
      </c>
      <c r="G122" s="47">
        <f t="shared" ca="1" si="40"/>
        <v>153599.65257263681</v>
      </c>
      <c r="H122" s="47">
        <f t="shared" ca="1" si="40"/>
        <v>176255.91548588045</v>
      </c>
      <c r="I122" s="47">
        <f t="shared" ca="1" si="40"/>
        <v>173152.73855884728</v>
      </c>
      <c r="J122" s="47">
        <f t="shared" ca="1" si="40"/>
        <v>125587.2220081203</v>
      </c>
      <c r="K122" s="47">
        <f t="shared" ca="1" si="40"/>
        <v>0</v>
      </c>
      <c r="L122" s="47">
        <f t="shared" ca="1" si="40"/>
        <v>18049.740283255389</v>
      </c>
      <c r="M122" s="47">
        <f t="shared" ca="1" si="40"/>
        <v>4956.7741500523698</v>
      </c>
      <c r="N122" s="47">
        <f t="shared" ca="1" si="40"/>
        <v>10390.982758300248</v>
      </c>
      <c r="O122" s="47">
        <f t="shared" ca="1" si="40"/>
        <v>0</v>
      </c>
      <c r="P122" s="47">
        <f t="shared" ca="1" si="40"/>
        <v>0</v>
      </c>
      <c r="Q122" s="47">
        <f t="shared" ca="1" si="40"/>
        <v>0</v>
      </c>
      <c r="R122" s="47">
        <f t="shared" ca="1" si="40"/>
        <v>0</v>
      </c>
      <c r="S122" s="47">
        <f t="shared" ca="1" si="40"/>
        <v>0</v>
      </c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spans="1:29">
      <c r="A123" s="5" t="s">
        <v>1351</v>
      </c>
      <c r="B123" s="47"/>
      <c r="C123" s="47"/>
      <c r="D123" s="47"/>
      <c r="E123" s="135">
        <f t="shared" ref="E123:S123" ca="1" si="41">IF(E120&gt;0, E31, 0)</f>
        <v>4.0866547760141971</v>
      </c>
      <c r="F123" s="135">
        <f t="shared" ca="1" si="41"/>
        <v>3.3850955368468032</v>
      </c>
      <c r="G123" s="135">
        <f t="shared" ca="1" si="41"/>
        <v>169.8157873080811</v>
      </c>
      <c r="H123" s="135">
        <f t="shared" ca="1" si="41"/>
        <v>38.511295593391374</v>
      </c>
      <c r="I123" s="135">
        <f t="shared" ca="1" si="41"/>
        <v>4.5577187676348876</v>
      </c>
      <c r="J123" s="135">
        <f t="shared" ca="1" si="41"/>
        <v>2.5112773952265854</v>
      </c>
      <c r="K123" s="135">
        <f t="shared" ca="1" si="41"/>
        <v>0.67738362739126878</v>
      </c>
      <c r="L123" s="135">
        <f t="shared" ca="1" si="41"/>
        <v>0.3362273138980495</v>
      </c>
      <c r="M123" s="135">
        <f t="shared" ca="1" si="41"/>
        <v>0.63289099845492269</v>
      </c>
      <c r="N123" s="135">
        <f t="shared" ca="1" si="41"/>
        <v>0.7837065994719743</v>
      </c>
      <c r="O123" s="135">
        <f t="shared" ca="1" si="41"/>
        <v>0.96671499039267439</v>
      </c>
      <c r="P123" s="135">
        <f t="shared" ca="1" si="41"/>
        <v>0.94897806511456029</v>
      </c>
      <c r="Q123" s="47">
        <f t="shared" ca="1" si="41"/>
        <v>0</v>
      </c>
      <c r="R123" s="47">
        <f t="shared" ca="1" si="41"/>
        <v>0</v>
      </c>
      <c r="S123" s="47">
        <f t="shared" ca="1" si="41"/>
        <v>0</v>
      </c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spans="1:29">
      <c r="A124" s="5" t="s">
        <v>1352</v>
      </c>
      <c r="B124" s="47"/>
      <c r="C124" s="47"/>
      <c r="D124" s="47"/>
      <c r="E124" s="47">
        <f t="shared" ref="E124:S124" ca="1" si="42">IF(E121&gt;0, E32, 0)</f>
        <v>0</v>
      </c>
      <c r="F124" s="47">
        <f t="shared" ca="1" si="42"/>
        <v>0</v>
      </c>
      <c r="G124" s="47">
        <f t="shared" ca="1" si="42"/>
        <v>0</v>
      </c>
      <c r="H124" s="47">
        <f t="shared" ca="1" si="42"/>
        <v>0</v>
      </c>
      <c r="I124" s="47">
        <f t="shared" ca="1" si="42"/>
        <v>0</v>
      </c>
      <c r="J124" s="47">
        <f t="shared" ca="1" si="42"/>
        <v>0</v>
      </c>
      <c r="K124" s="47">
        <f t="shared" ca="1" si="42"/>
        <v>0</v>
      </c>
      <c r="L124" s="47">
        <f t="shared" ca="1" si="42"/>
        <v>0</v>
      </c>
      <c r="M124" s="47">
        <f t="shared" ca="1" si="42"/>
        <v>0</v>
      </c>
      <c r="N124" s="47">
        <f t="shared" ca="1" si="42"/>
        <v>0</v>
      </c>
      <c r="O124" s="47">
        <f t="shared" ca="1" si="42"/>
        <v>0</v>
      </c>
      <c r="P124" s="47">
        <f t="shared" ca="1" si="42"/>
        <v>0</v>
      </c>
      <c r="Q124" s="47">
        <f t="shared" ca="1" si="42"/>
        <v>0</v>
      </c>
      <c r="R124" s="47">
        <f t="shared" ca="1" si="42"/>
        <v>0</v>
      </c>
      <c r="S124" s="47">
        <f t="shared" ca="1" si="42"/>
        <v>0</v>
      </c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spans="1:29">
      <c r="A125" s="5" t="s">
        <v>1353</v>
      </c>
      <c r="B125" s="47"/>
      <c r="C125" s="47"/>
      <c r="D125" s="47"/>
      <c r="E125" s="135">
        <f t="shared" ref="E125:S125" ca="1" si="43">IF(E122&gt;0, E33, 0)</f>
        <v>1</v>
      </c>
      <c r="F125" s="135">
        <f t="shared" ca="1" si="43"/>
        <v>1</v>
      </c>
      <c r="G125" s="135">
        <f t="shared" ca="1" si="43"/>
        <v>0.98548186406262916</v>
      </c>
      <c r="H125" s="135">
        <f t="shared" ca="1" si="43"/>
        <v>1.4964415932701551</v>
      </c>
      <c r="I125" s="135">
        <f t="shared" ca="1" si="43"/>
        <v>1.7163671983329294</v>
      </c>
      <c r="J125" s="135">
        <f t="shared" ca="1" si="43"/>
        <v>2.4563014255053885</v>
      </c>
      <c r="K125" s="47">
        <f t="shared" ca="1" si="43"/>
        <v>0</v>
      </c>
      <c r="L125" s="135">
        <f t="shared" ca="1" si="43"/>
        <v>3.6935187467633392</v>
      </c>
      <c r="M125" s="135">
        <f t="shared" ca="1" si="43"/>
        <v>3.8065651623308749</v>
      </c>
      <c r="N125" s="135">
        <f t="shared" ca="1" si="43"/>
        <v>4.0748468857242255</v>
      </c>
      <c r="O125" s="47">
        <f t="shared" ca="1" si="43"/>
        <v>0</v>
      </c>
      <c r="P125" s="47">
        <f t="shared" ca="1" si="43"/>
        <v>0</v>
      </c>
      <c r="Q125" s="47">
        <f t="shared" ca="1" si="43"/>
        <v>0</v>
      </c>
      <c r="R125" s="47">
        <f t="shared" ca="1" si="43"/>
        <v>0</v>
      </c>
      <c r="S125" s="47">
        <f t="shared" ca="1" si="43"/>
        <v>0</v>
      </c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spans="1:29">
      <c r="A126" s="5" t="s">
        <v>1354</v>
      </c>
      <c r="B126" s="47"/>
      <c r="C126" s="47"/>
      <c r="D126" s="47"/>
      <c r="E126" s="47">
        <f t="shared" ref="E126:S126" ca="1" si="44">E123+E124+E125</f>
        <v>5.0866547760141971</v>
      </c>
      <c r="F126" s="47">
        <f t="shared" ca="1" si="44"/>
        <v>4.3850955368468032</v>
      </c>
      <c r="G126" s="47">
        <f t="shared" ca="1" si="44"/>
        <v>170.80126917214372</v>
      </c>
      <c r="H126" s="47">
        <f t="shared" ca="1" si="44"/>
        <v>40.007737186661529</v>
      </c>
      <c r="I126" s="47">
        <f t="shared" ca="1" si="44"/>
        <v>6.2740859659678172</v>
      </c>
      <c r="J126" s="47">
        <f t="shared" ca="1" si="44"/>
        <v>4.9675788207319744</v>
      </c>
      <c r="K126" s="47">
        <f t="shared" ca="1" si="44"/>
        <v>0.67738362739126878</v>
      </c>
      <c r="L126" s="47">
        <f t="shared" ca="1" si="44"/>
        <v>4.0297460606613891</v>
      </c>
      <c r="M126" s="47">
        <f t="shared" ca="1" si="44"/>
        <v>4.4394561607857979</v>
      </c>
      <c r="N126" s="47">
        <f t="shared" ca="1" si="44"/>
        <v>4.8585534851962002</v>
      </c>
      <c r="O126" s="47">
        <f t="shared" ca="1" si="44"/>
        <v>0.96671499039267439</v>
      </c>
      <c r="P126" s="47">
        <f t="shared" ca="1" si="44"/>
        <v>0.94897806511456029</v>
      </c>
      <c r="Q126" s="47">
        <f t="shared" ca="1" si="44"/>
        <v>0</v>
      </c>
      <c r="R126" s="47">
        <f t="shared" ca="1" si="44"/>
        <v>0</v>
      </c>
      <c r="S126" s="47">
        <f t="shared" ca="1" si="44"/>
        <v>0</v>
      </c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spans="1:29">
      <c r="A127" s="5" t="s">
        <v>1355</v>
      </c>
      <c r="B127" s="47"/>
      <c r="C127" s="47"/>
      <c r="D127" s="47"/>
      <c r="E127" s="47">
        <f t="shared" ref="E127:S127" ca="1" si="45">E116 + IFERROR(MIN(E$119*E123/E$126, E120), 0)</f>
        <v>13695.090418447</v>
      </c>
      <c r="F127" s="47">
        <f t="shared" ca="1" si="45"/>
        <v>56677.180466115693</v>
      </c>
      <c r="G127" s="47">
        <f t="shared" ca="1" si="45"/>
        <v>57774.103467961926</v>
      </c>
      <c r="H127" s="47">
        <f t="shared" ca="1" si="45"/>
        <v>67795.202174664169</v>
      </c>
      <c r="I127" s="47">
        <f t="shared" ca="1" si="45"/>
        <v>68617.686803190241</v>
      </c>
      <c r="J127" s="47">
        <f t="shared" ca="1" si="45"/>
        <v>68448.419428732843</v>
      </c>
      <c r="K127" s="47">
        <f t="shared" ca="1" si="45"/>
        <v>76570.127961173624</v>
      </c>
      <c r="L127" s="47">
        <f t="shared" ca="1" si="45"/>
        <v>30442.344136836604</v>
      </c>
      <c r="M127" s="47">
        <f t="shared" ca="1" si="45"/>
        <v>71361.977079347096</v>
      </c>
      <c r="N127" s="47">
        <f t="shared" ca="1" si="45"/>
        <v>96838.082188447792</v>
      </c>
      <c r="O127" s="47">
        <f t="shared" ca="1" si="45"/>
        <v>144858.07676749706</v>
      </c>
      <c r="P127" s="47">
        <f t="shared" ca="1" si="45"/>
        <v>94295.25148659767</v>
      </c>
      <c r="Q127" s="47">
        <f t="shared" ca="1" si="45"/>
        <v>55818.529649959048</v>
      </c>
      <c r="R127" s="47">
        <f t="shared" ca="1" si="45"/>
        <v>29241.513342096157</v>
      </c>
      <c r="S127" s="47">
        <f t="shared" ca="1" si="45"/>
        <v>35740.835833827136</v>
      </c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spans="1:29">
      <c r="A128" s="5" t="s">
        <v>1356</v>
      </c>
      <c r="B128" s="47"/>
      <c r="C128" s="47"/>
      <c r="D128" s="47"/>
      <c r="E128" s="47">
        <f t="shared" ref="E128:S128" ca="1" si="46">E117 + IFERROR(MIN(E$119*E124/E$126, E121), 0)</f>
        <v>900.78459459459452</v>
      </c>
      <c r="F128" s="47">
        <f t="shared" ca="1" si="46"/>
        <v>705.62165998167836</v>
      </c>
      <c r="G128" s="47">
        <f t="shared" ca="1" si="46"/>
        <v>663.32847657385526</v>
      </c>
      <c r="H128" s="47">
        <f t="shared" ca="1" si="46"/>
        <v>1258.8941454686951</v>
      </c>
      <c r="I128" s="47">
        <f t="shared" ca="1" si="46"/>
        <v>1231.1697007792723</v>
      </c>
      <c r="J128" s="47">
        <f t="shared" ca="1" si="46"/>
        <v>570.36499943713488</v>
      </c>
      <c r="K128" s="47">
        <f t="shared" ca="1" si="46"/>
        <v>2121.2190978006115</v>
      </c>
      <c r="L128" s="47">
        <f t="shared" ca="1" si="46"/>
        <v>862.06716064212981</v>
      </c>
      <c r="M128" s="47">
        <f t="shared" ca="1" si="46"/>
        <v>1001.9146449172931</v>
      </c>
      <c r="N128" s="47">
        <f t="shared" ca="1" si="46"/>
        <v>1182.0845901509697</v>
      </c>
      <c r="O128" s="47">
        <f t="shared" ca="1" si="46"/>
        <v>1977.4794976222788</v>
      </c>
      <c r="P128" s="47">
        <f t="shared" ca="1" si="46"/>
        <v>444.50037934505934</v>
      </c>
      <c r="Q128" s="47">
        <f t="shared" ca="1" si="46"/>
        <v>501.0013016058403</v>
      </c>
      <c r="R128" s="47">
        <f t="shared" ca="1" si="46"/>
        <v>616.9316660058347</v>
      </c>
      <c r="S128" s="47">
        <f t="shared" ca="1" si="46"/>
        <v>-19.772840194073638</v>
      </c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spans="1:29">
      <c r="A129" s="5" t="s">
        <v>1357</v>
      </c>
      <c r="B129" s="47"/>
      <c r="C129" s="47"/>
      <c r="D129" s="47"/>
      <c r="E129" s="47">
        <f t="shared" ref="E129:S129" ca="1" si="47">E118 + IFERROR(MIN(E$119*E125/E$126, E122), 0)</f>
        <v>4055.5457140797621</v>
      </c>
      <c r="F129" s="47">
        <f t="shared" ca="1" si="47"/>
        <v>19449.923739749269</v>
      </c>
      <c r="G129" s="47">
        <f t="shared" ca="1" si="47"/>
        <v>3409.6872969057613</v>
      </c>
      <c r="H129" s="47">
        <f t="shared" ca="1" si="47"/>
        <v>6253.3951873293299</v>
      </c>
      <c r="I129" s="47">
        <f t="shared" ca="1" si="47"/>
        <v>28919.042579665806</v>
      </c>
      <c r="J129" s="47">
        <f t="shared" ca="1" si="47"/>
        <v>67098.963577788367</v>
      </c>
      <c r="K129" s="47">
        <f t="shared" ca="1" si="47"/>
        <v>106575.87630019302</v>
      </c>
      <c r="L129" s="47">
        <f t="shared" ca="1" si="47"/>
        <v>36531.388542873487</v>
      </c>
      <c r="M129" s="47">
        <f t="shared" ca="1" si="47"/>
        <v>58853.301120796394</v>
      </c>
      <c r="N129" s="47">
        <f t="shared" ca="1" si="47"/>
        <v>91011.896980979713</v>
      </c>
      <c r="O129" s="47">
        <f t="shared" ca="1" si="47"/>
        <v>141095.95640653797</v>
      </c>
      <c r="P129" s="47">
        <f t="shared" ca="1" si="47"/>
        <v>160668.93322578201</v>
      </c>
      <c r="Q129" s="47">
        <f t="shared" ca="1" si="47"/>
        <v>155909.54435227823</v>
      </c>
      <c r="R129" s="47">
        <f t="shared" ca="1" si="47"/>
        <v>208822.03146653221</v>
      </c>
      <c r="S129" s="47">
        <f t="shared" ca="1" si="47"/>
        <v>285783.41128233407</v>
      </c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1:29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spans="1:29">
      <c r="A131" s="48" t="s">
        <v>1358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spans="1:29">
      <c r="A132" s="25" t="s">
        <v>1359</v>
      </c>
      <c r="B132" s="47"/>
      <c r="C132" s="47"/>
      <c r="D132" s="136">
        <f ca="1">MIN( 'AI - Compute'!D32, IFERROR( D52 / 'AI - Compute'!D26, 0 ) ) * 'AI - Compute'!D40</f>
        <v>11828.675154053741</v>
      </c>
      <c r="E132" s="136">
        <f ca="1">MIN( 'AI - Compute'!E32, IFERROR( E52 / 'AI - Compute'!E26, 0 ) ) * 'AI - Compute'!E40</f>
        <v>13273.699833771898</v>
      </c>
      <c r="F132" s="136">
        <f ca="1">MIN( 'AI - Compute'!F32, IFERROR( F52 / 'AI - Compute'!F26, 0 ) ) * 'AI - Compute'!F40</f>
        <v>1360.998556745792</v>
      </c>
      <c r="G132" s="136">
        <f ca="1">MIN( 'AI - Compute'!G32, IFERROR( G52 / 'AI - Compute'!G26, 0 ) ) * 'AI - Compute'!G40</f>
        <v>3742.2066691180266</v>
      </c>
      <c r="H132" s="136">
        <f ca="1">MIN( 'AI - Compute'!H32, IFERROR( H52 / 'AI - Compute'!H26, 0 ) ) * 'AI - Compute'!H40</f>
        <v>12115.6649904274</v>
      </c>
      <c r="I132" s="136">
        <f ca="1">MIN( 'AI - Compute'!I32, IFERROR( I52 / 'AI - Compute'!I26, 0 ) ) * 'AI - Compute'!I40</f>
        <v>32337.51472734729</v>
      </c>
      <c r="J132" s="136">
        <f ca="1">MIN( 'AI - Compute'!J32, IFERROR( J52 / 'AI - Compute'!J26, 0 ) ) * 'AI - Compute'!J40</f>
        <v>65884.561307166281</v>
      </c>
      <c r="K132" s="136">
        <f ca="1">MIN( 'AI - Compute'!K32, IFERROR( K52 / 'AI - Compute'!K26, 0 ) ) * 'AI - Compute'!K40</f>
        <v>60099.839145711732</v>
      </c>
      <c r="L132" s="136">
        <f ca="1">MIN( 'AI - Compute'!L32, IFERROR( L52 / 'AI - Compute'!L26, 0 ) ) * 'AI - Compute'!L40</f>
        <v>36531.388542873487</v>
      </c>
      <c r="M132" s="136">
        <f ca="1">MIN( 'AI - Compute'!M32, IFERROR( M52 / 'AI - Compute'!M26, 0 ) ) * 'AI - Compute'!M40</f>
        <v>50187.661893632088</v>
      </c>
      <c r="N132" s="136">
        <f ca="1">MIN( 'AI - Compute'!N32, IFERROR( N52 / 'AI - Compute'!N26, 0 ) ) * 'AI - Compute'!N40</f>
        <v>73100.526505718357</v>
      </c>
      <c r="O132" s="136">
        <f ca="1">MIN( 'AI - Compute'!O32, IFERROR( O52 / 'AI - Compute'!O26, 0 ) ) * 'AI - Compute'!O40</f>
        <v>109665.79340343134</v>
      </c>
      <c r="P132" s="136">
        <f ca="1">MIN( 'AI - Compute'!P32, IFERROR( P52 / 'AI - Compute'!P26, 0 ) ) * 'AI - Compute'!P40</f>
        <v>118079.99982613607</v>
      </c>
      <c r="Q132" s="136">
        <f ca="1">MIN( 'AI - Compute'!Q32, IFERROR( Q52 / 'AI - Compute'!Q26, 0 ) ) * 'AI - Compute'!Q40</f>
        <v>112942.66683995223</v>
      </c>
      <c r="R132" s="136">
        <f ca="1">MIN( 'AI - Compute'!R32, IFERROR( R52 / 'AI - Compute'!R26, 0 ) ) * 'AI - Compute'!R40</f>
        <v>144687.97340972911</v>
      </c>
      <c r="S132" s="136">
        <f ca="1">MIN( 'AI - Compute'!S32, IFERROR( S52 / 'AI - Compute'!S26, 0 ) ) * 'AI - Compute'!S40</f>
        <v>180410.72251270438</v>
      </c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spans="1:29">
      <c r="A133" s="23" t="s">
        <v>1360</v>
      </c>
      <c r="B133" s="47"/>
      <c r="C133" s="47"/>
      <c r="D133" s="136">
        <f t="shared" ref="D133:S133" ca="1" si="48">D88</f>
        <v>0</v>
      </c>
      <c r="E133" s="136">
        <f t="shared" ca="1" si="48"/>
        <v>1962.5897248656179</v>
      </c>
      <c r="F133" s="136">
        <f t="shared" ca="1" si="48"/>
        <v>8532.7053627704481</v>
      </c>
      <c r="G133" s="136">
        <f t="shared" ca="1" si="48"/>
        <v>5960.3207828820478</v>
      </c>
      <c r="H133" s="136">
        <f t="shared" ca="1" si="48"/>
        <v>4631.2509273849764</v>
      </c>
      <c r="I133" s="136">
        <f t="shared" ca="1" si="48"/>
        <v>17934.970046531835</v>
      </c>
      <c r="J133" s="136">
        <f t="shared" ca="1" si="48"/>
        <v>55179.775208717539</v>
      </c>
      <c r="K133" s="136">
        <f t="shared" ca="1" si="48"/>
        <v>60099.839145711732</v>
      </c>
      <c r="L133" s="136">
        <f t="shared" ca="1" si="48"/>
        <v>26507.196527653567</v>
      </c>
      <c r="M133" s="136">
        <f t="shared" ca="1" si="48"/>
        <v>50187.661893632096</v>
      </c>
      <c r="N133" s="136">
        <f t="shared" ca="1" si="48"/>
        <v>73100.526505718357</v>
      </c>
      <c r="O133" s="136">
        <f t="shared" ca="1" si="48"/>
        <v>109665.79340343134</v>
      </c>
      <c r="P133" s="136">
        <f t="shared" ca="1" si="48"/>
        <v>118079.9998261361</v>
      </c>
      <c r="Q133" s="136">
        <f t="shared" ca="1" si="48"/>
        <v>112942.66683995223</v>
      </c>
      <c r="R133" s="136">
        <f t="shared" ca="1" si="48"/>
        <v>144687.97340972914</v>
      </c>
      <c r="S133" s="136">
        <f t="shared" ca="1" si="48"/>
        <v>192088.43351557196</v>
      </c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spans="1:29">
      <c r="A134" s="23" t="s">
        <v>1361</v>
      </c>
      <c r="B134" s="47"/>
      <c r="C134" s="47"/>
      <c r="D134" s="136">
        <v>0</v>
      </c>
      <c r="E134" s="136">
        <f>IF( AND( E$4&gt;=Assumptions!$B$353, E$4&lt;=Assumptions!$B$416 ), MIN( MAX(0, E132 - E133), MAX(0, Assumptions!$B$414 - D137) ), 0 )</f>
        <v>0</v>
      </c>
      <c r="F134" s="136">
        <f>IF( AND( F$4&gt;=Assumptions!$B$353, F$4&lt;=Assumptions!$B$416 ), MIN( MAX(0, F132 - F133), MAX(0, Assumptions!$B$414 - E137) ), 0 )</f>
        <v>0</v>
      </c>
      <c r="G134" s="136">
        <f ca="1">IF( AND( G$4&gt;=Assumptions!$B$353, G$4&lt;=Assumptions!$B$416 ), MIN( MAX(0, G132 - G133), MAX(0, Assumptions!$B$414 - F137) ), 0 )</f>
        <v>0</v>
      </c>
      <c r="H134" s="136">
        <f ca="1">IF( AND( H$4&gt;=Assumptions!$B$353, H$4&lt;=Assumptions!$B$416 ), MIN( MAX(0, H132 - H133), MAX(0, Assumptions!$B$414 - G137) ), 0 )</f>
        <v>7484.4140630424235</v>
      </c>
      <c r="I134" s="136">
        <f ca="1">IF( AND( I$4&gt;=Assumptions!$B$353, I$4&lt;=Assumptions!$B$416 ), MIN( MAX(0, I132 - I133), MAX(0, Assumptions!$B$414 - H137) ), 0 )</f>
        <v>14402.544680815456</v>
      </c>
      <c r="J134" s="136">
        <f ca="1">IF( AND( J$4&gt;=Assumptions!$B$353, J$4&lt;=Assumptions!$B$416 ), MIN( MAX(0, J132 - J133), MAX(0, Assumptions!$B$414 - I137) ), 0 )</f>
        <v>10704.786098448742</v>
      </c>
      <c r="K134" s="136">
        <f ca="1">IF( AND( K$4&gt;=Assumptions!$B$353, K$4&lt;=Assumptions!$B$416 ), MIN( MAX(0, K132 - K133), MAX(0, Assumptions!$B$414 - J137) ), 0 )</f>
        <v>0</v>
      </c>
      <c r="L134" s="136">
        <f ca="1">IF( AND( L$4&gt;=Assumptions!$B$353, L$4&lt;=Assumptions!$B$416 ), MIN( MAX(0, L132 - L133), MAX(0, Assumptions!$B$414 - K137) ), 0 )</f>
        <v>10024.19201521992</v>
      </c>
      <c r="M134" s="136">
        <f ca="1">IF( AND( M$4&gt;=Assumptions!$B$353, M$4&lt;=Assumptions!$B$416 ), MIN( MAX(0, M132 - M133), MAX(0, Assumptions!$B$414 - L137) ), 0 )</f>
        <v>0</v>
      </c>
      <c r="N134" s="136">
        <f ca="1">IF( AND( N$4&gt;=Assumptions!$B$353, N$4&lt;=Assumptions!$B$416 ), MIN( MAX(0, N132 - N133), MAX(0, Assumptions!$B$414 - M137) ), 0 )</f>
        <v>0</v>
      </c>
      <c r="O134" s="136">
        <f>IF( AND( O$4&gt;=Assumptions!$B$353, O$4&lt;=Assumptions!$B$416 ), MIN( MAX(0, O132 - O133), MAX(0, Assumptions!$B$414 - N137) ), 0 )</f>
        <v>0</v>
      </c>
      <c r="P134" s="136">
        <f>IF( AND( P$4&gt;=Assumptions!$B$353, P$4&lt;=Assumptions!$B$416 ), MIN( MAX(0, P132 - P133), MAX(0, Assumptions!$B$414 - O137) ), 0 )</f>
        <v>0</v>
      </c>
      <c r="Q134" s="136">
        <f>IF( AND( Q$4&gt;=Assumptions!$B$353, Q$4&lt;=Assumptions!$B$416 ), MIN( MAX(0, Q132 - Q133), MAX(0, Assumptions!$B$414 - P137) ), 0 )</f>
        <v>0</v>
      </c>
      <c r="R134" s="136">
        <f>IF( AND( R$4&gt;=Assumptions!$B$353, R$4&lt;=Assumptions!$B$416 ), MIN( MAX(0, R132 - R133), MAX(0, Assumptions!$B$414 - Q137) ), 0 )</f>
        <v>0</v>
      </c>
      <c r="S134" s="136">
        <f>IF( AND( S$4&gt;=Assumptions!$B$353, S$4&lt;=Assumptions!$B$416 ), MIN( MAX(0, S132 - S133), MAX(0, Assumptions!$B$414 - R137) ), 0 )</f>
        <v>0</v>
      </c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spans="1:29">
      <c r="A135" s="23" t="s">
        <v>1362</v>
      </c>
      <c r="B135" s="47"/>
      <c r="C135" s="47"/>
      <c r="D135" s="136">
        <v>0</v>
      </c>
      <c r="E135" s="136">
        <f>D137*Assumptions!$B$415</f>
        <v>0</v>
      </c>
      <c r="F135" s="136">
        <f ca="1">E137*Assumptions!$B$415</f>
        <v>0</v>
      </c>
      <c r="G135" s="136">
        <f ca="1">F137*Assumptions!$B$415</f>
        <v>0</v>
      </c>
      <c r="H135" s="136">
        <f ca="1">G137*Assumptions!$B$415</f>
        <v>0</v>
      </c>
      <c r="I135" s="136">
        <f ca="1">H137*Assumptions!$B$415</f>
        <v>342.78616408734302</v>
      </c>
      <c r="J135" s="136">
        <f ca="1">I137*Assumptions!$B$415</f>
        <v>1002.4227104686909</v>
      </c>
      <c r="K135" s="136">
        <f ca="1">J137*Assumptions!$B$415</f>
        <v>1492.7019137776433</v>
      </c>
      <c r="L135" s="136">
        <f ca="1">K137*Assumptions!$B$415</f>
        <v>1492.7019137776433</v>
      </c>
      <c r="M135" s="136">
        <f ca="1">L137*Assumptions!$B$415</f>
        <v>1926.7544611786732</v>
      </c>
      <c r="N135" s="136">
        <f ca="1">M137*Assumptions!$B$415</f>
        <v>611.79833091831392</v>
      </c>
      <c r="O135" s="136">
        <f ca="1">N137*Assumptions!$B$415</f>
        <v>0</v>
      </c>
      <c r="P135" s="136">
        <f ca="1">O137*Assumptions!$B$415</f>
        <v>0</v>
      </c>
      <c r="Q135" s="136">
        <f ca="1">P137*Assumptions!$B$415</f>
        <v>0</v>
      </c>
      <c r="R135" s="136">
        <f ca="1">Q137*Assumptions!$B$415</f>
        <v>0</v>
      </c>
      <c r="S135" s="136">
        <f ca="1">R137*Assumptions!$B$415</f>
        <v>0</v>
      </c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spans="1:29">
      <c r="A136" s="23" t="s">
        <v>1363</v>
      </c>
      <c r="B136" s="47"/>
      <c r="C136" s="47"/>
      <c r="D136" s="136">
        <v>0</v>
      </c>
      <c r="E136" s="136">
        <f ca="1">MIN( D137 + E134, MAX( Assumptions!$B$418*MAX(0,'AI - Compute'!D14), IF(AND(E$4&gt;Assumptions!$B$416, E$4&lt;=Assumptions!$B$417), D137/MAX(1, Assumptions!$B$417 - E$4 + 1), 0) ) )</f>
        <v>0</v>
      </c>
      <c r="F136" s="136">
        <f ca="1">MIN( E137 + F134, MAX( Assumptions!$B$418*MAX(0,'AI - Compute'!E14), IF(AND(F$4&gt;Assumptions!$B$416, F$4&lt;=Assumptions!$B$417), E137/MAX(1, Assumptions!$B$417 - F$4 + 1), 0) ) )</f>
        <v>0</v>
      </c>
      <c r="G136" s="136">
        <f ca="1">MIN( F137 + G134, MAX( Assumptions!$B$418*MAX(0,'AI - Compute'!F14), IF(AND(G$4&gt;Assumptions!$B$416, G$4&lt;=Assumptions!$B$417), F137/MAX(1, Assumptions!$B$417 - G$4 + 1), 0) ) )</f>
        <v>0</v>
      </c>
      <c r="H136" s="136">
        <f ca="1">MIN( G137 + H134, MAX( Assumptions!$B$418*MAX(0,'AI - Compute'!G14), IF(AND(H$4&gt;Assumptions!$B$416, H$4&lt;=Assumptions!$B$417), G137/MAX(1, Assumptions!$B$417 - H$4 + 1), 0) ) )</f>
        <v>0</v>
      </c>
      <c r="I136" s="136">
        <f ca="1">MIN( H137 + I134, MAX( Assumptions!$B$418*MAX(0,'AI - Compute'!H14), IF(AND(I$4&gt;Assumptions!$B$416, I$4&lt;=Assumptions!$B$417), H137/MAX(1, Assumptions!$B$417 - I$4 + 1), 0) ) )</f>
        <v>0</v>
      </c>
      <c r="J136" s="136">
        <f ca="1">MIN( I137 + J134, MAX( Assumptions!$B$418*MAX(0,'AI - Compute'!I14), IF(AND(J$4&gt;Assumptions!$B$416, J$4&lt;=Assumptions!$B$417), I137/MAX(1, Assumptions!$B$417 - J$4 + 1), 0) ) )</f>
        <v>0</v>
      </c>
      <c r="K136" s="136">
        <f ca="1">MIN( J137 + K134, MAX( Assumptions!$B$418*MAX(0,'AI - Compute'!J14), IF(AND(K$4&gt;Assumptions!$B$416, K$4&lt;=Assumptions!$B$417), J137/MAX(1, Assumptions!$B$417 - K$4 + 1), 0) ) )</f>
        <v>0</v>
      </c>
      <c r="L136" s="136">
        <f ca="1">MIN( K137 + L134, MAX( Assumptions!$B$418*MAX(0,'AI - Compute'!K14), IF(AND(L$4&gt;Assumptions!$B$416, L$4&lt;=Assumptions!$B$417), K137/MAX(1, Assumptions!$B$417 - L$4 + 1), 0) ) )</f>
        <v>547.06215930223698</v>
      </c>
      <c r="M136" s="136">
        <f ca="1">MIN( L137 + M134, MAX( Assumptions!$B$418*MAX(0,'AI - Compute'!L14), IF(AND(M$4&gt;Assumptions!$B$416, M$4&lt;=Assumptions!$B$417), L137/MAX(1, Assumptions!$B$417 - M$4 + 1), 0) ) )</f>
        <v>28710.832538435789</v>
      </c>
      <c r="N136" s="136">
        <f ca="1">MIN( M137 + N134, MAX( Assumptions!$B$418*MAX(0,'AI - Compute'!M14), IF(AND(N$4&gt;Assumptions!$B$416, N$4&lt;=Assumptions!$B$417), M137/MAX(1, Assumptions!$B$417 - N$4 + 1), 0) ) )</f>
        <v>13358.042159788514</v>
      </c>
      <c r="O136" s="136">
        <f ca="1">MIN( N137 + O134, MAX( Assumptions!$B$418*MAX(0,'AI - Compute'!N14), IF(AND(O$4&gt;Assumptions!$B$416, O$4&lt;=Assumptions!$B$417), N137/MAX(1, Assumptions!$B$417 - O$4 + 1), 0) ) )</f>
        <v>0</v>
      </c>
      <c r="P136" s="136">
        <f ca="1">MIN( O137 + P134, MAX( Assumptions!$B$418*MAX(0,'AI - Compute'!O14), IF(AND(P$4&gt;Assumptions!$B$416, P$4&lt;=Assumptions!$B$417), O137/MAX(1, Assumptions!$B$417 - P$4 + 1), 0) ) )</f>
        <v>0</v>
      </c>
      <c r="Q136" s="136">
        <f ca="1">MIN( P137 + Q134, MAX( Assumptions!$B$418*MAX(0,'AI - Compute'!P14), IF(AND(Q$4&gt;Assumptions!$B$416, Q$4&lt;=Assumptions!$B$417), P137/MAX(1, Assumptions!$B$417 - Q$4 + 1), 0) ) )</f>
        <v>0</v>
      </c>
      <c r="R136" s="136">
        <f ca="1">MIN( Q137 + R134, MAX( Assumptions!$B$418*MAX(0,'AI - Compute'!Q14), IF(AND(R$4&gt;Assumptions!$B$416, R$4&lt;=Assumptions!$B$417), Q137/MAX(1, Assumptions!$B$417 - R$4 + 1), 0) ) )</f>
        <v>0</v>
      </c>
      <c r="S136" s="136">
        <f ca="1">MIN( R137 + S134, MAX( Assumptions!$B$418*MAX(0,'AI - Compute'!R14), IF(AND(S$4&gt;Assumptions!$B$416, S$4&lt;=Assumptions!$B$417), R137/MAX(1, Assumptions!$B$417 - S$4 + 1), 0) ) )</f>
        <v>0</v>
      </c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spans="1:29">
      <c r="A137" s="23" t="s">
        <v>1364</v>
      </c>
      <c r="B137" s="47"/>
      <c r="C137" s="47"/>
      <c r="D137" s="136">
        <v>0</v>
      </c>
      <c r="E137" s="136">
        <f t="shared" ref="E137:S137" ca="1" si="49">D137 + E134 - E136</f>
        <v>0</v>
      </c>
      <c r="F137" s="136">
        <f t="shared" ca="1" si="49"/>
        <v>0</v>
      </c>
      <c r="G137" s="136">
        <f t="shared" ca="1" si="49"/>
        <v>0</v>
      </c>
      <c r="H137" s="136">
        <f t="shared" ca="1" si="49"/>
        <v>7484.4140630424235</v>
      </c>
      <c r="I137" s="136">
        <f t="shared" ca="1" si="49"/>
        <v>21886.958743857878</v>
      </c>
      <c r="J137" s="136">
        <f t="shared" ca="1" si="49"/>
        <v>32591.74484230662</v>
      </c>
      <c r="K137" s="136">
        <f t="shared" ca="1" si="49"/>
        <v>32591.74484230662</v>
      </c>
      <c r="L137" s="136">
        <f t="shared" ca="1" si="49"/>
        <v>42068.874698224303</v>
      </c>
      <c r="M137" s="136">
        <f t="shared" ca="1" si="49"/>
        <v>13358.042159788514</v>
      </c>
      <c r="N137" s="136">
        <f t="shared" ca="1" si="49"/>
        <v>0</v>
      </c>
      <c r="O137" s="136">
        <f t="shared" ca="1" si="49"/>
        <v>0</v>
      </c>
      <c r="P137" s="136">
        <f t="shared" ca="1" si="49"/>
        <v>0</v>
      </c>
      <c r="Q137" s="136">
        <f t="shared" ca="1" si="49"/>
        <v>0</v>
      </c>
      <c r="R137" s="136">
        <f t="shared" ca="1" si="49"/>
        <v>0</v>
      </c>
      <c r="S137" s="136">
        <f t="shared" ca="1" si="49"/>
        <v>0</v>
      </c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spans="1:29">
      <c r="A138" s="23" t="s">
        <v>1365</v>
      </c>
      <c r="B138" s="47"/>
      <c r="C138" s="47"/>
      <c r="D138" s="136">
        <v>0</v>
      </c>
      <c r="E138" s="136">
        <f t="shared" ref="E138:S138" si="50">D138 + E134</f>
        <v>0</v>
      </c>
      <c r="F138" s="136">
        <f t="shared" si="50"/>
        <v>0</v>
      </c>
      <c r="G138" s="136">
        <f t="shared" ca="1" si="50"/>
        <v>0</v>
      </c>
      <c r="H138" s="136">
        <f t="shared" ca="1" si="50"/>
        <v>7484.4140630424235</v>
      </c>
      <c r="I138" s="136">
        <f t="shared" ca="1" si="50"/>
        <v>21886.958743857878</v>
      </c>
      <c r="J138" s="136">
        <f t="shared" ca="1" si="50"/>
        <v>32591.74484230662</v>
      </c>
      <c r="K138" s="136">
        <f t="shared" ca="1" si="50"/>
        <v>32591.74484230662</v>
      </c>
      <c r="L138" s="136">
        <f t="shared" ca="1" si="50"/>
        <v>42615.93685752654</v>
      </c>
      <c r="M138" s="136">
        <f t="shared" ca="1" si="50"/>
        <v>42615.93685752654</v>
      </c>
      <c r="N138" s="136">
        <f t="shared" ca="1" si="50"/>
        <v>42615.93685752654</v>
      </c>
      <c r="O138" s="136">
        <f t="shared" ca="1" si="50"/>
        <v>42615.93685752654</v>
      </c>
      <c r="P138" s="136">
        <f t="shared" ca="1" si="50"/>
        <v>42615.93685752654</v>
      </c>
      <c r="Q138" s="136">
        <f t="shared" ca="1" si="50"/>
        <v>42615.93685752654</v>
      </c>
      <c r="R138" s="136">
        <f t="shared" ca="1" si="50"/>
        <v>42615.93685752654</v>
      </c>
      <c r="S138" s="136">
        <f t="shared" ca="1" si="50"/>
        <v>42615.93685752654</v>
      </c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spans="1:29">
      <c r="A139" s="23" t="s">
        <v>1366</v>
      </c>
      <c r="B139" s="47"/>
      <c r="C139" s="47"/>
      <c r="D139" s="136">
        <v>0</v>
      </c>
      <c r="E139" s="136">
        <f t="shared" ref="E139:S139" ca="1" si="51">D139 + E136</f>
        <v>0</v>
      </c>
      <c r="F139" s="136">
        <f t="shared" ca="1" si="51"/>
        <v>0</v>
      </c>
      <c r="G139" s="136">
        <f t="shared" ca="1" si="51"/>
        <v>0</v>
      </c>
      <c r="H139" s="136">
        <f t="shared" ca="1" si="51"/>
        <v>0</v>
      </c>
      <c r="I139" s="136">
        <f t="shared" ca="1" si="51"/>
        <v>0</v>
      </c>
      <c r="J139" s="136">
        <f t="shared" ca="1" si="51"/>
        <v>0</v>
      </c>
      <c r="K139" s="136">
        <f t="shared" ca="1" si="51"/>
        <v>0</v>
      </c>
      <c r="L139" s="136">
        <f t="shared" ca="1" si="51"/>
        <v>547.06215930223698</v>
      </c>
      <c r="M139" s="136">
        <f t="shared" ca="1" si="51"/>
        <v>29257.894697738026</v>
      </c>
      <c r="N139" s="136">
        <f t="shared" ca="1" si="51"/>
        <v>42615.93685752654</v>
      </c>
      <c r="O139" s="136">
        <f t="shared" ca="1" si="51"/>
        <v>42615.93685752654</v>
      </c>
      <c r="P139" s="136">
        <f t="shared" ca="1" si="51"/>
        <v>42615.93685752654</v>
      </c>
      <c r="Q139" s="136">
        <f t="shared" ca="1" si="51"/>
        <v>42615.93685752654</v>
      </c>
      <c r="R139" s="136">
        <f t="shared" ca="1" si="51"/>
        <v>42615.93685752654</v>
      </c>
      <c r="S139" s="136">
        <f t="shared" ca="1" si="51"/>
        <v>42615.93685752654</v>
      </c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spans="1:29">
      <c r="A140" s="23" t="s">
        <v>1367</v>
      </c>
      <c r="B140" s="47"/>
      <c r="C140" s="47"/>
      <c r="D140" s="137">
        <f>D138-D139-D137</f>
        <v>0</v>
      </c>
      <c r="E140" s="137">
        <f t="shared" ref="E140:S140" ca="1" si="52">E138 - E139 - E137</f>
        <v>0</v>
      </c>
      <c r="F140" s="137">
        <f t="shared" ca="1" si="52"/>
        <v>0</v>
      </c>
      <c r="G140" s="137">
        <f t="shared" ca="1" si="52"/>
        <v>0</v>
      </c>
      <c r="H140" s="137">
        <f t="shared" ca="1" si="52"/>
        <v>0</v>
      </c>
      <c r="I140" s="137">
        <f t="shared" ca="1" si="52"/>
        <v>0</v>
      </c>
      <c r="J140" s="137">
        <f t="shared" ca="1" si="52"/>
        <v>0</v>
      </c>
      <c r="K140" s="137">
        <f t="shared" ca="1" si="52"/>
        <v>0</v>
      </c>
      <c r="L140" s="137">
        <f t="shared" ca="1" si="52"/>
        <v>0</v>
      </c>
      <c r="M140" s="137">
        <f t="shared" ca="1" si="52"/>
        <v>0</v>
      </c>
      <c r="N140" s="137">
        <f t="shared" ca="1" si="52"/>
        <v>0</v>
      </c>
      <c r="O140" s="137">
        <f t="shared" ca="1" si="52"/>
        <v>0</v>
      </c>
      <c r="P140" s="137">
        <f t="shared" ca="1" si="52"/>
        <v>0</v>
      </c>
      <c r="Q140" s="137">
        <f t="shared" ca="1" si="52"/>
        <v>0</v>
      </c>
      <c r="R140" s="137">
        <f t="shared" ca="1" si="52"/>
        <v>0</v>
      </c>
      <c r="S140" s="137">
        <f t="shared" ca="1" si="52"/>
        <v>0</v>
      </c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69" spans="26:26">
      <c r="Z169" s="138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68"/>
  <sheetViews>
    <sheetView showGridLines="0" topLeftCell="A64" zoomScale="134" zoomScaleNormal="134" workbookViewId="0">
      <selection activeCell="D96" sqref="D96"/>
    </sheetView>
  </sheetViews>
  <sheetFormatPr baseColWidth="10" defaultColWidth="10.6640625" defaultRowHeight="16"/>
  <cols>
    <col min="1" max="19" width="15.33203125" customWidth="1"/>
    <col min="20" max="29" width="14.83203125" customWidth="1"/>
  </cols>
  <sheetData>
    <row r="1" spans="1:19" ht="21.75" customHeight="1">
      <c r="A1" s="1" t="s">
        <v>1368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</row>
    <row r="5" spans="1:1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48" t="s">
        <v>1369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5" t="s">
        <v>1000</v>
      </c>
      <c r="B8" s="3"/>
      <c r="C8" s="3"/>
      <c r="D8" s="29">
        <f t="shared" ref="D8:S8" ca="1" si="0">D153</f>
        <v>483.065</v>
      </c>
      <c r="E8" s="29">
        <f t="shared" ca="1" si="0"/>
        <v>1812.6264885445848</v>
      </c>
      <c r="F8" s="29">
        <f t="shared" ca="1" si="0"/>
        <v>6528.1820219168358</v>
      </c>
      <c r="G8" s="29">
        <f t="shared" ca="1" si="0"/>
        <v>8768.39973774807</v>
      </c>
      <c r="H8" s="29">
        <f t="shared" ca="1" si="0"/>
        <v>17761.260327799599</v>
      </c>
      <c r="I8" s="29">
        <f t="shared" ca="1" si="0"/>
        <v>47175.751860515215</v>
      </c>
      <c r="J8" s="29">
        <f t="shared" ca="1" si="0"/>
        <v>104353.77614850162</v>
      </c>
      <c r="K8" s="29">
        <f t="shared" ca="1" si="0"/>
        <v>159539.67599042697</v>
      </c>
      <c r="L8" s="29">
        <f t="shared" ca="1" si="0"/>
        <v>184438.69835653342</v>
      </c>
      <c r="M8" s="29">
        <f t="shared" ca="1" si="0"/>
        <v>230079.53526620747</v>
      </c>
      <c r="N8" s="29">
        <f t="shared" ca="1" si="0"/>
        <v>309160.70216309285</v>
      </c>
      <c r="O8" s="29">
        <f t="shared" ca="1" si="0"/>
        <v>448419.76677063049</v>
      </c>
      <c r="P8" s="29">
        <f t="shared" ca="1" si="0"/>
        <v>616245.58447598969</v>
      </c>
      <c r="Q8" s="29">
        <f t="shared" ca="1" si="0"/>
        <v>787605.10429887811</v>
      </c>
      <c r="R8" s="29">
        <f t="shared" ca="1" si="0"/>
        <v>1040516.285681007</v>
      </c>
      <c r="S8" s="29">
        <f t="shared" ca="1" si="0"/>
        <v>1382289.9990574655</v>
      </c>
    </row>
    <row r="9" spans="1:19">
      <c r="A9" s="5" t="s">
        <v>1061</v>
      </c>
      <c r="B9" s="3"/>
      <c r="C9" s="3"/>
      <c r="D9" s="29">
        <f t="shared" ref="D9:S9" ca="1" si="1">D157</f>
        <v>51.872599999999998</v>
      </c>
      <c r="E9" s="29">
        <f t="shared" ca="1" si="1"/>
        <v>97.349721735748318</v>
      </c>
      <c r="F9" s="29">
        <f t="shared" ca="1" si="1"/>
        <v>297.77810519323981</v>
      </c>
      <c r="G9" s="29">
        <f t="shared" ca="1" si="1"/>
        <v>406.20422213555281</v>
      </c>
      <c r="H9" s="29">
        <f t="shared" ca="1" si="1"/>
        <v>794.91332820207549</v>
      </c>
      <c r="I9" s="29">
        <f t="shared" ca="1" si="1"/>
        <v>2014.7748729178302</v>
      </c>
      <c r="J9" s="29">
        <f t="shared" ca="1" si="1"/>
        <v>4369.9735274059431</v>
      </c>
      <c r="K9" s="29">
        <f t="shared" ca="1" si="1"/>
        <v>6665.6365863127403</v>
      </c>
      <c r="L9" s="29">
        <f t="shared" ca="1" si="1"/>
        <v>7803.1502563210579</v>
      </c>
      <c r="M9" s="29">
        <f t="shared" ca="1" si="1"/>
        <v>9859.8742184976581</v>
      </c>
      <c r="N9" s="29">
        <f t="shared" ca="1" si="1"/>
        <v>13421.141322094414</v>
      </c>
      <c r="O9" s="29">
        <f t="shared" ca="1" si="1"/>
        <v>19707.67884732506</v>
      </c>
      <c r="P9" s="29">
        <f t="shared" ca="1" si="1"/>
        <v>27557.816680546592</v>
      </c>
      <c r="Q9" s="29">
        <f t="shared" ca="1" si="1"/>
        <v>36156.905183952811</v>
      </c>
      <c r="R9" s="29">
        <f t="shared" ca="1" si="1"/>
        <v>49239.752069701404</v>
      </c>
      <c r="S9" s="29">
        <f t="shared" ca="1" si="1"/>
        <v>68159.791778393454</v>
      </c>
    </row>
    <row r="10" spans="1:19">
      <c r="A10" s="5" t="s">
        <v>1063</v>
      </c>
      <c r="B10" s="3"/>
      <c r="C10" s="3"/>
      <c r="D10" s="29">
        <f t="shared" ref="D10:S10" ca="1" si="2">D158</f>
        <v>2072.45975</v>
      </c>
      <c r="E10" s="29">
        <f t="shared" ca="1" si="2"/>
        <v>2721.9356819361115</v>
      </c>
      <c r="F10" s="29">
        <f t="shared" ca="1" si="2"/>
        <v>4283.5269583652571</v>
      </c>
      <c r="G10" s="29">
        <f t="shared" ca="1" si="2"/>
        <v>2181.6883585515557</v>
      </c>
      <c r="H10" s="29">
        <f t="shared" ca="1" si="2"/>
        <v>4039.1584850364038</v>
      </c>
      <c r="I10" s="29">
        <f t="shared" ca="1" si="2"/>
        <v>9419.6372674902159</v>
      </c>
      <c r="J10" s="29">
        <f t="shared" ca="1" si="2"/>
        <v>17642.417538937185</v>
      </c>
      <c r="K10" s="29">
        <f t="shared" ca="1" si="2"/>
        <v>22653.193640072557</v>
      </c>
      <c r="L10" s="29">
        <f t="shared" ca="1" si="2"/>
        <v>21341.346830397546</v>
      </c>
      <c r="M10" s="29">
        <f t="shared" ca="1" si="2"/>
        <v>25949.685004685733</v>
      </c>
      <c r="N10" s="29">
        <f t="shared" ca="1" si="2"/>
        <v>34604.464659031029</v>
      </c>
      <c r="O10" s="29">
        <f t="shared" ca="1" si="2"/>
        <v>50079.146422718324</v>
      </c>
      <c r="P10" s="29">
        <f t="shared" ca="1" si="2"/>
        <v>67762.947630385068</v>
      </c>
      <c r="Q10" s="29">
        <f t="shared" ca="1" si="2"/>
        <v>84521.859601312841</v>
      </c>
      <c r="R10" s="29">
        <f t="shared" ca="1" si="2"/>
        <v>110007.23325464348</v>
      </c>
      <c r="S10" s="29">
        <f t="shared" ca="1" si="2"/>
        <v>143233.42399738322</v>
      </c>
    </row>
    <row r="11" spans="1:19">
      <c r="A11" s="5" t="s">
        <v>1064</v>
      </c>
      <c r="B11" s="3"/>
      <c r="C11" s="3"/>
      <c r="D11" s="29">
        <f t="shared" ref="D11:S11" ca="1" si="3">D159</f>
        <v>0</v>
      </c>
      <c r="E11" s="29">
        <f t="shared" ca="1" si="3"/>
        <v>1850.0139662599015</v>
      </c>
      <c r="F11" s="29">
        <f t="shared" ca="1" si="3"/>
        <v>4388.937689090274</v>
      </c>
      <c r="G11" s="29">
        <f t="shared" ca="1" si="3"/>
        <v>6748.8402777913643</v>
      </c>
      <c r="H11" s="29">
        <f t="shared" ca="1" si="3"/>
        <v>9484.0309376855093</v>
      </c>
      <c r="I11" s="29">
        <f t="shared" ca="1" si="3"/>
        <v>16649.454226873695</v>
      </c>
      <c r="J11" s="29">
        <f t="shared" ca="1" si="3"/>
        <v>30439.785204159292</v>
      </c>
      <c r="K11" s="29">
        <f t="shared" ca="1" si="3"/>
        <v>45640.254470457483</v>
      </c>
      <c r="L11" s="29">
        <f t="shared" ca="1" si="3"/>
        <v>54819.274352055181</v>
      </c>
      <c r="M11" s="29">
        <f t="shared" ca="1" si="3"/>
        <v>64707.839856537532</v>
      </c>
      <c r="N11" s="29">
        <f t="shared" ca="1" si="3"/>
        <v>76920.181468214883</v>
      </c>
      <c r="O11" s="29">
        <f t="shared" ca="1" si="3"/>
        <v>93370.385751129637</v>
      </c>
      <c r="P11" s="29">
        <f t="shared" ca="1" si="3"/>
        <v>117808.7893975871</v>
      </c>
      <c r="Q11" s="29">
        <f t="shared" ca="1" si="3"/>
        <v>148550.89349637981</v>
      </c>
      <c r="R11" s="29">
        <f t="shared" ca="1" si="3"/>
        <v>188636.37959315145</v>
      </c>
      <c r="S11" s="29">
        <f t="shared" ca="1" si="3"/>
        <v>238809.51001058699</v>
      </c>
    </row>
    <row r="12" spans="1:19">
      <c r="A12" s="78" t="s">
        <v>1065</v>
      </c>
      <c r="B12" s="78"/>
      <c r="C12" s="78"/>
      <c r="D12" s="81">
        <f t="shared" ref="D12:S12" ca="1" si="4">D160</f>
        <v>-1641.2673500000001</v>
      </c>
      <c r="E12" s="81">
        <f t="shared" ca="1" si="4"/>
        <v>-2920.6252090158387</v>
      </c>
      <c r="F12" s="81">
        <f t="shared" ca="1" si="4"/>
        <v>-2734.0783601727917</v>
      </c>
      <c r="G12" s="81">
        <f t="shared" ca="1" si="4"/>
        <v>-1081.7190571780729</v>
      </c>
      <c r="H12" s="81">
        <f t="shared" ca="1" si="4"/>
        <v>2472.5802063424289</v>
      </c>
      <c r="I12" s="81">
        <f t="shared" ca="1" si="4"/>
        <v>16984.009017578097</v>
      </c>
      <c r="J12" s="81">
        <f t="shared" ca="1" si="4"/>
        <v>47927.022340261894</v>
      </c>
      <c r="K12" s="81">
        <f t="shared" ca="1" si="4"/>
        <v>79174.308902715158</v>
      </c>
      <c r="L12" s="81">
        <f t="shared" ca="1" si="4"/>
        <v>94972.665864339302</v>
      </c>
      <c r="M12" s="81">
        <f t="shared" ca="1" si="4"/>
        <v>122776.86032559371</v>
      </c>
      <c r="N12" s="81">
        <f t="shared" ca="1" si="4"/>
        <v>175290.48486149037</v>
      </c>
      <c r="O12" s="81">
        <f t="shared" ca="1" si="4"/>
        <v>272508.09109640319</v>
      </c>
      <c r="P12" s="81">
        <f t="shared" ca="1" si="4"/>
        <v>386089.00633553555</v>
      </c>
      <c r="Q12" s="81">
        <f t="shared" ca="1" si="4"/>
        <v>497324.55837569141</v>
      </c>
      <c r="R12" s="81">
        <f t="shared" ca="1" si="4"/>
        <v>664845.03830935014</v>
      </c>
      <c r="S12" s="81">
        <f t="shared" ca="1" si="4"/>
        <v>895586.4825700894</v>
      </c>
    </row>
    <row r="13" spans="1:19">
      <c r="A13" s="5" t="s">
        <v>1069</v>
      </c>
      <c r="B13" s="3"/>
      <c r="C13" s="3"/>
      <c r="D13" s="29">
        <f t="shared" ref="D13:S13" ca="1" si="5">D161</f>
        <v>0</v>
      </c>
      <c r="E13" s="29">
        <f t="shared" ca="1" si="5"/>
        <v>17588.433452231853</v>
      </c>
      <c r="F13" s="29">
        <f t="shared" ca="1" si="5"/>
        <v>27905.221181949826</v>
      </c>
      <c r="G13" s="29">
        <f t="shared" ca="1" si="5"/>
        <v>17637.464100821333</v>
      </c>
      <c r="H13" s="29">
        <f t="shared" ca="1" si="5"/>
        <v>17355.361039800144</v>
      </c>
      <c r="I13" s="29">
        <f t="shared" ca="1" si="5"/>
        <v>45254.266085994102</v>
      </c>
      <c r="J13" s="29">
        <f t="shared" ca="1" si="5"/>
        <v>82395.577721369846</v>
      </c>
      <c r="K13" s="29">
        <f t="shared" ca="1" si="5"/>
        <v>123720.43905456817</v>
      </c>
      <c r="L13" s="29">
        <f t="shared" ca="1" si="5"/>
        <v>92370.275139522913</v>
      </c>
      <c r="M13" s="29">
        <f t="shared" ca="1" si="5"/>
        <v>119530.10822037797</v>
      </c>
      <c r="N13" s="29">
        <f t="shared" ca="1" si="5"/>
        <v>161064.63558497871</v>
      </c>
      <c r="O13" s="29">
        <f t="shared" ca="1" si="5"/>
        <v>239918.27902586077</v>
      </c>
      <c r="P13" s="29">
        <f t="shared" ca="1" si="5"/>
        <v>317208.9626936689</v>
      </c>
      <c r="Q13" s="29">
        <f t="shared" ca="1" si="5"/>
        <v>369002.33226612792</v>
      </c>
      <c r="R13" s="29">
        <f t="shared" ca="1" si="5"/>
        <v>483963.52598951885</v>
      </c>
      <c r="S13" s="29">
        <f t="shared" ca="1" si="5"/>
        <v>619237.46748286788</v>
      </c>
    </row>
    <row r="14" spans="1:19">
      <c r="A14" s="5" t="s">
        <v>1070</v>
      </c>
      <c r="B14" s="3"/>
      <c r="C14" s="3"/>
      <c r="D14" s="29">
        <f t="shared" ref="D14:S14" ca="1" si="6">D162</f>
        <v>-1641.2673500000001</v>
      </c>
      <c r="E14" s="29">
        <f t="shared" ca="1" si="6"/>
        <v>-18659.044694987791</v>
      </c>
      <c r="F14" s="29">
        <f t="shared" ca="1" si="6"/>
        <v>-26250.361853032344</v>
      </c>
      <c r="G14" s="29">
        <f t="shared" ca="1" si="6"/>
        <v>-11970.342880208042</v>
      </c>
      <c r="H14" s="29">
        <f t="shared" ca="1" si="6"/>
        <v>-5398.7498957722055</v>
      </c>
      <c r="I14" s="29">
        <f t="shared" ca="1" si="6"/>
        <v>-11620.80284154231</v>
      </c>
      <c r="J14" s="29">
        <f t="shared" ca="1" si="6"/>
        <v>-4028.7701769486594</v>
      </c>
      <c r="K14" s="29">
        <f t="shared" ca="1" si="6"/>
        <v>1094.124318604474</v>
      </c>
      <c r="L14" s="29">
        <f t="shared" ca="1" si="6"/>
        <v>57421.665076871577</v>
      </c>
      <c r="M14" s="29">
        <f t="shared" ca="1" si="6"/>
        <v>67954.591961753264</v>
      </c>
      <c r="N14" s="29">
        <f t="shared" ca="1" si="6"/>
        <v>91146.030744726566</v>
      </c>
      <c r="O14" s="29">
        <f t="shared" ca="1" si="6"/>
        <v>125960.19782167207</v>
      </c>
      <c r="P14" s="29">
        <f t="shared" ca="1" si="6"/>
        <v>186688.83303945372</v>
      </c>
      <c r="Q14" s="29">
        <f t="shared" ca="1" si="6"/>
        <v>276873.11960594333</v>
      </c>
      <c r="R14" s="29">
        <f t="shared" ca="1" si="6"/>
        <v>369517.89191298268</v>
      </c>
      <c r="S14" s="29">
        <f t="shared" ca="1" si="6"/>
        <v>515158.52509780857</v>
      </c>
    </row>
    <row r="15" spans="1:19">
      <c r="A15" s="5" t="s">
        <v>1072</v>
      </c>
      <c r="B15" s="3"/>
      <c r="C15" s="3"/>
      <c r="D15" s="29">
        <f t="shared" ref="D15:S15" ca="1" si="7">D163</f>
        <v>34238621.88016355</v>
      </c>
      <c r="E15" s="29">
        <f t="shared" ca="1" si="7"/>
        <v>39852469.651219949</v>
      </c>
      <c r="F15" s="29">
        <f t="shared" ca="1" si="7"/>
        <v>46524700.852636851</v>
      </c>
      <c r="G15" s="29">
        <f t="shared" ca="1" si="7"/>
        <v>52710697.540412709</v>
      </c>
      <c r="H15" s="29">
        <f t="shared" ca="1" si="7"/>
        <v>56035609.797379062</v>
      </c>
      <c r="I15" s="29">
        <f t="shared" ca="1" si="7"/>
        <v>51504751.157255575</v>
      </c>
      <c r="J15" s="29">
        <f t="shared" ca="1" si="7"/>
        <v>32151236.263311077</v>
      </c>
      <c r="K15" s="29">
        <f t="shared" ca="1" si="7"/>
        <v>19775941.981744822</v>
      </c>
      <c r="L15" s="29">
        <f t="shared" ca="1" si="7"/>
        <v>27461483.779545944</v>
      </c>
      <c r="M15" s="29">
        <f t="shared" ca="1" si="7"/>
        <v>40452303.779511757</v>
      </c>
      <c r="N15" s="29">
        <f t="shared" ca="1" si="7"/>
        <v>61565752.855125733</v>
      </c>
      <c r="O15" s="29">
        <f t="shared" ca="1" si="7"/>
        <v>67618898.202513233</v>
      </c>
      <c r="P15" s="29">
        <f t="shared" ca="1" si="7"/>
        <v>65856635.756853767</v>
      </c>
      <c r="Q15" s="29">
        <f t="shared" ca="1" si="7"/>
        <v>85793663.150248677</v>
      </c>
      <c r="R15" s="29">
        <f t="shared" ca="1" si="7"/>
        <v>116041833.19738825</v>
      </c>
      <c r="S15" s="29">
        <f t="shared" si="7"/>
        <v>0</v>
      </c>
    </row>
    <row r="16" spans="1:19">
      <c r="A16" s="5" t="s">
        <v>1073</v>
      </c>
      <c r="B16" s="3"/>
      <c r="C16" s="3"/>
      <c r="D16" s="60">
        <f t="shared" ref="D16:S16" ca="1" si="8">D164</f>
        <v>0</v>
      </c>
      <c r="E16" s="60">
        <f t="shared" ca="1" si="8"/>
        <v>0</v>
      </c>
      <c r="F16" s="60">
        <f t="shared" ca="1" si="8"/>
        <v>-4.8748517787806783E-3</v>
      </c>
      <c r="G16" s="60">
        <f t="shared" ca="1" si="8"/>
        <v>0.13436333955388979</v>
      </c>
      <c r="H16" s="60">
        <f t="shared" ca="1" si="8"/>
        <v>0.1800699877389122</v>
      </c>
      <c r="I16" s="60">
        <f t="shared" ca="1" si="8"/>
        <v>0.29955224433626382</v>
      </c>
      <c r="J16" s="60">
        <f t="shared" ca="1" si="8"/>
        <v>0.40988070937061677</v>
      </c>
      <c r="K16" s="60">
        <f t="shared" ca="1" si="8"/>
        <v>0.43552653119439338</v>
      </c>
      <c r="L16" s="60">
        <f t="shared" ca="1" si="8"/>
        <v>0.44557575010580985</v>
      </c>
      <c r="M16" s="60">
        <f t="shared" ca="1" si="8"/>
        <v>0.46827772397716627</v>
      </c>
      <c r="N16" s="60">
        <f t="shared" ca="1" si="8"/>
        <v>0.52142390515181636</v>
      </c>
      <c r="O16" s="60">
        <f t="shared" ca="1" si="8"/>
        <v>0.59830076003014521</v>
      </c>
      <c r="P16" s="60">
        <f t="shared" ca="1" si="8"/>
        <v>0.65553134373027622</v>
      </c>
      <c r="Q16" s="60">
        <f t="shared" ca="1" si="8"/>
        <v>0.70016665947734091</v>
      </c>
      <c r="R16" s="60">
        <f t="shared" ca="1" si="8"/>
        <v>0.75562211533868917</v>
      </c>
      <c r="S16" s="60">
        <f t="shared" ca="1" si="8"/>
        <v>0.82582727870742656</v>
      </c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13" t="s">
        <v>1370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>
      <c r="A20" s="5" t="s">
        <v>1371</v>
      </c>
      <c r="B20" s="3"/>
      <c r="C20" s="3"/>
      <c r="D20" s="70">
        <f>D21/(Assumptions!$B$381*(1+Assumptions!$B$382)^D$5)</f>
        <v>699.29328621908121</v>
      </c>
      <c r="E20" s="70">
        <f>E21/(Assumptions!$B$381*(1+Assumptions!$B$382)^E$5)</f>
        <v>688.64096913509866</v>
      </c>
      <c r="F20" s="70">
        <f>F21/(Assumptions!$B$381*(1+Assumptions!$B$382)^F$5)</f>
        <v>678.1509185299941</v>
      </c>
      <c r="G20" s="70">
        <f>G21/(Assumptions!$B$381*(1+Assumptions!$B$382)^G$5)</f>
        <v>667.82066260256568</v>
      </c>
      <c r="H20" s="70">
        <f>H21/(Assumptions!$B$381*(1+Assumptions!$B$382)^H$5)</f>
        <v>657.64776720449788</v>
      </c>
      <c r="I20" s="70">
        <f>I21/(Assumptions!$B$381*(1+Assumptions!$B$382)^I$5)</f>
        <v>647.62983526679477</v>
      </c>
      <c r="J20" s="70">
        <f>J21/(Assumptions!$B$381*(1+Assumptions!$B$382)^J$5)</f>
        <v>637.76450623495282</v>
      </c>
      <c r="K20" s="70">
        <f>K21/(Assumptions!$B$381*(1+Assumptions!$B$382)^K$5)</f>
        <v>628.04945551273568</v>
      </c>
      <c r="L20" s="70">
        <f>L21/(Assumptions!$B$381*(1+Assumptions!$B$382)^L$5)</f>
        <v>618.48239391442326</v>
      </c>
      <c r="M20" s="70">
        <f>M21/(Assumptions!$B$381*(1+Assumptions!$B$382)^M$5)</f>
        <v>609.06106712540407</v>
      </c>
      <c r="N20" s="70">
        <f>N21/(Assumptions!$B$381*(1+Assumptions!$B$382)^N$5)</f>
        <v>599.78325517098483</v>
      </c>
      <c r="O20" s="70">
        <f>O21/(Assumptions!$B$381*(1+Assumptions!$B$382)^O$5)</f>
        <v>590.64677189329052</v>
      </c>
      <c r="P20" s="70">
        <f>P21/(Assumptions!$B$381*(1+Assumptions!$B$382)^P$5)</f>
        <v>581.64946443613451</v>
      </c>
      <c r="Q20" s="70">
        <f>Q21/(Assumptions!$B$381*(1+Assumptions!$B$382)^Q$5)</f>
        <v>572.78921273773472</v>
      </c>
      <c r="R20" s="70">
        <f>R21/(Assumptions!$B$381*(1+Assumptions!$B$382)^R$5)</f>
        <v>564.06392903115602</v>
      </c>
      <c r="S20" s="70">
        <f>S21/(Assumptions!$B$381*(1+Assumptions!$B$382)^S$5)</f>
        <v>555.47155735236595</v>
      </c>
    </row>
    <row r="21" spans="1:19">
      <c r="A21" s="5" t="s">
        <v>1372</v>
      </c>
      <c r="B21" s="3"/>
      <c r="C21" s="3"/>
      <c r="D21" s="70">
        <f>Assumptions!$B$74*(1+Assumptions!$B$383)^D$5</f>
        <v>1979</v>
      </c>
      <c r="E21" s="70">
        <f>Assumptions!$B$74*(1+Assumptions!$B$383)^E$5</f>
        <v>2174.9209999999998</v>
      </c>
      <c r="F21" s="70">
        <f>Assumptions!$B$74*(1+Assumptions!$B$383)^F$5</f>
        <v>2390.2381789999999</v>
      </c>
      <c r="G21" s="70">
        <f>Assumptions!$B$74*(1+Assumptions!$B$383)^G$5</f>
        <v>2626.8717587209994</v>
      </c>
      <c r="H21" s="70">
        <f>Assumptions!$B$74*(1+Assumptions!$B$383)^H$5</f>
        <v>2886.9320628343789</v>
      </c>
      <c r="I21" s="70">
        <f>Assumptions!$B$74*(1+Assumptions!$B$383)^I$5</f>
        <v>3172.7383370549819</v>
      </c>
      <c r="J21" s="70">
        <f>Assumptions!$B$74*(1+Assumptions!$B$383)^J$5</f>
        <v>3486.839432423425</v>
      </c>
      <c r="K21" s="70">
        <f>Assumptions!$B$74*(1+Assumptions!$B$383)^K$5</f>
        <v>3832.0365362333437</v>
      </c>
      <c r="L21" s="70">
        <f>Assumptions!$B$74*(1+Assumptions!$B$383)^L$5</f>
        <v>4211.4081533204453</v>
      </c>
      <c r="M21" s="70">
        <f>Assumptions!$B$74*(1+Assumptions!$B$383)^M$5</f>
        <v>4628.3375604991688</v>
      </c>
      <c r="N21" s="70">
        <f>Assumptions!$B$74*(1+Assumptions!$B$383)^N$5</f>
        <v>5086.5429789885866</v>
      </c>
      <c r="O21" s="70">
        <f>Assumptions!$B$74*(1+Assumptions!$B$383)^O$5</f>
        <v>5590.1107339084565</v>
      </c>
      <c r="P21" s="70">
        <f>Assumptions!$B$74*(1+Assumptions!$B$383)^P$5</f>
        <v>6143.5316965653938</v>
      </c>
      <c r="Q21" s="70">
        <f>Assumptions!$B$74*(1+Assumptions!$B$383)^Q$5</f>
        <v>6751.7413345253681</v>
      </c>
      <c r="R21" s="70">
        <f>Assumptions!$B$74*(1+Assumptions!$B$383)^R$5</f>
        <v>7420.1637266433791</v>
      </c>
      <c r="S21" s="70">
        <f>Assumptions!$B$74*(1+Assumptions!$B$383)^S$5</f>
        <v>8154.7599355810717</v>
      </c>
    </row>
    <row r="22" spans="1:19">
      <c r="A22" s="5" t="s">
        <v>1373</v>
      </c>
      <c r="B22" s="3"/>
      <c r="C22" s="3"/>
      <c r="D22" s="139">
        <f>Assumptions!D$321</f>
        <v>2</v>
      </c>
      <c r="E22" s="139">
        <f>Assumptions!E$321</f>
        <v>1.9</v>
      </c>
      <c r="F22" s="139">
        <f>Assumptions!F$321</f>
        <v>1.8049999999999999</v>
      </c>
      <c r="G22" s="139">
        <f>Assumptions!G$321</f>
        <v>1.7147499999999998</v>
      </c>
      <c r="H22" s="139">
        <f>Assumptions!H$321</f>
        <v>1.6290125</v>
      </c>
      <c r="I22" s="139">
        <f>Assumptions!I$321</f>
        <v>1.547561875</v>
      </c>
      <c r="J22" s="139">
        <f>Assumptions!J$321</f>
        <v>1.4701837812499998</v>
      </c>
      <c r="K22" s="139">
        <f>Assumptions!K$321</f>
        <v>1.3966745921874999</v>
      </c>
      <c r="L22" s="139">
        <f>Assumptions!L$321</f>
        <v>1.3268408625781249</v>
      </c>
      <c r="M22" s="139">
        <f>Assumptions!M$321</f>
        <v>1.2604988194492186</v>
      </c>
      <c r="N22" s="139">
        <f>Assumptions!N$321</f>
        <v>1.1974738784767578</v>
      </c>
      <c r="O22" s="139">
        <f>Assumptions!O$321</f>
        <v>1.1376001845529198</v>
      </c>
      <c r="P22" s="139">
        <f>Assumptions!P$321</f>
        <v>1.0807201753252738</v>
      </c>
      <c r="Q22" s="139">
        <f>Assumptions!Q$321</f>
        <v>1.0266841665590101</v>
      </c>
      <c r="R22" s="139">
        <f>Assumptions!R$321</f>
        <v>0.97534995823105952</v>
      </c>
      <c r="S22" s="139">
        <f>Assumptions!S$321</f>
        <v>0.92658246031950664</v>
      </c>
    </row>
    <row r="23" spans="1:19">
      <c r="A23" s="5" t="s">
        <v>524</v>
      </c>
      <c r="B23" s="3"/>
      <c r="C23" s="3"/>
      <c r="D23" s="110">
        <f>Assumptions!D$322</f>
        <v>0.4</v>
      </c>
      <c r="E23" s="110">
        <f>Assumptions!E$322</f>
        <v>0.49</v>
      </c>
      <c r="F23" s="110">
        <f>Assumptions!F$322</f>
        <v>0.58000000000000007</v>
      </c>
      <c r="G23" s="110">
        <f>Assumptions!G$322</f>
        <v>0.67</v>
      </c>
      <c r="H23" s="110">
        <f>Assumptions!H$322</f>
        <v>0.76</v>
      </c>
      <c r="I23" s="110">
        <f>Assumptions!I$322</f>
        <v>0.85</v>
      </c>
      <c r="J23" s="110">
        <f>Assumptions!J$322</f>
        <v>0.85</v>
      </c>
      <c r="K23" s="110">
        <f>Assumptions!K$322</f>
        <v>0.85</v>
      </c>
      <c r="L23" s="110">
        <f>Assumptions!L$322</f>
        <v>0.85</v>
      </c>
      <c r="M23" s="110">
        <f>Assumptions!M$322</f>
        <v>0.85</v>
      </c>
      <c r="N23" s="110">
        <f>Assumptions!N$322</f>
        <v>0.85</v>
      </c>
      <c r="O23" s="110">
        <f>Assumptions!O$322</f>
        <v>0.85</v>
      </c>
      <c r="P23" s="110">
        <f>Assumptions!P$322</f>
        <v>0.85</v>
      </c>
      <c r="Q23" s="110">
        <f>Assumptions!Q$322</f>
        <v>0.85</v>
      </c>
      <c r="R23" s="110">
        <f>Assumptions!R$322</f>
        <v>0.85</v>
      </c>
      <c r="S23" s="110">
        <f>Assumptions!S$322</f>
        <v>0.85</v>
      </c>
    </row>
    <row r="24" spans="1:19">
      <c r="A24" s="5" t="s">
        <v>1374</v>
      </c>
      <c r="B24" s="3"/>
      <c r="C24" s="3"/>
      <c r="D24" s="80">
        <f>Assumptions!$B$282*(1-Assumptions!$B$352)^D$5*D21</f>
        <v>30001.64</v>
      </c>
      <c r="E24" s="80">
        <f>Assumptions!$B$282*(1-Assumptions!$B$352)^E$5*E21</f>
        <v>28026.032005999998</v>
      </c>
      <c r="F24" s="80">
        <f>Assumptions!$B$282*(1-Assumptions!$B$352)^F$5*F21</f>
        <v>26180.517798404897</v>
      </c>
      <c r="G24" s="80">
        <f>Assumptions!$B$282*(1-Assumptions!$B$352)^G$5*G21</f>
        <v>24456.530701379928</v>
      </c>
      <c r="H24" s="80">
        <f>Assumptions!$B$282*(1-Assumptions!$B$352)^H$5*H21</f>
        <v>22846.068154694061</v>
      </c>
      <c r="I24" s="80">
        <f>Assumptions!$B$282*(1-Assumptions!$B$352)^I$5*I21</f>
        <v>21341.654566707453</v>
      </c>
      <c r="J24" s="80">
        <f>Assumptions!$B$282*(1-Assumptions!$B$352)^J$5*J21</f>
        <v>19936.306613489767</v>
      </c>
      <c r="K24" s="80">
        <f>Assumptions!$B$282*(1-Assumptions!$B$352)^K$5*K21</f>
        <v>18623.50082299146</v>
      </c>
      <c r="L24" s="80">
        <f>Assumptions!$B$282*(1-Assumptions!$B$352)^L$5*L21</f>
        <v>17397.143293797475</v>
      </c>
      <c r="M24" s="80">
        <f>Assumptions!$B$282*(1-Assumptions!$B$352)^M$5*M21</f>
        <v>16251.54140790091</v>
      </c>
      <c r="N24" s="80">
        <f>Assumptions!$B$282*(1-Assumptions!$B$352)^N$5*N21</f>
        <v>15181.377406190635</v>
      </c>
      <c r="O24" s="80">
        <f>Assumptions!$B$282*(1-Assumptions!$B$352)^O$5*O21</f>
        <v>14181.683703992981</v>
      </c>
      <c r="P24" s="80">
        <f>Assumptions!$B$282*(1-Assumptions!$B$352)^P$5*P21</f>
        <v>13247.819832085044</v>
      </c>
      <c r="Q24" s="80">
        <f>Assumptions!$B$282*(1-Assumptions!$B$352)^Q$5*Q21</f>
        <v>12375.450896142243</v>
      </c>
      <c r="R24" s="80">
        <f>Assumptions!$B$282*(1-Assumptions!$B$352)^R$5*R21</f>
        <v>11560.527454631274</v>
      </c>
      <c r="S24" s="80">
        <f>Assumptions!$B$282*(1-Assumptions!$B$352)^S$5*S21</f>
        <v>10799.266721743801</v>
      </c>
    </row>
    <row r="25" spans="1:19">
      <c r="A25" s="5" t="s">
        <v>1375</v>
      </c>
      <c r="B25" s="3"/>
      <c r="C25" s="3"/>
      <c r="D25" s="70">
        <f>D217*(D218+Assumptions!$B$407)+D219*Assumptions!$B$266</f>
        <v>906.62888936947081</v>
      </c>
      <c r="E25" s="70">
        <f>E217*(E218+Assumptions!$B$407)+E219*Assumptions!$B$266</f>
        <v>879.49310436960127</v>
      </c>
      <c r="F25" s="70">
        <f>F217*(F218+Assumptions!$B$407)+F219*Assumptions!$B$266</f>
        <v>852.35731936973173</v>
      </c>
      <c r="G25" s="70">
        <f>G217*(G218+Assumptions!$B$407)+G219*Assumptions!$B$266</f>
        <v>825.22153436986218</v>
      </c>
      <c r="H25" s="70">
        <f>H217*(H218+Assumptions!$B$407)+H219*Assumptions!$B$266</f>
        <v>798.08574936999275</v>
      </c>
      <c r="I25" s="70">
        <f>I217*(I218+Assumptions!$B$407)+I219*Assumptions!$B$266</f>
        <v>770.9499643701231</v>
      </c>
      <c r="J25" s="70">
        <f>J217*(J218+Assumptions!$B$407)+J219*Assumptions!$B$266</f>
        <v>743.81417937025367</v>
      </c>
      <c r="K25" s="70">
        <f>K217*(K218+Assumptions!$B$407)+K219*Assumptions!$B$266</f>
        <v>716.67839437038413</v>
      </c>
      <c r="L25" s="70">
        <f>L217*(L218+Assumptions!$B$407)+L219*Assumptions!$B$266</f>
        <v>689.5426093705147</v>
      </c>
      <c r="M25" s="70">
        <f>M217*(M218+Assumptions!$B$407)+M219*Assumptions!$B$266</f>
        <v>662.40682437064515</v>
      </c>
      <c r="N25" s="70">
        <f>N217*(N218+Assumptions!$B$407)+N219*Assumptions!$B$266</f>
        <v>635.27103937077572</v>
      </c>
      <c r="O25" s="70">
        <f>O217*(O218+Assumptions!$B$407)+O219*Assumptions!$B$266</f>
        <v>608.13525437090618</v>
      </c>
      <c r="P25" s="70">
        <f>P217*(P218+Assumptions!$B$407)+P219*Assumptions!$B$266</f>
        <v>580.99946937103653</v>
      </c>
      <c r="Q25" s="70">
        <f>Q217*(Q218+Assumptions!$B$407)+Q219*Assumptions!$B$266</f>
        <v>553.86368437116698</v>
      </c>
      <c r="R25" s="70">
        <f>R217*(R218+Assumptions!$B$407)+R219*Assumptions!$B$266</f>
        <v>526.72789937129755</v>
      </c>
      <c r="S25" s="70">
        <f>S217*(S218+Assumptions!$B$407)+S219*Assumptions!$B$266</f>
        <v>499.59211437142801</v>
      </c>
    </row>
    <row r="26" spans="1:19">
      <c r="A26" s="78" t="s">
        <v>1376</v>
      </c>
      <c r="B26" s="78"/>
      <c r="C26" s="78"/>
      <c r="D26" s="125">
        <f t="shared" ref="D26:S26" si="9">D25+D222</f>
        <v>2244.4066671472488</v>
      </c>
      <c r="E26" s="125">
        <f t="shared" si="9"/>
        <v>2153.7788186553153</v>
      </c>
      <c r="F26" s="125">
        <f t="shared" si="9"/>
        <v>2072.7346778602978</v>
      </c>
      <c r="G26" s="125">
        <f t="shared" si="9"/>
        <v>1999.2566220891604</v>
      </c>
      <c r="H26" s="125">
        <f t="shared" si="9"/>
        <v>1931.8562411732714</v>
      </c>
      <c r="I26" s="125">
        <f t="shared" si="9"/>
        <v>1869.4115028316617</v>
      </c>
      <c r="J26" s="125">
        <f t="shared" si="9"/>
        <v>1811.0605561818479</v>
      </c>
      <c r="K26" s="125">
        <f t="shared" si="9"/>
        <v>1756.1304491649048</v>
      </c>
      <c r="L26" s="125">
        <f t="shared" si="9"/>
        <v>1704.0880639159691</v>
      </c>
      <c r="M26" s="125">
        <f t="shared" si="9"/>
        <v>1654.505589802744</v>
      </c>
      <c r="N26" s="125">
        <f t="shared" si="9"/>
        <v>1607.0357452531287</v>
      </c>
      <c r="O26" s="125">
        <f t="shared" si="9"/>
        <v>1561.3936813371984</v>
      </c>
      <c r="P26" s="125">
        <f t="shared" si="9"/>
        <v>1517.3435553925419</v>
      </c>
      <c r="Q26" s="125">
        <f t="shared" si="9"/>
        <v>1474.6884266392083</v>
      </c>
      <c r="R26" s="125">
        <f t="shared" si="9"/>
        <v>1433.2625528366441</v>
      </c>
      <c r="S26" s="125">
        <f t="shared" si="9"/>
        <v>1392.9254477047612</v>
      </c>
    </row>
    <row r="27" spans="1:1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13" t="s">
        <v>1377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>
      <c r="A29" s="5" t="s">
        <v>1378</v>
      </c>
      <c r="B29" s="3"/>
      <c r="C29" s="3"/>
      <c r="D29" s="70">
        <f t="array" aca="1" ref="D29" ca="1">INDEX('Vehicle Build'!$D:$AC,MATCH("Starship at-cost rate, fully reusable ($mm/launch)",'Vehicle Build'!$A$1:$A$119,0),D$5+1)</f>
        <v>18.192564285070283</v>
      </c>
      <c r="E29" s="70">
        <f t="array" aca="1" ref="E29" ca="1">INDEX('Vehicle Build'!$D:$AC,MATCH("Starship at-cost rate, fully reusable ($mm/launch)",'Vehicle Build'!$A$1:$A$119,0),E$5+1)</f>
        <v>14.499423754028511</v>
      </c>
      <c r="F29" s="70">
        <f t="array" aca="1" ref="F29" ca="1">INDEX('Vehicle Build'!$D:$AC,MATCH("Starship at-cost rate, fully reusable ($mm/launch)",'Vehicle Build'!$A$1:$A$119,0),F$5+1)</f>
        <v>11.804892604145198</v>
      </c>
      <c r="G29" s="70">
        <f t="array" aca="1" ref="G29" ca="1">INDEX('Vehicle Build'!$D:$AC,MATCH("Starship at-cost rate, fully reusable ($mm/launch)",'Vehicle Build'!$A$1:$A$119,0),G$5+1)</f>
        <v>9.9704187366340875</v>
      </c>
      <c r="H29" s="70">
        <f t="array" aca="1" ref="H29" ca="1">INDEX('Vehicle Build'!$D:$AC,MATCH("Starship at-cost rate, fully reusable ($mm/launch)",'Vehicle Build'!$A$1:$A$119,0),H$5+1)</f>
        <v>8.8283342988931413</v>
      </c>
      <c r="I29" s="70">
        <f t="array" aca="1" ref="I29" ca="1">INDEX('Vehicle Build'!$D:$AC,MATCH("Starship at-cost rate, fully reusable ($mm/launch)",'Vehicle Build'!$A$1:$A$119,0),I$5+1)</f>
        <v>8.1203650367351585</v>
      </c>
      <c r="J29" s="70">
        <f t="array" aca="1" ref="J29" ca="1">INDEX('Vehicle Build'!$D:$AC,MATCH("Starship at-cost rate, fully reusable ($mm/launch)",'Vehicle Build'!$A$1:$A$119,0),J$5+1)</f>
        <v>7.5835393237515065</v>
      </c>
      <c r="K29" s="70">
        <f t="array" aca="1" ref="K29" ca="1">INDEX('Vehicle Build'!$D:$AC,MATCH("Starship at-cost rate, fully reusable ($mm/launch)",'Vehicle Build'!$A$1:$A$119,0),K$5+1)</f>
        <v>7.13549686064413</v>
      </c>
      <c r="L29" s="70">
        <f t="array" aca="1" ref="L29" ca="1">INDEX('Vehicle Build'!$D:$AC,MATCH("Starship at-cost rate, fully reusable ($mm/launch)",'Vehicle Build'!$A$1:$A$119,0),L$5+1)</f>
        <v>6.8774909056606406</v>
      </c>
      <c r="M29" s="70">
        <f t="array" aca="1" ref="M29" ca="1">INDEX('Vehicle Build'!$D:$AC,MATCH("Starship at-cost rate, fully reusable ($mm/launch)",'Vehicle Build'!$A$1:$A$119,0),M$5+1)</f>
        <v>6.700159664732225</v>
      </c>
      <c r="N29" s="70">
        <f t="array" aca="1" ref="N29" ca="1">INDEX('Vehicle Build'!$D:$AC,MATCH("Starship at-cost rate, fully reusable ($mm/launch)",'Vehicle Build'!$A$1:$A$119,0),N$5+1)</f>
        <v>6.5509332055833784</v>
      </c>
      <c r="O29" s="70">
        <f t="array" aca="1" ref="O29" ca="1">INDEX('Vehicle Build'!$D:$AC,MATCH("Starship at-cost rate, fully reusable ($mm/launch)",'Vehicle Build'!$A$1:$A$119,0),O$5+1)</f>
        <v>6.4264100193559504</v>
      </c>
      <c r="P29" s="70">
        <f t="array" aca="1" ref="P29" ca="1">INDEX('Vehicle Build'!$D:$AC,MATCH("Starship at-cost rate, fully reusable ($mm/launch)",'Vehicle Build'!$A$1:$A$119,0),P$5+1)</f>
        <v>6.3783552645310202</v>
      </c>
      <c r="Q29" s="70">
        <f t="array" aca="1" ref="Q29" ca="1">INDEX('Vehicle Build'!$D:$AC,MATCH("Starship at-cost rate, fully reusable ($mm/launch)",'Vehicle Build'!$A$1:$A$119,0),Q$5+1)</f>
        <v>6.3201067572887686</v>
      </c>
      <c r="R29" s="70">
        <f t="array" aca="1" ref="R29" ca="1">INDEX('Vehicle Build'!$D:$AC,MATCH("Starship at-cost rate, fully reusable ($mm/launch)",'Vehicle Build'!$A$1:$A$119,0),R$5+1)</f>
        <v>6.239301444498274</v>
      </c>
      <c r="S29" s="70">
        <f t="array" aca="1" ref="S29" ca="1">INDEX('Vehicle Build'!$D:$AC,MATCH("Starship at-cost rate, fully reusable ($mm/launch)",'Vehicle Build'!$A$1:$A$119,0),S$5+1)</f>
        <v>6.1470555951976724</v>
      </c>
    </row>
    <row r="30" spans="1:19">
      <c r="A30" s="5" t="s">
        <v>1379</v>
      </c>
      <c r="B30" s="3"/>
      <c r="C30" s="3"/>
      <c r="D30" s="70">
        <f>IF(D$4&lt;Assumptions!$B$353, 0, 'Cash Allocation Engine'!D88 + 'Cash Allocation Engine'!D134)</f>
        <v>0</v>
      </c>
      <c r="E30" s="70">
        <f>IF(E$4&lt;Assumptions!$B$353, 0, 'Cash Allocation Engine'!E88 + 'Cash Allocation Engine'!E134)</f>
        <v>0</v>
      </c>
      <c r="F30" s="70">
        <f>IF(F$4&lt;Assumptions!$B$353, 0, 'Cash Allocation Engine'!F88 + 'Cash Allocation Engine'!F134)</f>
        <v>0</v>
      </c>
      <c r="G30" s="70">
        <f ca="1">IF(G$4&lt;Assumptions!$B$353, 0, 'Cash Allocation Engine'!G88 + 'Cash Allocation Engine'!G134)</f>
        <v>5960.3207828820478</v>
      </c>
      <c r="H30" s="70">
        <f ca="1">IF(H$4&lt;Assumptions!$B$353, 0, 'Cash Allocation Engine'!H88 + 'Cash Allocation Engine'!H134)</f>
        <v>12115.6649904274</v>
      </c>
      <c r="I30" s="70">
        <f ca="1">IF(I$4&lt;Assumptions!$B$353, 0, 'Cash Allocation Engine'!I88 + 'Cash Allocation Engine'!I134)</f>
        <v>32337.51472734729</v>
      </c>
      <c r="J30" s="70">
        <f ca="1">IF(J$4&lt;Assumptions!$B$353, 0, 'Cash Allocation Engine'!J88 + 'Cash Allocation Engine'!J134)</f>
        <v>65884.561307166281</v>
      </c>
      <c r="K30" s="70">
        <f ca="1">IF(K$4&lt;Assumptions!$B$353, 0, 'Cash Allocation Engine'!K88 + 'Cash Allocation Engine'!K134)</f>
        <v>60099.839145711732</v>
      </c>
      <c r="L30" s="70">
        <f ca="1">IF(L$4&lt;Assumptions!$B$353, 0, 'Cash Allocation Engine'!L88 + 'Cash Allocation Engine'!L134)</f>
        <v>36531.388542873487</v>
      </c>
      <c r="M30" s="70">
        <f ca="1">IF(M$4&lt;Assumptions!$B$353, 0, 'Cash Allocation Engine'!M88 + 'Cash Allocation Engine'!M134)</f>
        <v>50187.661893632096</v>
      </c>
      <c r="N30" s="70">
        <f ca="1">IF(N$4&lt;Assumptions!$B$353, 0, 'Cash Allocation Engine'!N88 + 'Cash Allocation Engine'!N134)</f>
        <v>73100.526505718357</v>
      </c>
      <c r="O30" s="70">
        <f ca="1">IF(O$4&lt;Assumptions!$B$353, 0, 'Cash Allocation Engine'!O88 + 'Cash Allocation Engine'!O134)</f>
        <v>109665.79340343134</v>
      </c>
      <c r="P30" s="70">
        <f ca="1">IF(P$4&lt;Assumptions!$B$353, 0, 'Cash Allocation Engine'!P88 + 'Cash Allocation Engine'!P134)</f>
        <v>118079.9998261361</v>
      </c>
      <c r="Q30" s="70">
        <f ca="1">IF(Q$4&lt;Assumptions!$B$353, 0, 'Cash Allocation Engine'!Q88 + 'Cash Allocation Engine'!Q134)</f>
        <v>112942.66683995223</v>
      </c>
      <c r="R30" s="70">
        <f ca="1">IF(R$4&lt;Assumptions!$B$353, 0, 'Cash Allocation Engine'!R88 + 'Cash Allocation Engine'!R134)</f>
        <v>144687.97340972914</v>
      </c>
      <c r="S30" s="70">
        <f ca="1">IF(S$4&lt;Assumptions!$B$353, 0, 'Cash Allocation Engine'!S88 + 'Cash Allocation Engine'!S134)</f>
        <v>192088.43351557196</v>
      </c>
    </row>
    <row r="31" spans="1:19">
      <c r="A31" s="5" t="s">
        <v>1380</v>
      </c>
      <c r="B31" s="3"/>
      <c r="C31" s="3"/>
      <c r="D31" s="23">
        <f t="shared" ref="D31:S31" ca="1" si="10">(D32+D44)*D26</f>
        <v>29529658.519656353</v>
      </c>
      <c r="E31" s="23">
        <f t="shared" ca="1" si="10"/>
        <v>34238621.88016355</v>
      </c>
      <c r="F31" s="23">
        <f t="shared" ca="1" si="10"/>
        <v>39852469.651219949</v>
      </c>
      <c r="G31" s="23">
        <f t="shared" ca="1" si="10"/>
        <v>46524700.852636851</v>
      </c>
      <c r="H31" s="23">
        <f t="shared" ca="1" si="10"/>
        <v>52710697.540412709</v>
      </c>
      <c r="I31" s="23">
        <f t="shared" ca="1" si="10"/>
        <v>56035609.797379062</v>
      </c>
      <c r="J31" s="23">
        <f t="shared" ca="1" si="10"/>
        <v>51504751.157255575</v>
      </c>
      <c r="K31" s="23">
        <f t="shared" ca="1" si="10"/>
        <v>32151236.263311077</v>
      </c>
      <c r="L31" s="23">
        <f t="shared" ca="1" si="10"/>
        <v>21309621.239269193</v>
      </c>
      <c r="M31" s="23">
        <f t="shared" ca="1" si="10"/>
        <v>32628504.736499913</v>
      </c>
      <c r="N31" s="23">
        <f t="shared" ca="1" si="10"/>
        <v>54671356.053511433</v>
      </c>
      <c r="O31" s="23">
        <f t="shared" ca="1" si="10"/>
        <v>91347775.93295145</v>
      </c>
      <c r="P31" s="23">
        <f t="shared" ca="1" si="10"/>
        <v>95398424.014639899</v>
      </c>
      <c r="Q31" s="23">
        <f t="shared" ca="1" si="10"/>
        <v>82970394.948001772</v>
      </c>
      <c r="R31" s="23">
        <f t="shared" ca="1" si="10"/>
        <v>109582955.0022313</v>
      </c>
      <c r="S31" s="23">
        <f t="shared" ca="1" si="10"/>
        <v>151104552.56701249</v>
      </c>
    </row>
    <row r="32" spans="1:19">
      <c r="A32" s="5" t="s">
        <v>1381</v>
      </c>
      <c r="B32" s="3"/>
      <c r="C32" s="3"/>
      <c r="D32" s="29">
        <f t="shared" ref="D32:S32" ca="1" si="11">MAX(0, ROUNDUP(D200 - MAX(0, C46 - D44), 0))</f>
        <v>13157</v>
      </c>
      <c r="E32" s="29">
        <f t="shared" ca="1" si="11"/>
        <v>15897</v>
      </c>
      <c r="F32" s="29">
        <f t="shared" ca="1" si="11"/>
        <v>19227</v>
      </c>
      <c r="G32" s="29">
        <f t="shared" ca="1" si="11"/>
        <v>23271</v>
      </c>
      <c r="H32" s="29">
        <f t="shared" ca="1" si="11"/>
        <v>27285</v>
      </c>
      <c r="I32" s="29">
        <f t="shared" ca="1" si="11"/>
        <v>29975</v>
      </c>
      <c r="J32" s="29">
        <f t="shared" ca="1" si="11"/>
        <v>28439</v>
      </c>
      <c r="K32" s="29">
        <f t="shared" ca="1" si="11"/>
        <v>18308</v>
      </c>
      <c r="L32" s="29">
        <f t="shared" ca="1" si="11"/>
        <v>11605</v>
      </c>
      <c r="M32" s="29">
        <f t="shared" ca="1" si="11"/>
        <v>16598</v>
      </c>
      <c r="N32" s="29">
        <f t="shared" ca="1" si="11"/>
        <v>25172</v>
      </c>
      <c r="O32" s="29">
        <f t="shared" ca="1" si="11"/>
        <v>39430</v>
      </c>
      <c r="P32" s="29">
        <f t="shared" ca="1" si="11"/>
        <v>44564</v>
      </c>
      <c r="Q32" s="29">
        <f t="shared" ca="1" si="11"/>
        <v>44658</v>
      </c>
      <c r="R32" s="29">
        <f t="shared" ca="1" si="11"/>
        <v>59859</v>
      </c>
      <c r="S32" s="29">
        <f t="shared" ca="1" si="11"/>
        <v>83308</v>
      </c>
    </row>
    <row r="33" spans="1:19">
      <c r="A33" s="5" t="s">
        <v>1382</v>
      </c>
      <c r="B33" s="3"/>
      <c r="C33" s="3"/>
      <c r="D33" s="70">
        <f>IFERROR(FLOOR(Assumptions!$B$266*1000/D20,1),0)</f>
        <v>200</v>
      </c>
      <c r="E33" s="70">
        <f>IFERROR(FLOOR(Assumptions!$B$266*1000/E20,1),0)</f>
        <v>203</v>
      </c>
      <c r="F33" s="70">
        <f>IFERROR(FLOOR(Assumptions!$B$266*1000/F20,1),0)</f>
        <v>206</v>
      </c>
      <c r="G33" s="70">
        <f>IFERROR(FLOOR(Assumptions!$B$266*1000/G20,1),0)</f>
        <v>209</v>
      </c>
      <c r="H33" s="70">
        <f>IFERROR(FLOOR(Assumptions!$B$266*1000/H20,1),0)</f>
        <v>212</v>
      </c>
      <c r="I33" s="70">
        <f>IFERROR(FLOOR(Assumptions!$B$266*1000/I20,1),0)</f>
        <v>216</v>
      </c>
      <c r="J33" s="70">
        <f>IFERROR(FLOOR(Assumptions!$B$266*1000/J20,1),0)</f>
        <v>219</v>
      </c>
      <c r="K33" s="70">
        <f>IFERROR(FLOOR(Assumptions!$B$266*1000/K20,1),0)</f>
        <v>222</v>
      </c>
      <c r="L33" s="70">
        <f>IFERROR(FLOOR(Assumptions!$B$266*1000/L20,1),0)</f>
        <v>226</v>
      </c>
      <c r="M33" s="70">
        <f>IFERROR(FLOOR(Assumptions!$B$266*1000/M20,1),0)</f>
        <v>229</v>
      </c>
      <c r="N33" s="70">
        <f>IFERROR(FLOOR(Assumptions!$B$266*1000/N20,1),0)</f>
        <v>233</v>
      </c>
      <c r="O33" s="70">
        <f>IFERROR(FLOOR(Assumptions!$B$266*1000/O20,1),0)</f>
        <v>237</v>
      </c>
      <c r="P33" s="70">
        <f>IFERROR(FLOOR(Assumptions!$B$266*1000/P20,1),0)</f>
        <v>240</v>
      </c>
      <c r="Q33" s="70">
        <f>IFERROR(FLOOR(Assumptions!$B$266*1000/Q20,1),0)</f>
        <v>244</v>
      </c>
      <c r="R33" s="70">
        <f>IFERROR(FLOOR(Assumptions!$B$266*1000/R20,1),0)</f>
        <v>248</v>
      </c>
      <c r="S33" s="70">
        <f>IFERROR(FLOOR(Assumptions!$B$266*1000/S20,1),0)</f>
        <v>252</v>
      </c>
    </row>
    <row r="34" spans="1:19">
      <c r="A34" s="5" t="s">
        <v>1383</v>
      </c>
      <c r="B34" s="3"/>
      <c r="C34" s="3"/>
      <c r="D34" s="80">
        <f>Assumptions!$B$267*Assumptions!$B$270+D25*Assumptions!$B$271+Assumptions!$B$272+Assumptions!$B$273+Assumptions!$B$274+Assumptions!$B$275+Assumptions!$B$276+Assumptions!$B$277</f>
        <v>4504886.668108413</v>
      </c>
      <c r="E34" s="80">
        <f>Assumptions!$B$267*Assumptions!$B$270+E25*Assumptions!$B$271+Assumptions!$B$272+Assumptions!$B$273+Assumptions!$B$274+Assumptions!$B$275+Assumptions!$B$276+Assumptions!$B$277</f>
        <v>4423479.3131088037</v>
      </c>
      <c r="F34" s="80">
        <f>Assumptions!$B$267*Assumptions!$B$270+F25*Assumptions!$B$271+Assumptions!$B$272+Assumptions!$B$273+Assumptions!$B$274+Assumptions!$B$275+Assumptions!$B$276+Assumptions!$B$277</f>
        <v>4342071.9581091953</v>
      </c>
      <c r="G34" s="80">
        <f>Assumptions!$B$267*Assumptions!$B$270+G25*Assumptions!$B$271+Assumptions!$B$272+Assumptions!$B$273+Assumptions!$B$274+Assumptions!$B$275+Assumptions!$B$276+Assumptions!$B$277</f>
        <v>4260664.603109587</v>
      </c>
      <c r="H34" s="80">
        <f>Assumptions!$B$267*Assumptions!$B$270+H25*Assumptions!$B$271+Assumptions!$B$272+Assumptions!$B$273+Assumptions!$B$274+Assumptions!$B$275+Assumptions!$B$276+Assumptions!$B$277</f>
        <v>4179257.2481099782</v>
      </c>
      <c r="I34" s="80">
        <f>Assumptions!$B$267*Assumptions!$B$270+I25*Assumptions!$B$271+Assumptions!$B$272+Assumptions!$B$273+Assumptions!$B$274+Assumptions!$B$275+Assumptions!$B$276+Assumptions!$B$277</f>
        <v>4097849.8931103693</v>
      </c>
      <c r="J34" s="80">
        <f>Assumptions!$B$267*Assumptions!$B$270+J25*Assumptions!$B$271+Assumptions!$B$272+Assumptions!$B$273+Assumptions!$B$274+Assumptions!$B$275+Assumptions!$B$276+Assumptions!$B$277</f>
        <v>4016442.538110761</v>
      </c>
      <c r="K34" s="80">
        <f>Assumptions!$B$267*Assumptions!$B$270+K25*Assumptions!$B$271+Assumptions!$B$272+Assumptions!$B$273+Assumptions!$B$274+Assumptions!$B$275+Assumptions!$B$276+Assumptions!$B$277</f>
        <v>3935035.1831111521</v>
      </c>
      <c r="L34" s="80">
        <f>Assumptions!$B$267*Assumptions!$B$270+L25*Assumptions!$B$271+Assumptions!$B$272+Assumptions!$B$273+Assumptions!$B$274+Assumptions!$B$275+Assumptions!$B$276+Assumptions!$B$277</f>
        <v>3853627.8281115443</v>
      </c>
      <c r="M34" s="80">
        <f>Assumptions!$B$267*Assumptions!$B$270+M25*Assumptions!$B$271+Assumptions!$B$272+Assumptions!$B$273+Assumptions!$B$274+Assumptions!$B$275+Assumptions!$B$276+Assumptions!$B$277</f>
        <v>3772220.4731119354</v>
      </c>
      <c r="N34" s="80">
        <f>Assumptions!$B$267*Assumptions!$B$270+N25*Assumptions!$B$271+Assumptions!$B$272+Assumptions!$B$273+Assumptions!$B$274+Assumptions!$B$275+Assumptions!$B$276+Assumptions!$B$277</f>
        <v>3690813.1181123271</v>
      </c>
      <c r="O34" s="80">
        <f>Assumptions!$B$267*Assumptions!$B$270+O25*Assumptions!$B$271+Assumptions!$B$272+Assumptions!$B$273+Assumptions!$B$274+Assumptions!$B$275+Assumptions!$B$276+Assumptions!$B$277</f>
        <v>3609405.7631127182</v>
      </c>
      <c r="P34" s="80">
        <f>Assumptions!$B$267*Assumptions!$B$270+P25*Assumptions!$B$271+Assumptions!$B$272+Assumptions!$B$273+Assumptions!$B$274+Assumptions!$B$275+Assumptions!$B$276+Assumptions!$B$277</f>
        <v>3527998.4081131099</v>
      </c>
      <c r="Q34" s="80">
        <f>Assumptions!$B$267*Assumptions!$B$270+Q25*Assumptions!$B$271+Assumptions!$B$272+Assumptions!$B$273+Assumptions!$B$274+Assumptions!$B$275+Assumptions!$B$276+Assumptions!$B$277</f>
        <v>3446591.0531135011</v>
      </c>
      <c r="R34" s="80">
        <f>Assumptions!$B$267*Assumptions!$B$270+R25*Assumptions!$B$271+Assumptions!$B$272+Assumptions!$B$273+Assumptions!$B$274+Assumptions!$B$275+Assumptions!$B$276+Assumptions!$B$277</f>
        <v>3365183.6981138927</v>
      </c>
      <c r="S34" s="80">
        <f>Assumptions!$B$267*Assumptions!$B$270+S25*Assumptions!$B$271+Assumptions!$B$272+Assumptions!$B$273+Assumptions!$B$274+Assumptions!$B$275+Assumptions!$B$276+Assumptions!$B$277</f>
        <v>3283776.3431142839</v>
      </c>
    </row>
    <row r="35" spans="1:19">
      <c r="A35" s="5" t="s">
        <v>1384</v>
      </c>
      <c r="B35" s="3"/>
      <c r="C35" s="3"/>
      <c r="D35" s="70">
        <f t="array" ref="D35">FLOOR(INDEX('Vehicle Build'!$D:$AC,MATCH("Starship payload, fully reusable (kg)",'Vehicle Build'!$A$1:$A$119,0),D$5+1)/D26,1)</f>
        <v>44</v>
      </c>
      <c r="E35" s="70">
        <f t="array" ref="E35">FLOOR(INDEX('Vehicle Build'!$D:$AC,MATCH("Starship payload, fully reusable (kg)",'Vehicle Build'!$A$1:$A$119,0),E$5+1)/E26,1)</f>
        <v>53</v>
      </c>
      <c r="F35" s="70">
        <f t="array" ref="F35">FLOOR(INDEX('Vehicle Build'!$D:$AC,MATCH("Starship payload, fully reusable (kg)",'Vehicle Build'!$A$1:$A$119,0),F$5+1)/F26,1)</f>
        <v>63</v>
      </c>
      <c r="G35" s="70">
        <f t="array" ref="G35">FLOOR(INDEX('Vehicle Build'!$D:$AC,MATCH("Starship payload, fully reusable (kg)",'Vehicle Build'!$A$1:$A$119,0),G$5+1)/G26,1)</f>
        <v>75</v>
      </c>
      <c r="H35" s="70">
        <f t="array" ref="H35">FLOOR(INDEX('Vehicle Build'!$D:$AC,MATCH("Starship payload, fully reusable (kg)",'Vehicle Build'!$A$1:$A$119,0),H$5+1)/H26,1)</f>
        <v>90</v>
      </c>
      <c r="I35" s="70">
        <f t="array" ref="I35">FLOOR(INDEX('Vehicle Build'!$D:$AC,MATCH("Starship payload, fully reusable (kg)",'Vehicle Build'!$A$1:$A$119,0),I$5+1)/I26,1)</f>
        <v>106</v>
      </c>
      <c r="J35" s="70">
        <f t="array" ref="J35">FLOOR(INDEX('Vehicle Build'!$D:$AC,MATCH("Starship payload, fully reusable (kg)",'Vehicle Build'!$A$1:$A$119,0),J$5+1)/J26,1)</f>
        <v>110</v>
      </c>
      <c r="K35" s="70">
        <f t="array" ref="K35">FLOOR(INDEX('Vehicle Build'!$D:$AC,MATCH("Starship payload, fully reusable (kg)",'Vehicle Build'!$A$1:$A$119,0),K$5+1)/K26,1)</f>
        <v>113</v>
      </c>
      <c r="L35" s="70">
        <f t="array" ref="L35">FLOOR(INDEX('Vehicle Build'!$D:$AC,MATCH("Starship payload, fully reusable (kg)",'Vehicle Build'!$A$1:$A$119,0),L$5+1)/L26,1)</f>
        <v>117</v>
      </c>
      <c r="M35" s="70">
        <f t="array" ref="M35">FLOOR(INDEX('Vehicle Build'!$D:$AC,MATCH("Starship payload, fully reusable (kg)",'Vehicle Build'!$A$1:$A$119,0),M$5+1)/M26,1)</f>
        <v>120</v>
      </c>
      <c r="N35" s="70">
        <f t="array" ref="N35">FLOOR(INDEX('Vehicle Build'!$D:$AC,MATCH("Starship payload, fully reusable (kg)",'Vehicle Build'!$A$1:$A$119,0),N$5+1)/N26,1)</f>
        <v>124</v>
      </c>
      <c r="O35" s="70">
        <f t="array" ref="O35">FLOOR(INDEX('Vehicle Build'!$D:$AC,MATCH("Starship payload, fully reusable (kg)",'Vehicle Build'!$A$1:$A$119,0),O$5+1)/O26,1)</f>
        <v>128</v>
      </c>
      <c r="P35" s="70">
        <f t="array" ref="P35">FLOOR(INDEX('Vehicle Build'!$D:$AC,MATCH("Starship payload, fully reusable (kg)",'Vehicle Build'!$A$1:$A$119,0),P$5+1)/P26,1)</f>
        <v>131</v>
      </c>
      <c r="Q35" s="70">
        <f t="array" ref="Q35">FLOOR(INDEX('Vehicle Build'!$D:$AC,MATCH("Starship payload, fully reusable (kg)",'Vehicle Build'!$A$1:$A$119,0),Q$5+1)/Q26,1)</f>
        <v>135</v>
      </c>
      <c r="R35" s="70">
        <f t="array" ref="R35">FLOOR(INDEX('Vehicle Build'!$D:$AC,MATCH("Starship payload, fully reusable (kg)",'Vehicle Build'!$A$1:$A$119,0),R$5+1)/R26,1)</f>
        <v>139</v>
      </c>
      <c r="S35" s="70">
        <f t="array" ref="S35">FLOOR(INDEX('Vehicle Build'!$D:$AC,MATCH("Starship payload, fully reusable (kg)",'Vehicle Build'!$A$1:$A$119,0),S$5+1)/S26,1)</f>
        <v>143</v>
      </c>
    </row>
    <row r="36" spans="1:19">
      <c r="A36" s="5" t="s">
        <v>1385</v>
      </c>
      <c r="B36" s="3"/>
      <c r="C36" s="3"/>
      <c r="D36" s="29">
        <f t="shared" ref="D36:S36" ca="1" si="12">C36+D32</f>
        <v>13157</v>
      </c>
      <c r="E36" s="29">
        <f t="shared" ca="1" si="12"/>
        <v>29054</v>
      </c>
      <c r="F36" s="29">
        <f t="shared" ca="1" si="12"/>
        <v>48281</v>
      </c>
      <c r="G36" s="29">
        <f t="shared" ca="1" si="12"/>
        <v>71552</v>
      </c>
      <c r="H36" s="29">
        <f t="shared" ca="1" si="12"/>
        <v>98837</v>
      </c>
      <c r="I36" s="29">
        <f t="shared" ca="1" si="12"/>
        <v>128812</v>
      </c>
      <c r="J36" s="29">
        <f t="shared" ca="1" si="12"/>
        <v>157251</v>
      </c>
      <c r="K36" s="29">
        <f t="shared" ca="1" si="12"/>
        <v>175559</v>
      </c>
      <c r="L36" s="29">
        <f t="shared" ca="1" si="12"/>
        <v>187164</v>
      </c>
      <c r="M36" s="29">
        <f t="shared" ca="1" si="12"/>
        <v>203762</v>
      </c>
      <c r="N36" s="29">
        <f t="shared" ca="1" si="12"/>
        <v>228934</v>
      </c>
      <c r="O36" s="29">
        <f t="shared" ca="1" si="12"/>
        <v>268364</v>
      </c>
      <c r="P36" s="29">
        <f t="shared" ca="1" si="12"/>
        <v>312928</v>
      </c>
      <c r="Q36" s="29">
        <f t="shared" ca="1" si="12"/>
        <v>357586</v>
      </c>
      <c r="R36" s="29">
        <f t="shared" ca="1" si="12"/>
        <v>417445</v>
      </c>
      <c r="S36" s="29">
        <f t="shared" ca="1" si="12"/>
        <v>500753</v>
      </c>
    </row>
    <row r="37" spans="1:19">
      <c r="A37" s="5" t="s">
        <v>1386</v>
      </c>
      <c r="B37" s="3"/>
      <c r="C37" s="3"/>
      <c r="D37" s="73">
        <f ca="1">IF(D36&lt;Assumptions!$B$279,1,(D36/Assumptions!$B$279)^LOG(1-Assumptions!$B$278,2))</f>
        <v>0.64295070046761782</v>
      </c>
      <c r="E37" s="73">
        <f ca="1">IF(D36&lt;Assumptions!$B$279,1,(D36/Assumptions!$B$279)^LOG(1-Assumptions!$B$278,2))</f>
        <v>0.64295070046761782</v>
      </c>
      <c r="F37" s="73">
        <f ca="1">IF(E36&lt;Assumptions!$B$279,1,(E36/Assumptions!$B$279)^LOG(1-Assumptions!$B$278,2))</f>
        <v>0.53396172114183948</v>
      </c>
      <c r="G37" s="73">
        <f ca="1">IF(F36&lt;Assumptions!$B$279,1,(F36/Assumptions!$B$279)^LOG(1-Assumptions!$B$278,2))</f>
        <v>0.47401714171844977</v>
      </c>
      <c r="H37" s="73">
        <f ca="1">IF(G36&lt;Assumptions!$B$279,1,(G36/Assumptions!$B$279)^LOG(1-Assumptions!$B$278,2))</f>
        <v>0.43225169883751385</v>
      </c>
      <c r="I37" s="73">
        <f ca="1">IF(H36&lt;Assumptions!$B$279,1,(H36/Assumptions!$B$279)^LOG(1-Assumptions!$B$278,2))</f>
        <v>0.40072067929150346</v>
      </c>
      <c r="J37" s="73">
        <f ca="1">IF(I36&lt;Assumptions!$B$279,1,(I36/Assumptions!$B$279)^LOG(1-Assumptions!$B$278,2))</f>
        <v>0.37659073378571739</v>
      </c>
      <c r="K37" s="73">
        <f ca="1">IF(J36&lt;Assumptions!$B$279,1,(J36/Assumptions!$B$279)^LOG(1-Assumptions!$B$278,2))</f>
        <v>0.359381934322903</v>
      </c>
      <c r="L37" s="73">
        <f ca="1">IF(K36&lt;Assumptions!$B$279,1,(K36/Assumptions!$B$279)^LOG(1-Assumptions!$B$278,2))</f>
        <v>0.3502207254136826</v>
      </c>
      <c r="M37" s="73">
        <f ca="1">IF(L36&lt;Assumptions!$B$279,1,(L36/Assumptions!$B$279)^LOG(1-Assumptions!$B$278,2))</f>
        <v>0.34500381076308184</v>
      </c>
      <c r="N37" s="73">
        <f ca="1">IF(M36&lt;Assumptions!$B$279,1,(M36/Assumptions!$B$279)^LOG(1-Assumptions!$B$278,2))</f>
        <v>0.33819868821720173</v>
      </c>
      <c r="O37" s="73">
        <f ca="1">IF(N36&lt;Assumptions!$B$279,1,(N36/Assumptions!$B$279)^LOG(1-Assumptions!$B$278,2))</f>
        <v>0.32908720801727898</v>
      </c>
      <c r="P37" s="73">
        <f ca="1">IF(O36&lt;Assumptions!$B$279,1,(O36/Assumptions!$B$279)^LOG(1-Assumptions!$B$278,2))</f>
        <v>0.31705136367525694</v>
      </c>
      <c r="Q37" s="73">
        <f ca="1">IF(P36&lt;Assumptions!$B$279,1,(P36/Assumptions!$B$279)^LOG(1-Assumptions!$B$278,2))</f>
        <v>0.3058342108936607</v>
      </c>
      <c r="R37" s="73">
        <f ca="1">IF(Q36&lt;Assumptions!$B$279,1,(Q36/Assumptions!$B$279)^LOG(1-Assumptions!$B$278,2))</f>
        <v>0.29641628915748358</v>
      </c>
      <c r="S37" s="73">
        <f ca="1">IF(R36&lt;Assumptions!$B$279,1,(R36/Assumptions!$B$279)^LOG(1-Assumptions!$B$278,2))</f>
        <v>0.28585224228699763</v>
      </c>
    </row>
    <row r="38" spans="1:19">
      <c r="A38" s="5" t="s">
        <v>1387</v>
      </c>
      <c r="B38" s="3"/>
      <c r="C38" s="3"/>
      <c r="D38" s="80">
        <f ca="1">D34*Assumptions!$B$280+D34*(1-Assumptions!$B$280)*D37</f>
        <v>3218113.3646517121</v>
      </c>
      <c r="E38" s="80">
        <f ca="1">E34*Assumptions!$B$280+E34*(1-Assumptions!$B$280)*E37</f>
        <v>3159959.1609156188</v>
      </c>
      <c r="F38" s="80">
        <f ca="1">F34*Assumptions!$B$280+F34*(1-Assumptions!$B$280)*F37</f>
        <v>2723214.5644808016</v>
      </c>
      <c r="G38" s="80">
        <f ca="1">G34*Assumptions!$B$280+G34*(1-Assumptions!$B$280)*G37</f>
        <v>2467835.3662115014</v>
      </c>
      <c r="H38" s="80">
        <f ca="1">H34*Assumptions!$B$280+H34*(1-Assumptions!$B$280)*H37</f>
        <v>2281044.2859216207</v>
      </c>
      <c r="I38" s="80">
        <f ca="1">I34*Assumptions!$B$280+I34*(1-Assumptions!$B$280)*I37</f>
        <v>2133244.5328635154</v>
      </c>
      <c r="J38" s="80">
        <f ca="1">J34*Assumptions!$B$280+J34*(1-Assumptions!$B$280)*J37</f>
        <v>2013332.5417303927</v>
      </c>
      <c r="K38" s="80">
        <f ca="1">K34*Assumptions!$B$280+K34*(1-Assumptions!$B$280)*K37</f>
        <v>1918351.4812103622</v>
      </c>
      <c r="L38" s="80">
        <f ca="1">L34*Assumptions!$B$280+L34*(1-Assumptions!$B$280)*L37</f>
        <v>1850421.832370772</v>
      </c>
      <c r="M38" s="80">
        <f ca="1">M34*Assumptions!$B$280+M34*(1-Assumptions!$B$280)*M37</f>
        <v>1795588.4452320938</v>
      </c>
      <c r="N38" s="80">
        <f ca="1">N34*Assumptions!$B$280+N34*(1-Assumptions!$B$280)*N37</f>
        <v>1736745.1476228086</v>
      </c>
      <c r="O38" s="80">
        <f ca="1">O34*Assumptions!$B$280+O34*(1-Assumptions!$B$280)*O37</f>
        <v>1672128.5647699363</v>
      </c>
      <c r="P38" s="80">
        <f ca="1">P34*Assumptions!$B$280+P34*(1-Assumptions!$B$280)*P37</f>
        <v>1600445.0466917399</v>
      </c>
      <c r="Q38" s="80">
        <f ca="1">Q34*Assumptions!$B$280+Q34*(1-Assumptions!$B$280)*Q37</f>
        <v>1532586.5746243952</v>
      </c>
      <c r="R38" s="80">
        <f ca="1">R34*Assumptions!$B$280+R34*(1-Assumptions!$B$280)*R37</f>
        <v>1471032.9509253209</v>
      </c>
      <c r="S38" s="80">
        <f ca="1">S34*Assumptions!$B$280+S34*(1-Assumptions!$B$280)*S37</f>
        <v>1407695.133301429</v>
      </c>
    </row>
    <row r="39" spans="1:19">
      <c r="A39" s="5" t="s">
        <v>1388</v>
      </c>
      <c r="B39" s="3"/>
      <c r="C39" s="3"/>
      <c r="D39" s="80">
        <f>D33*D24*Assumptions!$B$319</f>
        <v>1980108.24</v>
      </c>
      <c r="E39" s="80">
        <f>E33*E24*Assumptions!$B$319</f>
        <v>1877463.8840819399</v>
      </c>
      <c r="F39" s="80">
        <f>F33*F24*Assumptions!$B$319</f>
        <v>1779751.5999355649</v>
      </c>
      <c r="G39" s="80">
        <f>G33*G24*Assumptions!$B$319</f>
        <v>1686766.9224741738</v>
      </c>
      <c r="H39" s="80">
        <f>H33*H24*Assumptions!$B$319</f>
        <v>1598310.9281023964</v>
      </c>
      <c r="I39" s="80">
        <f>I33*I24*Assumptions!$B$319</f>
        <v>1521233.1375149072</v>
      </c>
      <c r="J39" s="80">
        <f>J33*J24*Assumptions!$B$319</f>
        <v>1440796.8789569056</v>
      </c>
      <c r="K39" s="80">
        <f>K33*K24*Assumptions!$B$319</f>
        <v>1364357.6702923544</v>
      </c>
      <c r="L39" s="80">
        <f>L33*L24*Assumptions!$B$319</f>
        <v>1297478.9468514158</v>
      </c>
      <c r="M39" s="80">
        <f>M33*M24*Assumptions!$B$319</f>
        <v>1228128.9841950717</v>
      </c>
      <c r="N39" s="80">
        <f>N33*N24*Assumptions!$B$319</f>
        <v>1167296.1087619979</v>
      </c>
      <c r="O39" s="80">
        <f>O33*O24*Assumptions!$B$319</f>
        <v>1109149.4824892911</v>
      </c>
      <c r="P39" s="80">
        <f>P33*P24*Assumptions!$B$319</f>
        <v>1049227.3307011356</v>
      </c>
      <c r="Q39" s="80">
        <f>Q33*Q24*Assumptions!$B$319</f>
        <v>996471.30615737347</v>
      </c>
      <c r="R39" s="80">
        <f>R33*R24*Assumptions!$B$319</f>
        <v>946113.56688702351</v>
      </c>
      <c r="S39" s="80">
        <f>S33*S24*Assumptions!$B$319</f>
        <v>898067.02058021445</v>
      </c>
    </row>
    <row r="40" spans="1:19">
      <c r="A40" s="78" t="s">
        <v>1389</v>
      </c>
      <c r="B40" s="78"/>
      <c r="C40" s="78"/>
      <c r="D40" s="140">
        <f t="shared" ref="D40:S40" ca="1" si="13">(D38+D39)/1000000</f>
        <v>5.198221604651712</v>
      </c>
      <c r="E40" s="140">
        <f t="shared" ca="1" si="13"/>
        <v>5.037423044997559</v>
      </c>
      <c r="F40" s="140">
        <f t="shared" ca="1" si="13"/>
        <v>4.5029661644163665</v>
      </c>
      <c r="G40" s="140">
        <f t="shared" ca="1" si="13"/>
        <v>4.154602288685675</v>
      </c>
      <c r="H40" s="140">
        <f t="shared" ca="1" si="13"/>
        <v>3.8793552140240171</v>
      </c>
      <c r="I40" s="140">
        <f t="shared" ca="1" si="13"/>
        <v>3.6544776703784225</v>
      </c>
      <c r="J40" s="140">
        <f t="shared" ca="1" si="13"/>
        <v>3.4541294206872983</v>
      </c>
      <c r="K40" s="140">
        <f t="shared" ca="1" si="13"/>
        <v>3.2827091515027162</v>
      </c>
      <c r="L40" s="140">
        <f t="shared" ca="1" si="13"/>
        <v>3.1479007792221876</v>
      </c>
      <c r="M40" s="140">
        <f t="shared" ca="1" si="13"/>
        <v>3.0237174294271654</v>
      </c>
      <c r="N40" s="140">
        <f t="shared" ca="1" si="13"/>
        <v>2.9040412563848066</v>
      </c>
      <c r="O40" s="140">
        <f t="shared" ca="1" si="13"/>
        <v>2.7812780472592276</v>
      </c>
      <c r="P40" s="140">
        <f t="shared" ca="1" si="13"/>
        <v>2.6496723773928754</v>
      </c>
      <c r="Q40" s="140">
        <f t="shared" ca="1" si="13"/>
        <v>2.5290578807817687</v>
      </c>
      <c r="R40" s="140">
        <f t="shared" ca="1" si="13"/>
        <v>2.4171465178123444</v>
      </c>
      <c r="S40" s="140">
        <f t="shared" ca="1" si="13"/>
        <v>2.3057621538816435</v>
      </c>
    </row>
    <row r="41" spans="1:19">
      <c r="A41" s="5" t="s">
        <v>1390</v>
      </c>
      <c r="B41" s="3"/>
      <c r="C41" s="3"/>
      <c r="D41" s="141">
        <f t="shared" ref="D41:S41" ca="1" si="14">IFERROR(D29/D35,0)</f>
        <v>0.41346737011523371</v>
      </c>
      <c r="E41" s="141">
        <f t="shared" ca="1" si="14"/>
        <v>0.27357403309487754</v>
      </c>
      <c r="F41" s="141">
        <f t="shared" ca="1" si="14"/>
        <v>0.18737924768484443</v>
      </c>
      <c r="G41" s="141">
        <f t="shared" ca="1" si="14"/>
        <v>0.13293891648845449</v>
      </c>
      <c r="H41" s="141">
        <f t="shared" ca="1" si="14"/>
        <v>9.8092603321034907E-2</v>
      </c>
      <c r="I41" s="141">
        <f t="shared" ca="1" si="14"/>
        <v>7.6607217327690172E-2</v>
      </c>
      <c r="J41" s="141">
        <f t="shared" ca="1" si="14"/>
        <v>6.8941266579559152E-2</v>
      </c>
      <c r="K41" s="141">
        <f t="shared" ca="1" si="14"/>
        <v>6.3145989917204687E-2</v>
      </c>
      <c r="L41" s="141">
        <f t="shared" ca="1" si="14"/>
        <v>5.8781973552655048E-2</v>
      </c>
      <c r="M41" s="141">
        <f t="shared" ca="1" si="14"/>
        <v>5.5834663872768545E-2</v>
      </c>
      <c r="N41" s="141">
        <f t="shared" ca="1" si="14"/>
        <v>5.2830106496640147E-2</v>
      </c>
      <c r="O41" s="141">
        <f t="shared" ca="1" si="14"/>
        <v>5.0206328276218362E-2</v>
      </c>
      <c r="P41" s="141">
        <f t="shared" ca="1" si="14"/>
        <v>4.8689734843748243E-2</v>
      </c>
      <c r="Q41" s="141">
        <f t="shared" ca="1" si="14"/>
        <v>4.6815605609546437E-2</v>
      </c>
      <c r="R41" s="141">
        <f t="shared" ca="1" si="14"/>
        <v>4.4887060751786147E-2</v>
      </c>
      <c r="S41" s="141">
        <f t="shared" ca="1" si="14"/>
        <v>4.2986402763620084E-2</v>
      </c>
    </row>
    <row r="42" spans="1:19">
      <c r="A42" s="5" t="s">
        <v>1391</v>
      </c>
      <c r="B42" s="3"/>
      <c r="C42" s="3"/>
      <c r="D42" s="29">
        <f t="shared" ref="D42:S42" ca="1" si="15">IFERROR(D30/D40,0)</f>
        <v>0</v>
      </c>
      <c r="E42" s="29">
        <f t="shared" ca="1" si="15"/>
        <v>0</v>
      </c>
      <c r="F42" s="29">
        <f t="shared" ca="1" si="15"/>
        <v>0</v>
      </c>
      <c r="G42" s="29">
        <f t="shared" ca="1" si="15"/>
        <v>1434.6308909312277</v>
      </c>
      <c r="H42" s="29">
        <f t="shared" ca="1" si="15"/>
        <v>3123.1130747266475</v>
      </c>
      <c r="I42" s="29">
        <f t="shared" ca="1" si="15"/>
        <v>8848.7378071730636</v>
      </c>
      <c r="J42" s="29">
        <f t="shared" ca="1" si="15"/>
        <v>19074.143809601857</v>
      </c>
      <c r="K42" s="29">
        <f t="shared" ca="1" si="15"/>
        <v>18308</v>
      </c>
      <c r="L42" s="29">
        <f t="shared" ca="1" si="15"/>
        <v>11605</v>
      </c>
      <c r="M42" s="29">
        <f t="shared" ca="1" si="15"/>
        <v>16598</v>
      </c>
      <c r="N42" s="29">
        <f t="shared" ca="1" si="15"/>
        <v>25172.000000000004</v>
      </c>
      <c r="O42" s="29">
        <f t="shared" ca="1" si="15"/>
        <v>39430</v>
      </c>
      <c r="P42" s="29">
        <f t="shared" ca="1" si="15"/>
        <v>44564</v>
      </c>
      <c r="Q42" s="29">
        <f t="shared" ca="1" si="15"/>
        <v>44658</v>
      </c>
      <c r="R42" s="29">
        <f t="shared" ca="1" si="15"/>
        <v>59859.000000000007</v>
      </c>
      <c r="S42" s="29">
        <f t="shared" ca="1" si="15"/>
        <v>83308</v>
      </c>
    </row>
    <row r="43" spans="1:19">
      <c r="A43" s="5" t="s">
        <v>1392</v>
      </c>
      <c r="B43" s="3"/>
      <c r="C43" s="3"/>
      <c r="D43" s="29">
        <f t="shared" ref="D43:S43" ca="1" si="16">IFERROR(D31/D26,0)</f>
        <v>13157</v>
      </c>
      <c r="E43" s="29">
        <f t="shared" ca="1" si="16"/>
        <v>15897.000000000002</v>
      </c>
      <c r="F43" s="29">
        <f t="shared" ca="1" si="16"/>
        <v>19227</v>
      </c>
      <c r="G43" s="29">
        <f t="shared" ca="1" si="16"/>
        <v>23271</v>
      </c>
      <c r="H43" s="29">
        <f t="shared" ca="1" si="16"/>
        <v>27285</v>
      </c>
      <c r="I43" s="29">
        <f t="shared" ca="1" si="16"/>
        <v>29975</v>
      </c>
      <c r="J43" s="29">
        <f t="shared" ca="1" si="16"/>
        <v>28439</v>
      </c>
      <c r="K43" s="29">
        <f t="shared" ca="1" si="16"/>
        <v>18308</v>
      </c>
      <c r="L43" s="29">
        <f t="shared" ca="1" si="16"/>
        <v>12505</v>
      </c>
      <c r="M43" s="29">
        <f t="shared" ca="1" si="16"/>
        <v>19721</v>
      </c>
      <c r="N43" s="29">
        <f t="shared" ca="1" si="16"/>
        <v>34020</v>
      </c>
      <c r="O43" s="29">
        <f t="shared" ca="1" si="16"/>
        <v>58504</v>
      </c>
      <c r="P43" s="29">
        <f t="shared" ca="1" si="16"/>
        <v>62872</v>
      </c>
      <c r="Q43" s="29">
        <f t="shared" ca="1" si="16"/>
        <v>56263</v>
      </c>
      <c r="R43" s="29">
        <f t="shared" ca="1" si="16"/>
        <v>76457</v>
      </c>
      <c r="S43" s="29">
        <f t="shared" ca="1" si="16"/>
        <v>108480</v>
      </c>
    </row>
    <row r="44" spans="1:19">
      <c r="A44" s="5" t="s">
        <v>1393</v>
      </c>
      <c r="B44" s="3"/>
      <c r="C44" s="3"/>
      <c r="D44" s="29">
        <f>0</f>
        <v>0</v>
      </c>
      <c r="E44" s="29">
        <f>0</f>
        <v>0</v>
      </c>
      <c r="F44" s="29">
        <f>0</f>
        <v>0</v>
      </c>
      <c r="G44" s="29">
        <f>0</f>
        <v>0</v>
      </c>
      <c r="H44" s="29">
        <f>0</f>
        <v>0</v>
      </c>
      <c r="I44" s="29">
        <f t="shared" ref="I44:S44" ca="1" si="17">D45</f>
        <v>0</v>
      </c>
      <c r="J44" s="29">
        <f t="shared" ca="1" si="17"/>
        <v>0</v>
      </c>
      <c r="K44" s="29">
        <f t="shared" ca="1" si="17"/>
        <v>0</v>
      </c>
      <c r="L44" s="29">
        <f t="shared" ca="1" si="17"/>
        <v>900</v>
      </c>
      <c r="M44" s="29">
        <f t="shared" ca="1" si="17"/>
        <v>3123</v>
      </c>
      <c r="N44" s="29">
        <f t="shared" ca="1" si="17"/>
        <v>8848</v>
      </c>
      <c r="O44" s="29">
        <f t="shared" ca="1" si="17"/>
        <v>19074</v>
      </c>
      <c r="P44" s="29">
        <f t="shared" ca="1" si="17"/>
        <v>18308</v>
      </c>
      <c r="Q44" s="29">
        <f t="shared" ca="1" si="17"/>
        <v>11605</v>
      </c>
      <c r="R44" s="29">
        <f t="shared" ca="1" si="17"/>
        <v>16598</v>
      </c>
      <c r="S44" s="29">
        <f t="shared" ca="1" si="17"/>
        <v>25172</v>
      </c>
    </row>
    <row r="45" spans="1:19">
      <c r="A45" s="5" t="s">
        <v>1394</v>
      </c>
      <c r="B45" s="3"/>
      <c r="C45" s="3"/>
      <c r="D45" s="70">
        <f ca="1">ROUNDDOWN(MIN(D32,D42,IFERROR('Cash Allocation Engine'!D52/D26,0)),0)</f>
        <v>0</v>
      </c>
      <c r="E45" s="70">
        <f ca="1">ROUNDDOWN(MIN(E32,E42,IFERROR('Cash Allocation Engine'!E52/E26,0)),0)</f>
        <v>0</v>
      </c>
      <c r="F45" s="70">
        <f ca="1">ROUNDDOWN(MIN(F32,F42,IFERROR('Cash Allocation Engine'!F52/F26,0)),0)</f>
        <v>0</v>
      </c>
      <c r="G45" s="70">
        <f ca="1">ROUNDDOWN(MIN(G32,G42,IFERROR('Cash Allocation Engine'!G52/G26,0)),0)</f>
        <v>900</v>
      </c>
      <c r="H45" s="70">
        <f ca="1">ROUNDDOWN(MIN(H32,H42,IFERROR('Cash Allocation Engine'!H52/H26,0)),0)</f>
        <v>3123</v>
      </c>
      <c r="I45" s="70">
        <f ca="1">ROUNDDOWN(MIN(I32,I42,IFERROR('Cash Allocation Engine'!I52/I26,0)),0)</f>
        <v>8848</v>
      </c>
      <c r="J45" s="70">
        <f ca="1">ROUNDDOWN(MIN(J32,J42,IFERROR('Cash Allocation Engine'!J52/J26,0)),0)</f>
        <v>19074</v>
      </c>
      <c r="K45" s="70">
        <f ca="1">ROUNDDOWN(MIN(K32,K42,IFERROR('Cash Allocation Engine'!K52/K26,0)),0)</f>
        <v>18308</v>
      </c>
      <c r="L45" s="70">
        <f ca="1">ROUNDDOWN(MIN(L32,L42,IFERROR('Cash Allocation Engine'!L52/L26,0)),0)</f>
        <v>11605</v>
      </c>
      <c r="M45" s="70">
        <f ca="1">ROUNDDOWN(MIN(M32,M42,IFERROR('Cash Allocation Engine'!M52/M26,0)),0)</f>
        <v>16598</v>
      </c>
      <c r="N45" s="70">
        <f ca="1">ROUNDDOWN(MIN(N32,N42,IFERROR('Cash Allocation Engine'!N52/N26,0)),0)</f>
        <v>25172</v>
      </c>
      <c r="O45" s="70">
        <f ca="1">ROUNDDOWN(MIN(O32,O42,IFERROR('Cash Allocation Engine'!O52/O26,0)),0)</f>
        <v>39430</v>
      </c>
      <c r="P45" s="70">
        <f ca="1">ROUNDDOWN(MIN(P32,P42,IFERROR('Cash Allocation Engine'!P52/P26,0)),0)</f>
        <v>44564</v>
      </c>
      <c r="Q45" s="70">
        <f ca="1">ROUNDDOWN(MIN(Q32,Q42,IFERROR('Cash Allocation Engine'!Q52/Q26,0)),0)</f>
        <v>44658</v>
      </c>
      <c r="R45" s="70">
        <f ca="1">ROUNDDOWN(MIN(R32,R42,IFERROR('Cash Allocation Engine'!R52/R26,0)),0)</f>
        <v>59859</v>
      </c>
      <c r="S45" s="70">
        <f ca="1">ROUNDDOWN(MIN(S32,S42,IFERROR('Cash Allocation Engine'!S52/S26,0)),0)</f>
        <v>78243</v>
      </c>
    </row>
    <row r="46" spans="1:19">
      <c r="A46" s="5" t="s">
        <v>1395</v>
      </c>
      <c r="B46" s="3"/>
      <c r="C46" s="3"/>
      <c r="D46" s="29">
        <f t="shared" ref="D46:S46" ca="1" si="18">MAX(0,C46+D45-D44)</f>
        <v>0</v>
      </c>
      <c r="E46" s="29">
        <f t="shared" ca="1" si="18"/>
        <v>0</v>
      </c>
      <c r="F46" s="29">
        <f t="shared" ca="1" si="18"/>
        <v>0</v>
      </c>
      <c r="G46" s="29">
        <f t="shared" ca="1" si="18"/>
        <v>900</v>
      </c>
      <c r="H46" s="29">
        <f t="shared" ca="1" si="18"/>
        <v>4023</v>
      </c>
      <c r="I46" s="29">
        <f t="shared" ca="1" si="18"/>
        <v>12871</v>
      </c>
      <c r="J46" s="29">
        <f t="shared" ca="1" si="18"/>
        <v>31945</v>
      </c>
      <c r="K46" s="29">
        <f t="shared" ca="1" si="18"/>
        <v>50253</v>
      </c>
      <c r="L46" s="29">
        <f t="shared" ca="1" si="18"/>
        <v>60958</v>
      </c>
      <c r="M46" s="29">
        <f t="shared" ca="1" si="18"/>
        <v>74433</v>
      </c>
      <c r="N46" s="29">
        <f t="shared" ca="1" si="18"/>
        <v>90757</v>
      </c>
      <c r="O46" s="29">
        <f t="shared" ca="1" si="18"/>
        <v>111113</v>
      </c>
      <c r="P46" s="29">
        <f t="shared" ca="1" si="18"/>
        <v>137369</v>
      </c>
      <c r="Q46" s="29">
        <f t="shared" ca="1" si="18"/>
        <v>170422</v>
      </c>
      <c r="R46" s="29">
        <f t="shared" ca="1" si="18"/>
        <v>213683</v>
      </c>
      <c r="S46" s="29">
        <f t="shared" ca="1" si="18"/>
        <v>266754</v>
      </c>
    </row>
    <row r="47" spans="1:19">
      <c r="A47" s="5" t="s">
        <v>1396</v>
      </c>
      <c r="B47" s="3"/>
      <c r="C47" s="3"/>
      <c r="D47" s="29">
        <f t="shared" ref="D47:S47" ca="1" si="19">D45*D33</f>
        <v>0</v>
      </c>
      <c r="E47" s="29">
        <f t="shared" ca="1" si="19"/>
        <v>0</v>
      </c>
      <c r="F47" s="29">
        <f t="shared" ca="1" si="19"/>
        <v>0</v>
      </c>
      <c r="G47" s="29">
        <f t="shared" ca="1" si="19"/>
        <v>188100</v>
      </c>
      <c r="H47" s="29">
        <f t="shared" ca="1" si="19"/>
        <v>662076</v>
      </c>
      <c r="I47" s="29">
        <f t="shared" ca="1" si="19"/>
        <v>1911168</v>
      </c>
      <c r="J47" s="29">
        <f t="shared" ca="1" si="19"/>
        <v>4177206</v>
      </c>
      <c r="K47" s="29">
        <f t="shared" ca="1" si="19"/>
        <v>4064376</v>
      </c>
      <c r="L47" s="29">
        <f t="shared" ca="1" si="19"/>
        <v>2622730</v>
      </c>
      <c r="M47" s="29">
        <f t="shared" ca="1" si="19"/>
        <v>3800942</v>
      </c>
      <c r="N47" s="29">
        <f t="shared" ca="1" si="19"/>
        <v>5865076</v>
      </c>
      <c r="O47" s="29">
        <f t="shared" ca="1" si="19"/>
        <v>9344910</v>
      </c>
      <c r="P47" s="29">
        <f t="shared" ca="1" si="19"/>
        <v>10695360</v>
      </c>
      <c r="Q47" s="29">
        <f t="shared" ca="1" si="19"/>
        <v>10896552</v>
      </c>
      <c r="R47" s="29">
        <f t="shared" ca="1" si="19"/>
        <v>14845032</v>
      </c>
      <c r="S47" s="29">
        <f t="shared" ca="1" si="19"/>
        <v>19717236</v>
      </c>
    </row>
    <row r="48" spans="1:19">
      <c r="A48" s="5" t="s">
        <v>1397</v>
      </c>
      <c r="B48" s="3"/>
      <c r="C48" s="3"/>
      <c r="D48" s="70">
        <f>D33*(D21/Assumptions!$B$74)*D23*Assumptions!$B$268*Assumptions!$B$264</f>
        <v>420480</v>
      </c>
      <c r="E48" s="70">
        <f>E33*(E21/Assumptions!$B$74)*E23*Assumptions!$B$268*Assumptions!$B$264</f>
        <v>574572.93767999997</v>
      </c>
      <c r="F48" s="70">
        <f>F33*(F21/Assumptions!$B$74)*F23*Assumptions!$B$268*Assumptions!$B$264</f>
        <v>758483.18165088014</v>
      </c>
      <c r="G48" s="70">
        <f>G33*(G21/Assumptions!$B$74)*G23*Assumptions!$B$268*Assumptions!$B$264</f>
        <v>976943.66855794622</v>
      </c>
      <c r="H48" s="70">
        <f>H33*(H21/Assumptions!$B$74)*H23*Assumptions!$B$268*Assumptions!$B$264</f>
        <v>1235365.8151966282</v>
      </c>
      <c r="I48" s="70">
        <f>I33*(I21/Assumptions!$B$74)*I23*Assumptions!$B$268*Assumptions!$B$264</f>
        <v>1547093.2651032831</v>
      </c>
      <c r="J48" s="70">
        <f>J33*(J21/Assumptions!$B$74)*J23*Assumptions!$B$268*Assumptions!$B$264</f>
        <v>1723870.1580477925</v>
      </c>
      <c r="K48" s="70">
        <f>K33*(K21/Assumptions!$B$74)*K23*Assumptions!$B$268*Assumptions!$B$264</f>
        <v>1920485.8147040377</v>
      </c>
      <c r="L48" s="70">
        <f>L33*(L21/Assumptions!$B$74)*L23*Assumptions!$B$268*Assumptions!$B$264</f>
        <v>2148642.9898256795</v>
      </c>
      <c r="M48" s="70">
        <f>M33*(M21/Assumptions!$B$74)*M23*Assumptions!$B$268*Assumptions!$B$264</f>
        <v>2392704.1145682232</v>
      </c>
      <c r="N48" s="70">
        <f>N33*(N21/Assumptions!$B$74)*N23*Assumptions!$B$268*Assumptions!$B$264</f>
        <v>2675513.3821185208</v>
      </c>
      <c r="O48" s="70">
        <f>O33*(O21/Assumptions!$B$74)*O23*Assumptions!$B$268*Assumptions!$B$264</f>
        <v>2990867.9916168936</v>
      </c>
      <c r="P48" s="70">
        <f>P33*(P21/Assumptions!$B$74)*P23*Assumptions!$B$268*Assumptions!$B$264</f>
        <v>3328571.0610500923</v>
      </c>
      <c r="Q48" s="70">
        <f>Q33*(Q21/Assumptions!$B$74)*Q23*Assumptions!$B$268*Assumptions!$B$264</f>
        <v>3719067.9226956191</v>
      </c>
      <c r="R48" s="70">
        <f>R33*(R21/Assumptions!$B$74)*R23*Assumptions!$B$268*Assumptions!$B$264</f>
        <v>4154259.8379776073</v>
      </c>
      <c r="S48" s="70">
        <f>S33*(S21/Assumptions!$B$74)*S23*Assumptions!$B$268*Assumptions!$B$264</f>
        <v>4639169.1677750889</v>
      </c>
    </row>
    <row r="49" spans="1:19">
      <c r="A49" s="5" t="s">
        <v>1398</v>
      </c>
      <c r="B49" s="3"/>
      <c r="C49" s="3"/>
      <c r="D49" s="73">
        <f ca="1">D48*D208/1000000*(Assumptions!$B$76/Assumptions!$B$77)</f>
        <v>1.0511999999999999</v>
      </c>
      <c r="E49" s="73">
        <f ca="1">E48*E208/1000000*(Assumptions!$B$76/Assumptions!$B$77)</f>
        <v>1.3646107269899996</v>
      </c>
      <c r="F49" s="73">
        <f ca="1">F48*F208/1000000*(Assumptions!$B$76/Assumptions!$B$77)</f>
        <v>1.711327678599798</v>
      </c>
      <c r="G49" s="73">
        <f ca="1">G48*G208/1000000*(Assumptions!$B$76/Assumptions!$B$77)</f>
        <v>2.094017694574672</v>
      </c>
      <c r="H49" s="73">
        <f ca="1">H48*H208/1000000*(Assumptions!$B$76/Assumptions!$B$77)</f>
        <v>2.5155329437849963</v>
      </c>
      <c r="I49" s="73">
        <f ca="1">I48*I208/1000000*(Assumptions!$B$76/Assumptions!$B$77)</f>
        <v>2.9927781926788857</v>
      </c>
      <c r="J49" s="73">
        <f ca="1">J48*J208/1000000*(Assumptions!$B$76/Assumptions!$B$77)</f>
        <v>3.1680074341784223</v>
      </c>
      <c r="K49" s="73">
        <f ca="1">K48*K208/1000000*(Assumptions!$B$76/Assumptions!$B$77)</f>
        <v>2.8260501942824634</v>
      </c>
      <c r="L49" s="73">
        <f ca="1">L48*L208/1000000*(Assumptions!$B$76/Assumptions!$B$77)</f>
        <v>3.0868849078658203</v>
      </c>
      <c r="M49" s="73">
        <f ca="1">M48*M208/1000000*(Assumptions!$B$76/Assumptions!$B$77)</f>
        <v>3.3068119873463018</v>
      </c>
      <c r="N49" s="73">
        <f ca="1">N48*N208/1000000*(Assumptions!$B$76/Assumptions!$B$77)</f>
        <v>3.5375290589079098</v>
      </c>
      <c r="O49" s="73">
        <f ca="1">O48*O208/1000000*(Assumptions!$B$76/Assumptions!$B$77)</f>
        <v>3.7331869836485319</v>
      </c>
      <c r="P49" s="73">
        <f ca="1">P48*P208/1000000*(Assumptions!$B$76/Assumptions!$B$77)</f>
        <v>3.8935868729686938</v>
      </c>
      <c r="Q49" s="73">
        <f ca="1">Q48*Q208/1000000*(Assumptions!$B$76/Assumptions!$B$77)</f>
        <v>4.1266177308092225</v>
      </c>
      <c r="R49" s="73">
        <f ca="1">R48*R208/1000000*(Assumptions!$B$76/Assumptions!$B$77)</f>
        <v>4.3564200211869801</v>
      </c>
      <c r="S49" s="73">
        <f ca="1">S48*S208/1000000*(Assumptions!$B$76/Assumptions!$B$77)</f>
        <v>4.6852151323918179</v>
      </c>
    </row>
    <row r="50" spans="1:19">
      <c r="A50" s="5" t="s">
        <v>1399</v>
      </c>
      <c r="B50" s="3"/>
      <c r="C50" s="3"/>
      <c r="D50" s="70">
        <f ca="1">C50*(1-Assumptions!$B$281)*(C46/MAX(C46,1))+D45*D49</f>
        <v>0</v>
      </c>
      <c r="E50" s="70">
        <f ca="1">D50*(1-Assumptions!$B$281)*(D46/MAX(D46,1))+E45*E49</f>
        <v>0</v>
      </c>
      <c r="F50" s="70">
        <f ca="1">E50*(1-Assumptions!$B$281)*(E46/MAX(E46,1))+F45*F49</f>
        <v>0</v>
      </c>
      <c r="G50" s="70">
        <f ca="1">F50*(1-Assumptions!$B$281)*(F46/MAX(F46,1))+G45*G49</f>
        <v>1884.6159251172048</v>
      </c>
      <c r="H50" s="70">
        <f ca="1">G50*(1-Assumptions!$B$281)*(G46/MAX(G46,1))+H45*H49</f>
        <v>9571.0098752972008</v>
      </c>
      <c r="I50" s="70">
        <f ca="1">H50*(1-Assumptions!$B$281)*(H46/MAX(H46,1))+I45*I49</f>
        <v>35189.720435343232</v>
      </c>
      <c r="J50" s="70">
        <f ca="1">I50*(1-Assumptions!$B$281)*(I46/MAX(I46,1))+J45*J49</f>
        <v>92449.219395681575</v>
      </c>
      <c r="K50" s="70">
        <f ca="1">J50*(1-Assumptions!$B$281)*(J46/MAX(J46,1))+K45*K49</f>
        <v>135868.11660699357</v>
      </c>
      <c r="L50" s="70">
        <f ca="1">K50*(1-Assumptions!$B$281)*(K46/MAX(K46,1))+L45*L49</f>
        <v>159463.28546814702</v>
      </c>
      <c r="M50" s="70">
        <f ca="1">L50*(1-Assumptions!$B$281)*(L46/MAX(L46,1))+M45*M49</f>
        <v>199998.05514198772</v>
      </c>
      <c r="N50" s="70">
        <f ca="1">M50*(1-Assumptions!$B$281)*(M46/MAX(M46,1))+N45*N49</f>
        <v>271044.91165003873</v>
      </c>
      <c r="O50" s="70">
        <f ca="1">N50*(1-Assumptions!$B$281)*(N46/MAX(N46,1))+O45*O49</f>
        <v>393850.43236679689</v>
      </c>
      <c r="P50" s="70">
        <f ca="1">O50*(1-Assumptions!$B$281)*(O46/MAX(O46,1))+P45*P49</f>
        <v>531917.69886076206</v>
      </c>
      <c r="Q50" s="70">
        <f ca="1">P50*(1-Assumptions!$B$281)*(P46/MAX(P46,1))+Q45*Q49</f>
        <v>668331.60058577172</v>
      </c>
      <c r="R50" s="70">
        <f ca="1">Q50*(1-Assumptions!$B$281)*(Q46/MAX(Q46,1))+R45*R49</f>
        <v>868952.70258128375</v>
      </c>
      <c r="S50" s="70">
        <f ca="1">R50*(1-Assumptions!$B$281)*(R46/MAX(R46,1))+S45*S49</f>
        <v>1157332.2469527014</v>
      </c>
    </row>
    <row r="51" spans="1:19">
      <c r="A51" s="5" t="s">
        <v>1400</v>
      </c>
      <c r="B51" s="3"/>
      <c r="C51" s="3"/>
      <c r="D51" s="60">
        <f t="shared" ref="D51:S51" ca="1" si="20">D145</f>
        <v>0</v>
      </c>
      <c r="E51" s="60">
        <f t="shared" ca="1" si="20"/>
        <v>0.17523390900659935</v>
      </c>
      <c r="F51" s="60">
        <f t="shared" ca="1" si="20"/>
        <v>5.8511714913914714E-2</v>
      </c>
      <c r="G51" s="60">
        <f t="shared" ca="1" si="20"/>
        <v>6.9016056629050596E-2</v>
      </c>
      <c r="H51" s="60">
        <f t="shared" ca="1" si="20"/>
        <v>5.1857221158480273E-2</v>
      </c>
      <c r="I51" s="60">
        <f t="shared" ca="1" si="20"/>
        <v>2.8954000187641327E-2</v>
      </c>
      <c r="J51" s="60">
        <f t="shared" ca="1" si="20"/>
        <v>2.0501411234455674E-2</v>
      </c>
      <c r="K51" s="60">
        <f t="shared" ca="1" si="20"/>
        <v>1.8699110086975078E-2</v>
      </c>
      <c r="L51" s="60">
        <f t="shared" ca="1" si="20"/>
        <v>2.4612764502134968E-2</v>
      </c>
      <c r="M51" s="60">
        <f t="shared" ca="1" si="20"/>
        <v>3.2066535647431463E-2</v>
      </c>
      <c r="N51" s="60">
        <f t="shared" ca="1" si="20"/>
        <v>4.1924423727067506E-2</v>
      </c>
      <c r="O51" s="60">
        <f t="shared" ca="1" si="20"/>
        <v>5.4180343094500462E-2</v>
      </c>
      <c r="P51" s="60">
        <f t="shared" ca="1" si="20"/>
        <v>6.9729216625891918E-2</v>
      </c>
      <c r="Q51" s="60">
        <f t="shared" ca="1" si="20"/>
        <v>9.2027719821097462E-2</v>
      </c>
      <c r="R51" s="60">
        <f t="shared" ca="1" si="20"/>
        <v>0.12086605218327426</v>
      </c>
      <c r="S51" s="60">
        <f t="shared" ca="1" si="20"/>
        <v>0.1632503806405238</v>
      </c>
    </row>
    <row r="52" spans="1:19">
      <c r="A52" s="5" t="s">
        <v>1401</v>
      </c>
      <c r="B52" s="3"/>
      <c r="C52" s="3"/>
      <c r="D52" s="29">
        <f t="shared" ref="D52:S52" ca="1" si="21">IFERROR(D45/D35,0)*D29</f>
        <v>0</v>
      </c>
      <c r="E52" s="29">
        <f t="shared" ca="1" si="21"/>
        <v>0</v>
      </c>
      <c r="F52" s="29">
        <f t="shared" ca="1" si="21"/>
        <v>0</v>
      </c>
      <c r="G52" s="29">
        <f t="shared" ca="1" si="21"/>
        <v>119.64502483960905</v>
      </c>
      <c r="H52" s="29">
        <f t="shared" ca="1" si="21"/>
        <v>306.343200171592</v>
      </c>
      <c r="I52" s="29">
        <f t="shared" ca="1" si="21"/>
        <v>677.82065891540276</v>
      </c>
      <c r="J52" s="29">
        <f t="shared" ca="1" si="21"/>
        <v>1314.9857187385112</v>
      </c>
      <c r="K52" s="29">
        <f t="shared" ca="1" si="21"/>
        <v>1156.0767834041835</v>
      </c>
      <c r="L52" s="29">
        <f t="shared" ca="1" si="21"/>
        <v>682.16480307856182</v>
      </c>
      <c r="M52" s="29">
        <f t="shared" ca="1" si="21"/>
        <v>926.7437509602122</v>
      </c>
      <c r="N52" s="29">
        <f t="shared" ca="1" si="21"/>
        <v>1329.8394407334258</v>
      </c>
      <c r="O52" s="29">
        <f t="shared" ca="1" si="21"/>
        <v>1979.63552393129</v>
      </c>
      <c r="P52" s="29">
        <f t="shared" ca="1" si="21"/>
        <v>2169.8093435767969</v>
      </c>
      <c r="Q52" s="29">
        <f t="shared" ca="1" si="21"/>
        <v>2090.6913153111245</v>
      </c>
      <c r="R52" s="29">
        <f t="shared" ca="1" si="21"/>
        <v>2686.8945695411667</v>
      </c>
      <c r="S52" s="29">
        <f t="shared" ca="1" si="21"/>
        <v>3363.3851114339268</v>
      </c>
    </row>
    <row r="53" spans="1:19">
      <c r="A53" s="5" t="s">
        <v>1402</v>
      </c>
      <c r="B53" s="3"/>
      <c r="C53" s="3"/>
      <c r="D53" s="101">
        <f ca="1">D46*Assumptions!$B$266/1000000*D23*Assumptions!$B$264</f>
        <v>0</v>
      </c>
      <c r="E53" s="101">
        <f ca="1">E46*Assumptions!$B$266/1000000*E23*Assumptions!$B$264</f>
        <v>0</v>
      </c>
      <c r="F53" s="101">
        <f ca="1">F46*Assumptions!$B$266/1000000*F23*Assumptions!$B$264</f>
        <v>0</v>
      </c>
      <c r="G53" s="101">
        <f ca="1">G46*Assumptions!$B$266/1000000*G23*Assumptions!$B$264</f>
        <v>739.51920000000007</v>
      </c>
      <c r="H53" s="101">
        <f ca="1">H46*Assumptions!$B$266/1000000*H23*Assumptions!$B$264</f>
        <v>3749.6934720000008</v>
      </c>
      <c r="I53" s="101">
        <f ca="1">I46*Assumptions!$B$266/1000000*I23*Assumptions!$B$264</f>
        <v>13417.24524</v>
      </c>
      <c r="J53" s="101">
        <f ca="1">J46*Assumptions!$B$266/1000000*J23*Assumptions!$B$264</f>
        <v>33300.745799999997</v>
      </c>
      <c r="K53" s="101">
        <f ca="1">K46*Assumptions!$B$266/1000000*K23*Assumptions!$B$264</f>
        <v>52385.73732</v>
      </c>
      <c r="L53" s="101">
        <f ca="1">L46*Assumptions!$B$266/1000000*L23*Assumptions!$B$264</f>
        <v>63545.057520000002</v>
      </c>
      <c r="M53" s="101">
        <f ca="1">M46*Assumptions!$B$266/1000000*M23*Assumptions!$B$264</f>
        <v>77591.936519999988</v>
      </c>
      <c r="N53" s="101">
        <f ca="1">N46*Assumptions!$B$266/1000000*N23*Assumptions!$B$264</f>
        <v>94608.727080000011</v>
      </c>
      <c r="O53" s="101">
        <f ca="1">O46*Assumptions!$B$266/1000000*O23*Assumptions!$B$264</f>
        <v>115828.63572000001</v>
      </c>
      <c r="P53" s="101">
        <f ca="1">P46*Assumptions!$B$266/1000000*P23*Assumptions!$B$264</f>
        <v>143198.94036000001</v>
      </c>
      <c r="Q53" s="101">
        <f ca="1">Q46*Assumptions!$B$266/1000000*Q23*Assumptions!$B$264</f>
        <v>177654.70967999997</v>
      </c>
      <c r="R53" s="101">
        <f ca="1">R46*Assumptions!$B$266/1000000*R23*Assumptions!$B$264</f>
        <v>222751.70652000001</v>
      </c>
      <c r="S53" s="101">
        <f ca="1">S46*Assumptions!$B$266/1000000*S23*Assumptions!$B$264</f>
        <v>278075.03976000001</v>
      </c>
    </row>
    <row r="54" spans="1:19">
      <c r="A54" s="5" t="s">
        <v>1403</v>
      </c>
      <c r="B54" s="3"/>
      <c r="C54" s="3"/>
      <c r="D54" s="70">
        <f ca="1">D53*Assumptions!$B$285</f>
        <v>0</v>
      </c>
      <c r="E54" s="70">
        <f ca="1">E53*Assumptions!$B$285</f>
        <v>0</v>
      </c>
      <c r="F54" s="70">
        <f ca="1">F53*Assumptions!$B$285</f>
        <v>0</v>
      </c>
      <c r="G54" s="70">
        <f ca="1">G53*Assumptions!$B$285</f>
        <v>36.975960000000008</v>
      </c>
      <c r="H54" s="70">
        <f ca="1">H53*Assumptions!$B$285</f>
        <v>187.48467360000006</v>
      </c>
      <c r="I54" s="70">
        <f ca="1">I53*Assumptions!$B$285</f>
        <v>670.8622620000001</v>
      </c>
      <c r="J54" s="70">
        <f ca="1">J53*Assumptions!$B$285</f>
        <v>1665.03729</v>
      </c>
      <c r="K54" s="70">
        <f ca="1">K53*Assumptions!$B$285</f>
        <v>2619.2868660000004</v>
      </c>
      <c r="L54" s="70">
        <f ca="1">L53*Assumptions!$B$285</f>
        <v>3177.2528760000005</v>
      </c>
      <c r="M54" s="70">
        <f ca="1">M53*Assumptions!$B$285</f>
        <v>3879.5968259999995</v>
      </c>
      <c r="N54" s="70">
        <f ca="1">N53*Assumptions!$B$285</f>
        <v>4730.4363540000004</v>
      </c>
      <c r="O54" s="70">
        <f ca="1">O53*Assumptions!$B$285</f>
        <v>5791.431786000001</v>
      </c>
      <c r="P54" s="70">
        <f ca="1">P53*Assumptions!$B$285</f>
        <v>7159.9470180000008</v>
      </c>
      <c r="Q54" s="70">
        <f ca="1">Q53*Assumptions!$B$285</f>
        <v>8882.7354839999989</v>
      </c>
      <c r="R54" s="70">
        <f ca="1">R53*Assumptions!$B$285</f>
        <v>11137.585326</v>
      </c>
      <c r="S54" s="70">
        <f ca="1">S53*Assumptions!$B$285</f>
        <v>13903.751988000002</v>
      </c>
    </row>
    <row r="55" spans="1:19">
      <c r="A55" s="5" t="s">
        <v>1404</v>
      </c>
      <c r="B55" s="3"/>
      <c r="C55" s="3"/>
      <c r="D55" s="70">
        <f ca="1">(D54*Assumptions!$B$286*Assumptions!$B$287+D54*(1-Assumptions!$B$286)*Assumptions!$B$288)/1000000</f>
        <v>0</v>
      </c>
      <c r="E55" s="70">
        <f ca="1">(E54*Assumptions!$B$286*Assumptions!$B$287+E54*(1-Assumptions!$B$286)*Assumptions!$B$288)/1000000</f>
        <v>0</v>
      </c>
      <c r="F55" s="70">
        <f ca="1">(F54*Assumptions!$B$286*Assumptions!$B$287+F54*(1-Assumptions!$B$286)*Assumptions!$B$288)/1000000</f>
        <v>0</v>
      </c>
      <c r="G55" s="70">
        <f ca="1">(G54*Assumptions!$B$286*Assumptions!$B$287+G54*(1-Assumptions!$B$286)*Assumptions!$B$288)/1000000</f>
        <v>1.8487980000000004</v>
      </c>
      <c r="H55" s="70">
        <f ca="1">(H54*Assumptions!$B$286*Assumptions!$B$287+H54*(1-Assumptions!$B$286)*Assumptions!$B$288)/1000000</f>
        <v>9.3742336800000032</v>
      </c>
      <c r="I55" s="70">
        <f ca="1">(I54*Assumptions!$B$286*Assumptions!$B$287+I54*(1-Assumptions!$B$286)*Assumptions!$B$288)/1000000</f>
        <v>33.543113100000006</v>
      </c>
      <c r="J55" s="70">
        <f ca="1">(J54*Assumptions!$B$286*Assumptions!$B$287+J54*(1-Assumptions!$B$286)*Assumptions!$B$288)/1000000</f>
        <v>83.251864499999996</v>
      </c>
      <c r="K55" s="70">
        <f ca="1">(K54*Assumptions!$B$286*Assumptions!$B$287+K54*(1-Assumptions!$B$286)*Assumptions!$B$288)/1000000</f>
        <v>130.96434330000002</v>
      </c>
      <c r="L55" s="70">
        <f ca="1">(L54*Assumptions!$B$286*Assumptions!$B$287+L54*(1-Assumptions!$B$286)*Assumptions!$B$288)/1000000</f>
        <v>158.8626438</v>
      </c>
      <c r="M55" s="70">
        <f ca="1">(M54*Assumptions!$B$286*Assumptions!$B$287+M54*(1-Assumptions!$B$286)*Assumptions!$B$288)/1000000</f>
        <v>193.97984129999998</v>
      </c>
      <c r="N55" s="70">
        <f ca="1">(N54*Assumptions!$B$286*Assumptions!$B$287+N54*(1-Assumptions!$B$286)*Assumptions!$B$288)/1000000</f>
        <v>236.52181770000001</v>
      </c>
      <c r="O55" s="70">
        <f ca="1">(O54*Assumptions!$B$286*Assumptions!$B$287+O54*(1-Assumptions!$B$286)*Assumptions!$B$288)/1000000</f>
        <v>289.57158930000008</v>
      </c>
      <c r="P55" s="70">
        <f ca="1">(P54*Assumptions!$B$286*Assumptions!$B$287+P54*(1-Assumptions!$B$286)*Assumptions!$B$288)/1000000</f>
        <v>357.99735090000001</v>
      </c>
      <c r="Q55" s="70">
        <f ca="1">(Q54*Assumptions!$B$286*Assumptions!$B$287+Q54*(1-Assumptions!$B$286)*Assumptions!$B$288)/1000000</f>
        <v>444.13677419999993</v>
      </c>
      <c r="R55" s="70">
        <f ca="1">(R54*Assumptions!$B$286*Assumptions!$B$287+R54*(1-Assumptions!$B$286)*Assumptions!$B$288)/1000000</f>
        <v>556.87926630000004</v>
      </c>
      <c r="S55" s="70">
        <f ca="1">(S54*Assumptions!$B$286*Assumptions!$B$287+S54*(1-Assumptions!$B$286)*Assumptions!$B$288)/1000000</f>
        <v>695.18759940000007</v>
      </c>
    </row>
    <row r="56" spans="1:19">
      <c r="A56" s="5" t="s">
        <v>1405</v>
      </c>
      <c r="B56" s="3"/>
      <c r="C56" s="3"/>
      <c r="D56" s="70">
        <f ca="1">D50*Assumptions!$B$289</f>
        <v>0</v>
      </c>
      <c r="E56" s="70">
        <f ca="1">E50*Assumptions!$B$289</f>
        <v>0</v>
      </c>
      <c r="F56" s="70">
        <f ca="1">F50*Assumptions!$B$289</f>
        <v>0</v>
      </c>
      <c r="G56" s="70">
        <f ca="1">G50*Assumptions!$B$289</f>
        <v>37.692318502344101</v>
      </c>
      <c r="H56" s="70">
        <f ca="1">H50*Assumptions!$B$289</f>
        <v>191.42019750594403</v>
      </c>
      <c r="I56" s="70">
        <f ca="1">I50*Assumptions!$B$289</f>
        <v>703.7944087068646</v>
      </c>
      <c r="J56" s="70">
        <f ca="1">J50*Assumptions!$B$289</f>
        <v>1848.9843879136315</v>
      </c>
      <c r="K56" s="70">
        <f ca="1">K50*Assumptions!$B$289</f>
        <v>2717.3623321398713</v>
      </c>
      <c r="L56" s="70">
        <f ca="1">L50*Assumptions!$B$289</f>
        <v>3189.2657093629405</v>
      </c>
      <c r="M56" s="70">
        <f ca="1">M50*Assumptions!$B$289</f>
        <v>3999.9611028397544</v>
      </c>
      <c r="N56" s="70">
        <f ca="1">N50*Assumptions!$B$289</f>
        <v>5420.8982330007748</v>
      </c>
      <c r="O56" s="70">
        <f ca="1">O50*Assumptions!$B$289</f>
        <v>7877.0086473359379</v>
      </c>
      <c r="P56" s="70">
        <f ca="1">P50*Assumptions!$B$289</f>
        <v>10638.353977215242</v>
      </c>
      <c r="Q56" s="70">
        <f ca="1">Q50*Assumptions!$B$289</f>
        <v>13366.632011715436</v>
      </c>
      <c r="R56" s="70">
        <f ca="1">R50*Assumptions!$B$289</f>
        <v>17379.054051625677</v>
      </c>
      <c r="S56" s="70">
        <f ca="1">S50*Assumptions!$B$289</f>
        <v>23146.644939054029</v>
      </c>
    </row>
    <row r="57" spans="1:19">
      <c r="A57" s="5" t="s">
        <v>1406</v>
      </c>
      <c r="B57" s="3"/>
      <c r="C57" s="3"/>
      <c r="D57" s="110">
        <f>MAX(Assumptions!$B$302,Assumptions!$B$301*(1+Assumptions!$B$303)^D$5)*(1+IF(OR(D21&gt;C21,E21&gt;D21),Assumptions!$B$283,0))</f>
        <v>0.42</v>
      </c>
      <c r="E57" s="110">
        <f>MAX(Assumptions!$B$302,Assumptions!$B$301*(1+Assumptions!$B$303)^E$5)*(1+IF(OR(E21&gt;D21,F21&gt;E21),Assumptions!$B$283,0))</f>
        <v>0.35699999999999998</v>
      </c>
      <c r="F57" s="110">
        <f>MAX(Assumptions!$B$302,Assumptions!$B$301*(1+Assumptions!$B$303)^F$5)*(1+IF(OR(F21&gt;E21,G21&gt;F21),Assumptions!$B$283,0))</f>
        <v>0.30344999999999994</v>
      </c>
      <c r="G57" s="110">
        <f>MAX(Assumptions!$B$302,Assumptions!$B$301*(1+Assumptions!$B$303)^G$5)*(1+IF(OR(G21&gt;F21,H21&gt;G21),Assumptions!$B$283,0))</f>
        <v>0.25793249999999995</v>
      </c>
      <c r="H57" s="110">
        <f>MAX(Assumptions!$B$302,Assumptions!$B$301*(1+Assumptions!$B$303)^H$5)*(1+IF(OR(H21&gt;G21,I21&gt;H21),Assumptions!$B$283,0))</f>
        <v>0.21924262499999994</v>
      </c>
      <c r="I57" s="110">
        <f>MAX(Assumptions!$B$302,Assumptions!$B$301*(1+Assumptions!$B$303)^I$5)*(1+IF(OR(I21&gt;H21,J21&gt;I21),Assumptions!$B$283,0))</f>
        <v>0.18635623124999992</v>
      </c>
      <c r="J57" s="110">
        <f>MAX(Assumptions!$B$302,Assumptions!$B$301*(1+Assumptions!$B$303)^J$5)*(1+IF(OR(J21&gt;I21,K21&gt;J21),Assumptions!$B$283,0))</f>
        <v>0.15840279656249995</v>
      </c>
      <c r="K57" s="110">
        <f>MAX(Assumptions!$B$302,Assumptions!$B$301*(1+Assumptions!$B$303)^K$5)*(1+IF(OR(K21&gt;J21,L21&gt;K21),Assumptions!$B$283,0))</f>
        <v>0.13464237707812493</v>
      </c>
      <c r="L57" s="110">
        <f>MAX(Assumptions!$B$302,Assumptions!$B$301*(1+Assumptions!$B$303)^L$5)*(1+IF(OR(L21&gt;K21,M21&gt;L21),Assumptions!$B$283,0))</f>
        <v>0.1144460205164062</v>
      </c>
      <c r="M57" s="110">
        <f>MAX(Assumptions!$B$302,Assumptions!$B$301*(1+Assumptions!$B$303)^M$5)*(1+IF(OR(M21&gt;L21,N21&gt;M21),Assumptions!$B$283,0))</f>
        <v>0.11199999999999999</v>
      </c>
      <c r="N57" s="110">
        <f>MAX(Assumptions!$B$302,Assumptions!$B$301*(1+Assumptions!$B$303)^N$5)*(1+IF(OR(N21&gt;M21,O21&gt;N21),Assumptions!$B$283,0))</f>
        <v>0.11199999999999999</v>
      </c>
      <c r="O57" s="110">
        <f>MAX(Assumptions!$B$302,Assumptions!$B$301*(1+Assumptions!$B$303)^O$5)*(1+IF(OR(O21&gt;N21,P21&gt;O21),Assumptions!$B$283,0))</f>
        <v>0.11199999999999999</v>
      </c>
      <c r="P57" s="110">
        <f>MAX(Assumptions!$B$302,Assumptions!$B$301*(1+Assumptions!$B$303)^P$5)*(1+IF(OR(P21&gt;O21,Q21&gt;P21),Assumptions!$B$283,0))</f>
        <v>0.11199999999999999</v>
      </c>
      <c r="Q57" s="110">
        <f>MAX(Assumptions!$B$302,Assumptions!$B$301*(1+Assumptions!$B$303)^Q$5)*(1+IF(OR(Q21&gt;P21,R21&gt;Q21),Assumptions!$B$283,0))</f>
        <v>0.11199999999999999</v>
      </c>
      <c r="R57" s="110">
        <f>MAX(Assumptions!$B$302,Assumptions!$B$301*(1+Assumptions!$B$303)^R$5)*(1+IF(OR(R21&gt;Q21,S21&gt;R21),Assumptions!$B$283,0))</f>
        <v>0.11199999999999999</v>
      </c>
      <c r="S57" s="110">
        <f>MAX(Assumptions!$B$302,Assumptions!$B$301*(1+Assumptions!$B$303)^S$5)*(1+IF(S21&gt;R21,Assumptions!$B$283,0))</f>
        <v>0.11199999999999999</v>
      </c>
    </row>
    <row r="58" spans="1:19">
      <c r="A58" s="5" t="s">
        <v>1407</v>
      </c>
      <c r="B58" s="3"/>
      <c r="C58" s="3"/>
      <c r="D58" s="29">
        <f t="shared" ref="D58:S58" ca="1" si="22">D45*D39/1000000</f>
        <v>0</v>
      </c>
      <c r="E58" s="29">
        <f t="shared" ca="1" si="22"/>
        <v>0</v>
      </c>
      <c r="F58" s="29">
        <f t="shared" ca="1" si="22"/>
        <v>0</v>
      </c>
      <c r="G58" s="29">
        <f t="shared" ca="1" si="22"/>
        <v>1518.0902302267564</v>
      </c>
      <c r="H58" s="29">
        <f t="shared" ca="1" si="22"/>
        <v>4991.5250284637841</v>
      </c>
      <c r="I58" s="29">
        <f t="shared" ca="1" si="22"/>
        <v>13459.8708007319</v>
      </c>
      <c r="J58" s="29">
        <f t="shared" ca="1" si="22"/>
        <v>27481.759669224019</v>
      </c>
      <c r="K58" s="29">
        <f t="shared" ca="1" si="22"/>
        <v>24978.660227712426</v>
      </c>
      <c r="L58" s="29">
        <f t="shared" ca="1" si="22"/>
        <v>15057.24317821068</v>
      </c>
      <c r="M58" s="29">
        <f t="shared" ca="1" si="22"/>
        <v>20384.484879669799</v>
      </c>
      <c r="N58" s="29">
        <f t="shared" ca="1" si="22"/>
        <v>29383.17764975701</v>
      </c>
      <c r="O58" s="29">
        <f t="shared" ca="1" si="22"/>
        <v>43733.764094552753</v>
      </c>
      <c r="P58" s="29">
        <f t="shared" ca="1" si="22"/>
        <v>46757.766765365399</v>
      </c>
      <c r="Q58" s="29">
        <f t="shared" ca="1" si="22"/>
        <v>44500.415590375982</v>
      </c>
      <c r="R58" s="29">
        <f t="shared" ca="1" si="22"/>
        <v>56633.412000290336</v>
      </c>
      <c r="S58" s="29">
        <f t="shared" ca="1" si="22"/>
        <v>70267.457891257727</v>
      </c>
    </row>
    <row r="59" spans="1:19">
      <c r="A59" s="5" t="s">
        <v>1408</v>
      </c>
      <c r="B59" s="3"/>
      <c r="C59" s="3"/>
      <c r="D59" s="29">
        <f t="shared" ref="D59:S59" ca="1" si="23">D32*D26</f>
        <v>29529658.519656353</v>
      </c>
      <c r="E59" s="29">
        <f t="shared" ca="1" si="23"/>
        <v>34238621.88016355</v>
      </c>
      <c r="F59" s="29">
        <f t="shared" ca="1" si="23"/>
        <v>39852469.651219949</v>
      </c>
      <c r="G59" s="29">
        <f t="shared" ca="1" si="23"/>
        <v>46524700.852636851</v>
      </c>
      <c r="H59" s="29">
        <f t="shared" ca="1" si="23"/>
        <v>52710697.540412709</v>
      </c>
      <c r="I59" s="29">
        <f t="shared" ca="1" si="23"/>
        <v>56035609.797379062</v>
      </c>
      <c r="J59" s="29">
        <f t="shared" ca="1" si="23"/>
        <v>51504751.157255575</v>
      </c>
      <c r="K59" s="29">
        <f t="shared" ca="1" si="23"/>
        <v>32151236.263311077</v>
      </c>
      <c r="L59" s="29">
        <f t="shared" ca="1" si="23"/>
        <v>19775941.981744822</v>
      </c>
      <c r="M59" s="29">
        <f t="shared" ca="1" si="23"/>
        <v>27461483.779545944</v>
      </c>
      <c r="N59" s="29">
        <f t="shared" ca="1" si="23"/>
        <v>40452303.779511757</v>
      </c>
      <c r="O59" s="29">
        <f t="shared" ca="1" si="23"/>
        <v>61565752.855125733</v>
      </c>
      <c r="P59" s="29">
        <f t="shared" ca="1" si="23"/>
        <v>67618898.202513233</v>
      </c>
      <c r="Q59" s="29">
        <f t="shared" ca="1" si="23"/>
        <v>65856635.756853767</v>
      </c>
      <c r="R59" s="29">
        <f t="shared" ca="1" si="23"/>
        <v>85793663.150248677</v>
      </c>
      <c r="S59" s="29">
        <f t="shared" ca="1" si="23"/>
        <v>116041833.19738825</v>
      </c>
    </row>
    <row r="60" spans="1:19">
      <c r="A60" s="5" t="s">
        <v>1409</v>
      </c>
      <c r="B60" s="3"/>
      <c r="C60" s="3"/>
      <c r="D60" s="29">
        <f t="shared" ref="D60:S60" ca="1" si="24">D50*(1-D51)</f>
        <v>0</v>
      </c>
      <c r="E60" s="29">
        <f t="shared" ca="1" si="24"/>
        <v>0</v>
      </c>
      <c r="F60" s="29">
        <f t="shared" ca="1" si="24"/>
        <v>0</v>
      </c>
      <c r="G60" s="29">
        <f t="shared" ca="1" si="24"/>
        <v>1754.5471657053051</v>
      </c>
      <c r="H60" s="29">
        <f t="shared" ca="1" si="24"/>
        <v>9074.6838994839163</v>
      </c>
      <c r="I60" s="29">
        <f t="shared" ca="1" si="24"/>
        <v>34170.837263255256</v>
      </c>
      <c r="J60" s="29">
        <f t="shared" ca="1" si="24"/>
        <v>90553.879930546289</v>
      </c>
      <c r="K60" s="29">
        <f t="shared" ca="1" si="24"/>
        <v>133327.50373724944</v>
      </c>
      <c r="L60" s="29">
        <f t="shared" ca="1" si="24"/>
        <v>155538.45317618278</v>
      </c>
      <c r="M60" s="29">
        <f t="shared" ca="1" si="24"/>
        <v>193584.81037736021</v>
      </c>
      <c r="N60" s="29">
        <f t="shared" ca="1" si="24"/>
        <v>259681.50992495695</v>
      </c>
      <c r="O60" s="29">
        <f t="shared" ca="1" si="24"/>
        <v>372511.48081324645</v>
      </c>
      <c r="P60" s="29">
        <f t="shared" ca="1" si="24"/>
        <v>494827.49440975406</v>
      </c>
      <c r="Q60" s="29">
        <f t="shared" ca="1" si="24"/>
        <v>606826.56729947869</v>
      </c>
      <c r="R60" s="29">
        <f t="shared" ca="1" si="24"/>
        <v>763925.8198862971</v>
      </c>
      <c r="S60" s="29">
        <f t="shared" ca="1" si="24"/>
        <v>968397.3171101202</v>
      </c>
    </row>
    <row r="61" spans="1:19">
      <c r="A61" s="5" t="s">
        <v>1410</v>
      </c>
      <c r="B61" s="3"/>
      <c r="C61" s="3"/>
      <c r="D61" s="29">
        <f t="shared" ref="D61:S61" ca="1" si="25">SUM(D62:D64)</f>
        <v>0</v>
      </c>
      <c r="E61" s="29">
        <f t="shared" ca="1" si="25"/>
        <v>0</v>
      </c>
      <c r="F61" s="29">
        <f t="shared" ca="1" si="25"/>
        <v>0</v>
      </c>
      <c r="G61" s="29">
        <f t="shared" ca="1" si="25"/>
        <v>159.18614134195315</v>
      </c>
      <c r="H61" s="29">
        <f t="shared" ca="1" si="25"/>
        <v>507.13763135753601</v>
      </c>
      <c r="I61" s="29">
        <f t="shared" ca="1" si="25"/>
        <v>1415.1581807222674</v>
      </c>
      <c r="J61" s="29">
        <f t="shared" ca="1" si="25"/>
        <v>3247.2219711521429</v>
      </c>
      <c r="K61" s="29">
        <f t="shared" ca="1" si="25"/>
        <v>4004.403458844055</v>
      </c>
      <c r="L61" s="29">
        <f t="shared" ca="1" si="25"/>
        <v>4030.2931562415024</v>
      </c>
      <c r="M61" s="29">
        <f t="shared" ca="1" si="25"/>
        <v>5120.6846950999661</v>
      </c>
      <c r="N61" s="29">
        <f t="shared" ca="1" si="25"/>
        <v>6987.2594914342008</v>
      </c>
      <c r="O61" s="29">
        <f t="shared" ca="1" si="25"/>
        <v>10146.215760567227</v>
      </c>
      <c r="P61" s="29">
        <f t="shared" ca="1" si="25"/>
        <v>13166.16067169204</v>
      </c>
      <c r="Q61" s="29">
        <f t="shared" ca="1" si="25"/>
        <v>15901.460101226559</v>
      </c>
      <c r="R61" s="29">
        <f t="shared" ca="1" si="25"/>
        <v>20622.827887466843</v>
      </c>
      <c r="S61" s="29">
        <f t="shared" ca="1" si="25"/>
        <v>27205.217649887956</v>
      </c>
    </row>
    <row r="62" spans="1:19">
      <c r="A62" s="5" t="s">
        <v>1411</v>
      </c>
      <c r="B62" s="3"/>
      <c r="C62" s="3"/>
      <c r="D62" s="29">
        <f t="shared" ref="D62:S62" ca="1" si="26">D52</f>
        <v>0</v>
      </c>
      <c r="E62" s="29">
        <f t="shared" ca="1" si="26"/>
        <v>0</v>
      </c>
      <c r="F62" s="29">
        <f t="shared" ca="1" si="26"/>
        <v>0</v>
      </c>
      <c r="G62" s="29">
        <f t="shared" ca="1" si="26"/>
        <v>119.64502483960905</v>
      </c>
      <c r="H62" s="29">
        <f t="shared" ca="1" si="26"/>
        <v>306.343200171592</v>
      </c>
      <c r="I62" s="29">
        <f t="shared" ca="1" si="26"/>
        <v>677.82065891540276</v>
      </c>
      <c r="J62" s="29">
        <f t="shared" ca="1" si="26"/>
        <v>1314.9857187385112</v>
      </c>
      <c r="K62" s="29">
        <f t="shared" ca="1" si="26"/>
        <v>1156.0767834041835</v>
      </c>
      <c r="L62" s="29">
        <f t="shared" ca="1" si="26"/>
        <v>682.16480307856182</v>
      </c>
      <c r="M62" s="29">
        <f t="shared" ca="1" si="26"/>
        <v>926.7437509602122</v>
      </c>
      <c r="N62" s="29">
        <f t="shared" ca="1" si="26"/>
        <v>1329.8394407334258</v>
      </c>
      <c r="O62" s="29">
        <f t="shared" ca="1" si="26"/>
        <v>1979.63552393129</v>
      </c>
      <c r="P62" s="29">
        <f t="shared" ca="1" si="26"/>
        <v>2169.8093435767969</v>
      </c>
      <c r="Q62" s="29">
        <f t="shared" ca="1" si="26"/>
        <v>2090.6913153111245</v>
      </c>
      <c r="R62" s="29">
        <f t="shared" ca="1" si="26"/>
        <v>2686.8945695411667</v>
      </c>
      <c r="S62" s="29">
        <f t="shared" ca="1" si="26"/>
        <v>3363.3851114339268</v>
      </c>
    </row>
    <row r="63" spans="1:19">
      <c r="A63" s="5" t="s">
        <v>1412</v>
      </c>
      <c r="B63" s="3"/>
      <c r="C63" s="3"/>
      <c r="D63" s="29">
        <f t="shared" ref="D63:S63" ca="1" si="27">D55</f>
        <v>0</v>
      </c>
      <c r="E63" s="29">
        <f t="shared" ca="1" si="27"/>
        <v>0</v>
      </c>
      <c r="F63" s="29">
        <f t="shared" ca="1" si="27"/>
        <v>0</v>
      </c>
      <c r="G63" s="29">
        <f t="shared" ca="1" si="27"/>
        <v>1.8487980000000004</v>
      </c>
      <c r="H63" s="29">
        <f t="shared" ca="1" si="27"/>
        <v>9.3742336800000032</v>
      </c>
      <c r="I63" s="29">
        <f t="shared" ca="1" si="27"/>
        <v>33.543113100000006</v>
      </c>
      <c r="J63" s="29">
        <f t="shared" ca="1" si="27"/>
        <v>83.251864499999996</v>
      </c>
      <c r="K63" s="29">
        <f t="shared" ca="1" si="27"/>
        <v>130.96434330000002</v>
      </c>
      <c r="L63" s="29">
        <f t="shared" ca="1" si="27"/>
        <v>158.8626438</v>
      </c>
      <c r="M63" s="29">
        <f t="shared" ca="1" si="27"/>
        <v>193.97984129999998</v>
      </c>
      <c r="N63" s="29">
        <f t="shared" ca="1" si="27"/>
        <v>236.52181770000001</v>
      </c>
      <c r="O63" s="29">
        <f t="shared" ca="1" si="27"/>
        <v>289.57158930000008</v>
      </c>
      <c r="P63" s="29">
        <f t="shared" ca="1" si="27"/>
        <v>357.99735090000001</v>
      </c>
      <c r="Q63" s="29">
        <f t="shared" ca="1" si="27"/>
        <v>444.13677419999993</v>
      </c>
      <c r="R63" s="29">
        <f t="shared" ca="1" si="27"/>
        <v>556.87926630000004</v>
      </c>
      <c r="S63" s="29">
        <f t="shared" ca="1" si="27"/>
        <v>695.18759940000007</v>
      </c>
    </row>
    <row r="64" spans="1:19">
      <c r="A64" s="5" t="s">
        <v>1413</v>
      </c>
      <c r="B64" s="3"/>
      <c r="C64" s="3"/>
      <c r="D64" s="29">
        <f t="shared" ref="D64:S64" ca="1" si="28">D56</f>
        <v>0</v>
      </c>
      <c r="E64" s="29">
        <f t="shared" ca="1" si="28"/>
        <v>0</v>
      </c>
      <c r="F64" s="29">
        <f t="shared" ca="1" si="28"/>
        <v>0</v>
      </c>
      <c r="G64" s="29">
        <f t="shared" ca="1" si="28"/>
        <v>37.692318502344101</v>
      </c>
      <c r="H64" s="29">
        <f t="shared" ca="1" si="28"/>
        <v>191.42019750594403</v>
      </c>
      <c r="I64" s="29">
        <f t="shared" ca="1" si="28"/>
        <v>703.7944087068646</v>
      </c>
      <c r="J64" s="29">
        <f t="shared" ca="1" si="28"/>
        <v>1848.9843879136315</v>
      </c>
      <c r="K64" s="29">
        <f t="shared" ca="1" si="28"/>
        <v>2717.3623321398713</v>
      </c>
      <c r="L64" s="29">
        <f t="shared" ca="1" si="28"/>
        <v>3189.2657093629405</v>
      </c>
      <c r="M64" s="29">
        <f t="shared" ca="1" si="28"/>
        <v>3999.9611028397544</v>
      </c>
      <c r="N64" s="29">
        <f t="shared" ca="1" si="28"/>
        <v>5420.8982330007748</v>
      </c>
      <c r="O64" s="29">
        <f t="shared" ca="1" si="28"/>
        <v>7877.0086473359379</v>
      </c>
      <c r="P64" s="29">
        <f t="shared" ca="1" si="28"/>
        <v>10638.353977215242</v>
      </c>
      <c r="Q64" s="29">
        <f t="shared" ca="1" si="28"/>
        <v>13366.632011715436</v>
      </c>
      <c r="R64" s="29">
        <f t="shared" ca="1" si="28"/>
        <v>17379.054051625677</v>
      </c>
      <c r="S64" s="29">
        <f t="shared" ca="1" si="28"/>
        <v>23146.644939054029</v>
      </c>
    </row>
    <row r="65" spans="1:19">
      <c r="A65" s="5" t="s">
        <v>1414</v>
      </c>
      <c r="B65" s="3"/>
      <c r="C65" s="3"/>
      <c r="D65" s="70">
        <f ca="1">D50*(Assumptions!$B$290+Assumptions!$B$291)</f>
        <v>0</v>
      </c>
      <c r="E65" s="70">
        <f ca="1">E50*(Assumptions!$B$290+Assumptions!$B$291)</f>
        <v>0</v>
      </c>
      <c r="F65" s="70">
        <f ca="1">F50*(Assumptions!$B$290+Assumptions!$B$291)</f>
        <v>0</v>
      </c>
      <c r="G65" s="70">
        <f ca="1">G50*(Assumptions!$B$290+Assumptions!$B$291)</f>
        <v>75.384637004688202</v>
      </c>
      <c r="H65" s="70">
        <f ca="1">H50*(Assumptions!$B$290+Assumptions!$B$291)</f>
        <v>382.84039501188806</v>
      </c>
      <c r="I65" s="70">
        <f ca="1">I50*(Assumptions!$B$290+Assumptions!$B$291)</f>
        <v>1407.5888174137292</v>
      </c>
      <c r="J65" s="70">
        <f ca="1">J50*(Assumptions!$B$290+Assumptions!$B$291)</f>
        <v>3697.968775827263</v>
      </c>
      <c r="K65" s="70">
        <f ca="1">K50*(Assumptions!$B$290+Assumptions!$B$291)</f>
        <v>5434.7246642797427</v>
      </c>
      <c r="L65" s="70">
        <f ca="1">L50*(Assumptions!$B$290+Assumptions!$B$291)</f>
        <v>6378.5314187258809</v>
      </c>
      <c r="M65" s="70">
        <f ca="1">M50*(Assumptions!$B$290+Assumptions!$B$291)</f>
        <v>7999.9222056795088</v>
      </c>
      <c r="N65" s="70">
        <f ca="1">N50*(Assumptions!$B$290+Assumptions!$B$291)</f>
        <v>10841.79646600155</v>
      </c>
      <c r="O65" s="70">
        <f ca="1">O50*(Assumptions!$B$290+Assumptions!$B$291)</f>
        <v>15754.017294671876</v>
      </c>
      <c r="P65" s="70">
        <f ca="1">P50*(Assumptions!$B$290+Assumptions!$B$291)</f>
        <v>21276.707954430483</v>
      </c>
      <c r="Q65" s="70">
        <f ca="1">Q50*(Assumptions!$B$290+Assumptions!$B$291)</f>
        <v>26733.264023430871</v>
      </c>
      <c r="R65" s="70">
        <f ca="1">R50*(Assumptions!$B$290+Assumptions!$B$291)</f>
        <v>34758.108103251354</v>
      </c>
      <c r="S65" s="70">
        <f ca="1">S50*(Assumptions!$B$290+Assumptions!$B$291)</f>
        <v>46293.289878108058</v>
      </c>
    </row>
    <row r="66" spans="1:19">
      <c r="A66" s="5" t="s">
        <v>1415</v>
      </c>
      <c r="B66" s="3"/>
      <c r="C66" s="3"/>
      <c r="D66" s="70">
        <f ca="1">D46*(D38+D39)/1000000/Assumptions!$B$20</f>
        <v>0</v>
      </c>
      <c r="E66" s="70">
        <f ca="1">E46*(E38+E39)/1000000/Assumptions!$B$20</f>
        <v>0</v>
      </c>
      <c r="F66" s="70">
        <f ca="1">F46*(F38+F39)/1000000/Assumptions!$B$20</f>
        <v>0</v>
      </c>
      <c r="G66" s="70">
        <f ca="1">G46*(G38+G39)/1000000/Assumptions!$B$20</f>
        <v>747.82841196342156</v>
      </c>
      <c r="H66" s="70">
        <f ca="1">H46*(H38+H39)/1000000/Assumptions!$B$20</f>
        <v>3121.3292052037241</v>
      </c>
      <c r="I66" s="70">
        <f ca="1">I46*(I38+I39)/1000000/Assumptions!$B$20</f>
        <v>9407.3564190881334</v>
      </c>
      <c r="J66" s="70">
        <f ca="1">J46*(J38+J39)/1000000/Assumptions!$B$20</f>
        <v>22068.432868771146</v>
      </c>
      <c r="K66" s="70">
        <f ca="1">K46*(K38+K39)/1000000/Assumptions!$B$20</f>
        <v>32993.1965980932</v>
      </c>
      <c r="L66" s="70">
        <f ca="1">L46*(L38+L39)/1000000/Assumptions!$B$20</f>
        <v>38377.947139965225</v>
      </c>
      <c r="M66" s="70">
        <f ca="1">M46*(M38+M39)/1000000/Assumptions!$B$20</f>
        <v>45012.871884910441</v>
      </c>
      <c r="N66" s="70">
        <f ca="1">N46*(N38+N39)/1000000/Assumptions!$B$20</f>
        <v>52712.414461143184</v>
      </c>
      <c r="O66" s="70">
        <f ca="1">O46*(O38+O39)/1000000/Assumptions!$B$20</f>
        <v>61807.229533022895</v>
      </c>
      <c r="P66" s="70">
        <f ca="1">P46*(P38+P39)/1000000/Assumptions!$B$20</f>
        <v>72796.56896201639</v>
      </c>
      <c r="Q66" s="70">
        <f ca="1">Q46*(Q38+Q39)/1000000/Assumptions!$B$20</f>
        <v>86201.420431718114</v>
      </c>
      <c r="R66" s="70">
        <f ca="1">R46*(R38+R39)/1000000/Assumptions!$B$20</f>
        <v>103300.62387313902</v>
      </c>
      <c r="S66" s="70">
        <f ca="1">S46*(S38+S39)/1000000/Assumptions!$B$20</f>
        <v>123014.25551930878</v>
      </c>
    </row>
    <row r="67" spans="1:19">
      <c r="A67" s="5" t="s">
        <v>1416</v>
      </c>
      <c r="B67" s="3"/>
      <c r="C67" s="3"/>
      <c r="D67" s="29">
        <f t="shared" ref="D67:S67" ca="1" si="29">D61+D65</f>
        <v>0</v>
      </c>
      <c r="E67" s="29">
        <f t="shared" ca="1" si="29"/>
        <v>0</v>
      </c>
      <c r="F67" s="29">
        <f t="shared" ca="1" si="29"/>
        <v>0</v>
      </c>
      <c r="G67" s="29">
        <f t="shared" ca="1" si="29"/>
        <v>234.57077834664136</v>
      </c>
      <c r="H67" s="29">
        <f t="shared" ca="1" si="29"/>
        <v>889.97802636942401</v>
      </c>
      <c r="I67" s="29">
        <f t="shared" ca="1" si="29"/>
        <v>2822.7469981359964</v>
      </c>
      <c r="J67" s="29">
        <f t="shared" ca="1" si="29"/>
        <v>6945.190746979406</v>
      </c>
      <c r="K67" s="29">
        <f t="shared" ca="1" si="29"/>
        <v>9439.1281231237972</v>
      </c>
      <c r="L67" s="29">
        <f t="shared" ca="1" si="29"/>
        <v>10408.824574967384</v>
      </c>
      <c r="M67" s="29">
        <f t="shared" ca="1" si="29"/>
        <v>13120.606900779476</v>
      </c>
      <c r="N67" s="29">
        <f t="shared" ca="1" si="29"/>
        <v>17829.05595743575</v>
      </c>
      <c r="O67" s="29">
        <f t="shared" ca="1" si="29"/>
        <v>25900.233055239103</v>
      </c>
      <c r="P67" s="29">
        <f t="shared" ca="1" si="29"/>
        <v>34442.868626122523</v>
      </c>
      <c r="Q67" s="29">
        <f t="shared" ca="1" si="29"/>
        <v>42634.724124657427</v>
      </c>
      <c r="R67" s="29">
        <f t="shared" ca="1" si="29"/>
        <v>55380.935990718193</v>
      </c>
      <c r="S67" s="29">
        <f t="shared" ca="1" si="29"/>
        <v>73498.507527996015</v>
      </c>
    </row>
    <row r="68" spans="1:19">
      <c r="A68" s="5" t="s">
        <v>1417</v>
      </c>
      <c r="B68" s="3"/>
      <c r="C68" s="3"/>
      <c r="D68" s="29">
        <f t="shared" ref="D68:S68" ca="1" si="30">D66+D67</f>
        <v>0</v>
      </c>
      <c r="E68" s="29">
        <f t="shared" ca="1" si="30"/>
        <v>0</v>
      </c>
      <c r="F68" s="29">
        <f t="shared" ca="1" si="30"/>
        <v>0</v>
      </c>
      <c r="G68" s="29">
        <f t="shared" ca="1" si="30"/>
        <v>982.39919031006298</v>
      </c>
      <c r="H68" s="29">
        <f t="shared" ca="1" si="30"/>
        <v>4011.3072315731479</v>
      </c>
      <c r="I68" s="29">
        <f t="shared" ca="1" si="30"/>
        <v>12230.103417224131</v>
      </c>
      <c r="J68" s="29">
        <f t="shared" ca="1" si="30"/>
        <v>29013.623615750552</v>
      </c>
      <c r="K68" s="29">
        <f t="shared" ca="1" si="30"/>
        <v>42432.324721216995</v>
      </c>
      <c r="L68" s="29">
        <f t="shared" ca="1" si="30"/>
        <v>48786.771714932605</v>
      </c>
      <c r="M68" s="29">
        <f t="shared" ca="1" si="30"/>
        <v>58133.47878568992</v>
      </c>
      <c r="N68" s="29">
        <f t="shared" ca="1" si="30"/>
        <v>70541.470418578931</v>
      </c>
      <c r="O68" s="29">
        <f t="shared" ca="1" si="30"/>
        <v>87707.462588262002</v>
      </c>
      <c r="P68" s="29">
        <f t="shared" ca="1" si="30"/>
        <v>107239.43758813891</v>
      </c>
      <c r="Q68" s="29">
        <f t="shared" ca="1" si="30"/>
        <v>128836.14455637554</v>
      </c>
      <c r="R68" s="29">
        <f t="shared" ca="1" si="30"/>
        <v>158681.55986385723</v>
      </c>
      <c r="S68" s="29">
        <f t="shared" ca="1" si="30"/>
        <v>196512.76304730479</v>
      </c>
    </row>
    <row r="69" spans="1:19">
      <c r="A69" s="5" t="s">
        <v>1418</v>
      </c>
      <c r="B69" s="3"/>
      <c r="C69" s="3"/>
      <c r="D69" s="29">
        <f t="shared" ref="D69:S69" ca="1" si="31">D68*D51</f>
        <v>0</v>
      </c>
      <c r="E69" s="29">
        <f t="shared" ca="1" si="31"/>
        <v>0</v>
      </c>
      <c r="F69" s="29">
        <f t="shared" ca="1" si="31"/>
        <v>0</v>
      </c>
      <c r="G69" s="29">
        <f t="shared" ca="1" si="31"/>
        <v>67.801318150772758</v>
      </c>
      <c r="H69" s="29">
        <f t="shared" ca="1" si="31"/>
        <v>208.01524624229998</v>
      </c>
      <c r="I69" s="29">
        <f t="shared" ca="1" si="31"/>
        <v>354.11041663718032</v>
      </c>
      <c r="J69" s="29">
        <f t="shared" ca="1" si="31"/>
        <v>594.82022914821687</v>
      </c>
      <c r="K69" s="29">
        <f t="shared" ca="1" si="31"/>
        <v>793.44671120831072</v>
      </c>
      <c r="L69" s="29">
        <f t="shared" ca="1" si="31"/>
        <v>1200.7773230390555</v>
      </c>
      <c r="M69" s="29">
        <f t="shared" ca="1" si="31"/>
        <v>1864.1392697905264</v>
      </c>
      <c r="N69" s="29">
        <f t="shared" ca="1" si="31"/>
        <v>2957.410496158901</v>
      </c>
      <c r="O69" s="29">
        <f t="shared" ca="1" si="31"/>
        <v>4752.0204149800984</v>
      </c>
      <c r="P69" s="29">
        <f t="shared" ca="1" si="31"/>
        <v>7477.7219744221547</v>
      </c>
      <c r="Q69" s="29">
        <f t="shared" ca="1" si="31"/>
        <v>11856.496614064539</v>
      </c>
      <c r="R69" s="29">
        <f t="shared" ca="1" si="31"/>
        <v>19179.213695028324</v>
      </c>
      <c r="S69" s="29">
        <f t="shared" ca="1" si="31"/>
        <v>32080.783368193566</v>
      </c>
    </row>
    <row r="70" spans="1:19">
      <c r="A70" s="78" t="s">
        <v>1419</v>
      </c>
      <c r="B70" s="78"/>
      <c r="C70" s="78"/>
      <c r="D70" s="81">
        <f t="shared" ref="D70:S70" ca="1" si="32">D60+D69</f>
        <v>0</v>
      </c>
      <c r="E70" s="81">
        <f t="shared" ca="1" si="32"/>
        <v>0</v>
      </c>
      <c r="F70" s="81">
        <f t="shared" ca="1" si="32"/>
        <v>0</v>
      </c>
      <c r="G70" s="81">
        <f t="shared" ca="1" si="32"/>
        <v>1822.3484838560778</v>
      </c>
      <c r="H70" s="81">
        <f t="shared" ca="1" si="32"/>
        <v>9282.6991457262156</v>
      </c>
      <c r="I70" s="81">
        <f t="shared" ca="1" si="32"/>
        <v>34524.947679892437</v>
      </c>
      <c r="J70" s="81">
        <f t="shared" ca="1" si="32"/>
        <v>91148.700159694505</v>
      </c>
      <c r="K70" s="81">
        <f t="shared" ca="1" si="32"/>
        <v>134120.95044845776</v>
      </c>
      <c r="L70" s="81">
        <f t="shared" ca="1" si="32"/>
        <v>156739.23049922183</v>
      </c>
      <c r="M70" s="81">
        <f t="shared" ca="1" si="32"/>
        <v>195448.94964715073</v>
      </c>
      <c r="N70" s="81">
        <f t="shared" ca="1" si="32"/>
        <v>262638.92042111582</v>
      </c>
      <c r="O70" s="81">
        <f t="shared" ca="1" si="32"/>
        <v>377263.50122822652</v>
      </c>
      <c r="P70" s="81">
        <f t="shared" ca="1" si="32"/>
        <v>502305.21638417622</v>
      </c>
      <c r="Q70" s="81">
        <f t="shared" ca="1" si="32"/>
        <v>618683.06391354324</v>
      </c>
      <c r="R70" s="81">
        <f t="shared" ca="1" si="32"/>
        <v>783105.03358132544</v>
      </c>
      <c r="S70" s="81">
        <f t="shared" ca="1" si="32"/>
        <v>1000478.1004783137</v>
      </c>
    </row>
    <row r="71" spans="1:19">
      <c r="A71" s="78" t="s">
        <v>1012</v>
      </c>
      <c r="B71" s="78"/>
      <c r="C71" s="78"/>
      <c r="D71" s="81">
        <f t="shared" ref="D71:S71" ca="1" si="33">D70-D61</f>
        <v>0</v>
      </c>
      <c r="E71" s="81">
        <f t="shared" ca="1" si="33"/>
        <v>0</v>
      </c>
      <c r="F71" s="81">
        <f t="shared" ca="1" si="33"/>
        <v>0</v>
      </c>
      <c r="G71" s="81">
        <f t="shared" ca="1" si="33"/>
        <v>1663.1623425141247</v>
      </c>
      <c r="H71" s="81">
        <f t="shared" ca="1" si="33"/>
        <v>8775.5615143686791</v>
      </c>
      <c r="I71" s="81">
        <f t="shared" ca="1" si="33"/>
        <v>33109.789499170169</v>
      </c>
      <c r="J71" s="81">
        <f t="shared" ca="1" si="33"/>
        <v>87901.478188542358</v>
      </c>
      <c r="K71" s="81">
        <f t="shared" ca="1" si="33"/>
        <v>130116.54698961371</v>
      </c>
      <c r="L71" s="81">
        <f t="shared" ca="1" si="33"/>
        <v>152708.93734298032</v>
      </c>
      <c r="M71" s="81">
        <f t="shared" ca="1" si="33"/>
        <v>190328.26495205075</v>
      </c>
      <c r="N71" s="81">
        <f t="shared" ca="1" si="33"/>
        <v>255651.66092968162</v>
      </c>
      <c r="O71" s="81">
        <f t="shared" ca="1" si="33"/>
        <v>367117.2854676593</v>
      </c>
      <c r="P71" s="81">
        <f t="shared" ca="1" si="33"/>
        <v>489139.05571248417</v>
      </c>
      <c r="Q71" s="81">
        <f t="shared" ca="1" si="33"/>
        <v>602781.60381231667</v>
      </c>
      <c r="R71" s="81">
        <f t="shared" ca="1" si="33"/>
        <v>762482.20569385856</v>
      </c>
      <c r="S71" s="81">
        <f t="shared" ca="1" si="33"/>
        <v>973272.88282842585</v>
      </c>
    </row>
    <row r="72" spans="1:19">
      <c r="A72" s="5" t="s">
        <v>1420</v>
      </c>
      <c r="B72" s="3"/>
      <c r="C72" s="3"/>
      <c r="D72" s="70">
        <f ca="1">(D60+D69)*D57+IF(D$4&lt;2028,Assumptions!$B$304,0)</f>
        <v>2000</v>
      </c>
      <c r="E72" s="70">
        <f ca="1">(E60+E69)*E57+IF(E$4&lt;2028,Assumptions!$B$304,0)</f>
        <v>2000</v>
      </c>
      <c r="F72" s="70">
        <f ca="1">(F60+F69)*F57+IF(F$4&lt;2028,Assumptions!$B$304,0)</f>
        <v>2000</v>
      </c>
      <c r="G72" s="70">
        <f ca="1">(G60+G69)*G57+IF(G$4&lt;2028,Assumptions!$B$304,0)</f>
        <v>470.04290031220768</v>
      </c>
      <c r="H72" s="70">
        <f ca="1">(H60+H69)*H57+IF(H$4&lt;2028,Assumptions!$B$304,0)</f>
        <v>2035.1633277942724</v>
      </c>
      <c r="I72" s="70">
        <f ca="1">(I60+I69)*I57+IF(I$4&lt;2028,Assumptions!$B$304,0)</f>
        <v>6433.9391337281832</v>
      </c>
      <c r="J72" s="70">
        <f ca="1">(J60+J69)*J57+IF(J$4&lt;2028,Assumptions!$B$304,0)</f>
        <v>14438.209008332395</v>
      </c>
      <c r="K72" s="70">
        <f ca="1">(K60+K69)*K57+IF(K$4&lt;2028,Assumptions!$B$304,0)</f>
        <v>18058.363584357758</v>
      </c>
      <c r="L72" s="70">
        <f ca="1">(L60+L69)*L57+IF(L$4&lt;2028,Assumptions!$B$304,0)</f>
        <v>17938.181189439663</v>
      </c>
      <c r="M72" s="70">
        <f ca="1">(M60+M69)*M57+IF(M$4&lt;2028,Assumptions!$B$304,0)</f>
        <v>21890.28236048088</v>
      </c>
      <c r="N72" s="70">
        <f ca="1">(N60+N69)*N57+IF(N$4&lt;2028,Assumptions!$B$304,0)</f>
        <v>29415.559087164969</v>
      </c>
      <c r="O72" s="70">
        <f ca="1">(O60+O69)*O57+IF(O$4&lt;2028,Assumptions!$B$304,0)</f>
        <v>42253.512137561367</v>
      </c>
      <c r="P72" s="70">
        <f ca="1">(P60+P69)*P57+IF(P$4&lt;2028,Assumptions!$B$304,0)</f>
        <v>56258.184235027729</v>
      </c>
      <c r="Q72" s="70">
        <f ca="1">(Q60+Q69)*Q57+IF(Q$4&lt;2028,Assumptions!$B$304,0)</f>
        <v>69292.503158316831</v>
      </c>
      <c r="R72" s="70">
        <f ca="1">(R60+R69)*R57+IF(R$4&lt;2028,Assumptions!$B$304,0)</f>
        <v>87707.763761108436</v>
      </c>
      <c r="S72" s="70">
        <f ca="1">(S60+S69)*S57+IF(S$4&lt;2028,Assumptions!$B$304,0)</f>
        <v>112053.54725357113</v>
      </c>
    </row>
    <row r="73" spans="1:19">
      <c r="A73" s="78" t="s">
        <v>1421</v>
      </c>
      <c r="B73" s="78"/>
      <c r="C73" s="78"/>
      <c r="D73" s="81">
        <f t="shared" ref="D73:S73" ca="1" si="34">D71-D65-D72-D66</f>
        <v>-2000</v>
      </c>
      <c r="E73" s="81">
        <f t="shared" ca="1" si="34"/>
        <v>-2000</v>
      </c>
      <c r="F73" s="81">
        <f t="shared" ca="1" si="34"/>
        <v>-2000</v>
      </c>
      <c r="G73" s="81">
        <f t="shared" ca="1" si="34"/>
        <v>369.90639323380742</v>
      </c>
      <c r="H73" s="81">
        <f t="shared" ca="1" si="34"/>
        <v>3236.228586358794</v>
      </c>
      <c r="I73" s="81">
        <f t="shared" ca="1" si="34"/>
        <v>15860.905128940121</v>
      </c>
      <c r="J73" s="81">
        <f t="shared" ca="1" si="34"/>
        <v>47696.867535611549</v>
      </c>
      <c r="K73" s="81">
        <f t="shared" ca="1" si="34"/>
        <v>73630.262142883003</v>
      </c>
      <c r="L73" s="81">
        <f t="shared" ca="1" si="34"/>
        <v>90014.277594849555</v>
      </c>
      <c r="M73" s="81">
        <f t="shared" ca="1" si="34"/>
        <v>115425.18850097992</v>
      </c>
      <c r="N73" s="81">
        <f t="shared" ca="1" si="34"/>
        <v>162681.89091537194</v>
      </c>
      <c r="O73" s="81">
        <f t="shared" ca="1" si="34"/>
        <v>247302.52650240314</v>
      </c>
      <c r="P73" s="81">
        <f t="shared" ca="1" si="34"/>
        <v>338807.59456100955</v>
      </c>
      <c r="Q73" s="81">
        <f t="shared" ca="1" si="34"/>
        <v>420554.41619885084</v>
      </c>
      <c r="R73" s="81">
        <f t="shared" ca="1" si="34"/>
        <v>536715.70995635982</v>
      </c>
      <c r="S73" s="81">
        <f t="shared" ca="1" si="34"/>
        <v>691911.79017743794</v>
      </c>
    </row>
    <row r="74" spans="1:19">
      <c r="A74" s="5" t="s">
        <v>1422</v>
      </c>
      <c r="B74" s="3"/>
      <c r="C74" s="3"/>
      <c r="D74" s="29">
        <f t="shared" ref="D74:S74" ca="1" si="35">D45*(D38+D39)/1000000</f>
        <v>0</v>
      </c>
      <c r="E74" s="29">
        <f t="shared" ca="1" si="35"/>
        <v>0</v>
      </c>
      <c r="F74" s="29">
        <f t="shared" ca="1" si="35"/>
        <v>0</v>
      </c>
      <c r="G74" s="29">
        <f t="shared" ca="1" si="35"/>
        <v>3739.1420598171076</v>
      </c>
      <c r="H74" s="29">
        <f t="shared" ca="1" si="35"/>
        <v>12115.226333397006</v>
      </c>
      <c r="I74" s="29">
        <f t="shared" ca="1" si="35"/>
        <v>32334.818427508282</v>
      </c>
      <c r="J74" s="29">
        <f t="shared" ca="1" si="35"/>
        <v>65884.064570189526</v>
      </c>
      <c r="K74" s="29">
        <f t="shared" ca="1" si="35"/>
        <v>60099.839145711732</v>
      </c>
      <c r="L74" s="29">
        <f t="shared" ca="1" si="35"/>
        <v>36531.388542873487</v>
      </c>
      <c r="M74" s="29">
        <f t="shared" ca="1" si="35"/>
        <v>50187.661893632096</v>
      </c>
      <c r="N74" s="29">
        <f t="shared" ca="1" si="35"/>
        <v>73100.526505718357</v>
      </c>
      <c r="O74" s="29">
        <f t="shared" ca="1" si="35"/>
        <v>109665.79340343134</v>
      </c>
      <c r="P74" s="29">
        <f t="shared" ca="1" si="35"/>
        <v>118079.9998261361</v>
      </c>
      <c r="Q74" s="29">
        <f t="shared" ca="1" si="35"/>
        <v>112942.66683995223</v>
      </c>
      <c r="R74" s="29">
        <f t="shared" ca="1" si="35"/>
        <v>144687.97340972914</v>
      </c>
      <c r="S74" s="29">
        <f t="shared" ca="1" si="35"/>
        <v>180409.74820616143</v>
      </c>
    </row>
    <row r="75" spans="1:19">
      <c r="A75" s="5" t="s">
        <v>1423</v>
      </c>
      <c r="B75" s="3"/>
      <c r="C75" s="3"/>
      <c r="D75" s="29">
        <f t="shared" ref="D75:S75" ca="1" si="36">D58</f>
        <v>0</v>
      </c>
      <c r="E75" s="29">
        <f t="shared" ca="1" si="36"/>
        <v>0</v>
      </c>
      <c r="F75" s="29">
        <f t="shared" ca="1" si="36"/>
        <v>0</v>
      </c>
      <c r="G75" s="29">
        <f t="shared" ca="1" si="36"/>
        <v>1518.0902302267564</v>
      </c>
      <c r="H75" s="29">
        <f t="shared" ca="1" si="36"/>
        <v>4991.5250284637841</v>
      </c>
      <c r="I75" s="29">
        <f t="shared" ca="1" si="36"/>
        <v>13459.8708007319</v>
      </c>
      <c r="J75" s="29">
        <f t="shared" ca="1" si="36"/>
        <v>27481.759669224019</v>
      </c>
      <c r="K75" s="29">
        <f t="shared" ca="1" si="36"/>
        <v>24978.660227712426</v>
      </c>
      <c r="L75" s="29">
        <f t="shared" ca="1" si="36"/>
        <v>15057.24317821068</v>
      </c>
      <c r="M75" s="29">
        <f t="shared" ca="1" si="36"/>
        <v>20384.484879669799</v>
      </c>
      <c r="N75" s="29">
        <f t="shared" ca="1" si="36"/>
        <v>29383.17764975701</v>
      </c>
      <c r="O75" s="29">
        <f t="shared" ca="1" si="36"/>
        <v>43733.764094552753</v>
      </c>
      <c r="P75" s="29">
        <f t="shared" ca="1" si="36"/>
        <v>46757.766765365399</v>
      </c>
      <c r="Q75" s="29">
        <f t="shared" ca="1" si="36"/>
        <v>44500.415590375982</v>
      </c>
      <c r="R75" s="29">
        <f t="shared" ca="1" si="36"/>
        <v>56633.412000290336</v>
      </c>
      <c r="S75" s="29">
        <f t="shared" ca="1" si="36"/>
        <v>70267.457891257727</v>
      </c>
    </row>
    <row r="76" spans="1:19">
      <c r="A76" s="19" t="s">
        <v>1424</v>
      </c>
      <c r="B76" s="20"/>
      <c r="C76" s="20"/>
      <c r="D76" s="115">
        <f t="shared" ref="D76:S76" ca="1" si="37">D73+D66-D74</f>
        <v>-2000</v>
      </c>
      <c r="E76" s="115">
        <f t="shared" ca="1" si="37"/>
        <v>-2000</v>
      </c>
      <c r="F76" s="115">
        <f t="shared" ca="1" si="37"/>
        <v>-2000</v>
      </c>
      <c r="G76" s="115">
        <f t="shared" ca="1" si="37"/>
        <v>-2621.4072546198786</v>
      </c>
      <c r="H76" s="115">
        <f t="shared" ca="1" si="37"/>
        <v>-5757.6685418344878</v>
      </c>
      <c r="I76" s="115">
        <f t="shared" ca="1" si="37"/>
        <v>-7066.5568794800274</v>
      </c>
      <c r="J76" s="115">
        <f t="shared" ca="1" si="37"/>
        <v>3881.2358341931686</v>
      </c>
      <c r="K76" s="115">
        <f t="shared" ca="1" si="37"/>
        <v>46523.61959526447</v>
      </c>
      <c r="L76" s="115">
        <f t="shared" ca="1" si="37"/>
        <v>91860.836191941286</v>
      </c>
      <c r="M76" s="115">
        <f t="shared" ca="1" si="37"/>
        <v>110250.39849225827</v>
      </c>
      <c r="N76" s="115">
        <f t="shared" ca="1" si="37"/>
        <v>142293.77887079678</v>
      </c>
      <c r="O76" s="115">
        <f t="shared" ca="1" si="37"/>
        <v>199443.96263199471</v>
      </c>
      <c r="P76" s="115">
        <f t="shared" ca="1" si="37"/>
        <v>293524.16369688982</v>
      </c>
      <c r="Q76" s="115">
        <f t="shared" ca="1" si="37"/>
        <v>393813.16979061672</v>
      </c>
      <c r="R76" s="115">
        <f t="shared" ca="1" si="37"/>
        <v>495328.36041976971</v>
      </c>
      <c r="S76" s="115">
        <f t="shared" ca="1" si="37"/>
        <v>634516.29749058525</v>
      </c>
    </row>
    <row r="77" spans="1:19">
      <c r="A77" s="5" t="s">
        <v>1425</v>
      </c>
      <c r="B77" s="3"/>
      <c r="C77" s="3"/>
      <c r="D77" s="141">
        <f t="shared" ref="D77:S77" ca="1" si="38">D49-IFERROR(D67/D46,0)-IFERROR(D72/D46,0)</f>
        <v>1.0511999999999999</v>
      </c>
      <c r="E77" s="141">
        <f t="shared" ca="1" si="38"/>
        <v>1.3646107269899996</v>
      </c>
      <c r="F77" s="141">
        <f t="shared" ca="1" si="38"/>
        <v>1.711327678599798</v>
      </c>
      <c r="G77" s="141">
        <f t="shared" ca="1" si="38"/>
        <v>1.3111136071759506</v>
      </c>
      <c r="H77" s="141">
        <f t="shared" ca="1" si="38"/>
        <v>1.7884284560485568</v>
      </c>
      <c r="I77" s="141">
        <f t="shared" ca="1" si="38"/>
        <v>2.273588842056232</v>
      </c>
      <c r="J77" s="141">
        <f t="shared" ca="1" si="38"/>
        <v>2.4986256919554832</v>
      </c>
      <c r="K77" s="141">
        <f t="shared" ca="1" si="38"/>
        <v>2.2788690964876741</v>
      </c>
      <c r="L77" s="141">
        <f t="shared" ca="1" si="38"/>
        <v>2.6218597140535715</v>
      </c>
      <c r="M77" s="141">
        <f t="shared" ca="1" si="38"/>
        <v>2.8364441496767152</v>
      </c>
      <c r="N77" s="141">
        <f t="shared" ca="1" si="38"/>
        <v>3.0169673937514951</v>
      </c>
      <c r="O77" s="141">
        <f t="shared" ca="1" si="38"/>
        <v>3.1198137042590774</v>
      </c>
      <c r="P77" s="141">
        <f t="shared" ca="1" si="38"/>
        <v>3.233313791988631</v>
      </c>
      <c r="Q77" s="141">
        <f t="shared" ca="1" si="38"/>
        <v>3.4698525990599514</v>
      </c>
      <c r="R77" s="141">
        <f t="shared" ca="1" si="38"/>
        <v>3.6867893076916309</v>
      </c>
      <c r="S77" s="141">
        <f t="shared" ca="1" si="38"/>
        <v>3.9896227334715872</v>
      </c>
    </row>
    <row r="78" spans="1:19">
      <c r="A78" s="5" t="s">
        <v>1426</v>
      </c>
      <c r="B78" s="3"/>
      <c r="C78" s="3"/>
      <c r="D78" s="141">
        <f t="shared" ref="D78:S78" ca="1" si="39">D40+D41</f>
        <v>5.6116889747669454</v>
      </c>
      <c r="E78" s="141">
        <f t="shared" ca="1" si="39"/>
        <v>5.3109970780924369</v>
      </c>
      <c r="F78" s="141">
        <f t="shared" ca="1" si="39"/>
        <v>4.6903454121012107</v>
      </c>
      <c r="G78" s="141">
        <f t="shared" ca="1" si="39"/>
        <v>4.2875412051741293</v>
      </c>
      <c r="H78" s="141">
        <f t="shared" ca="1" si="39"/>
        <v>3.9774478173450518</v>
      </c>
      <c r="I78" s="141">
        <f t="shared" ca="1" si="39"/>
        <v>3.7310848877061127</v>
      </c>
      <c r="J78" s="141">
        <f t="shared" ca="1" si="39"/>
        <v>3.5230706872668573</v>
      </c>
      <c r="K78" s="141">
        <f t="shared" ca="1" si="39"/>
        <v>3.3458551414199209</v>
      </c>
      <c r="L78" s="141">
        <f t="shared" ca="1" si="39"/>
        <v>3.2066827527748427</v>
      </c>
      <c r="M78" s="141">
        <f t="shared" ca="1" si="39"/>
        <v>3.0795520932999341</v>
      </c>
      <c r="N78" s="141">
        <f t="shared" ca="1" si="39"/>
        <v>2.9568713628814467</v>
      </c>
      <c r="O78" s="141">
        <f t="shared" ca="1" si="39"/>
        <v>2.831484375535446</v>
      </c>
      <c r="P78" s="141">
        <f t="shared" ca="1" si="39"/>
        <v>2.6983621122366235</v>
      </c>
      <c r="Q78" s="141">
        <f t="shared" ca="1" si="39"/>
        <v>2.5758734863913153</v>
      </c>
      <c r="R78" s="141">
        <f t="shared" ca="1" si="39"/>
        <v>2.4620335785641303</v>
      </c>
      <c r="S78" s="141">
        <f t="shared" ca="1" si="39"/>
        <v>2.3487485566452637</v>
      </c>
    </row>
    <row r="79" spans="1:19">
      <c r="A79" s="5" t="s">
        <v>1427</v>
      </c>
      <c r="B79" s="3"/>
      <c r="C79" s="3"/>
      <c r="D79" s="108">
        <f>Assumptions!$B$20</f>
        <v>5</v>
      </c>
      <c r="E79" s="108">
        <f>Assumptions!$B$20</f>
        <v>5</v>
      </c>
      <c r="F79" s="108">
        <f>Assumptions!$B$20</f>
        <v>5</v>
      </c>
      <c r="G79" s="108">
        <f>Assumptions!$B$20</f>
        <v>5</v>
      </c>
      <c r="H79" s="108">
        <f>Assumptions!$B$20</f>
        <v>5</v>
      </c>
      <c r="I79" s="108">
        <f>Assumptions!$B$20</f>
        <v>5</v>
      </c>
      <c r="J79" s="108">
        <f>Assumptions!$B$20</f>
        <v>5</v>
      </c>
      <c r="K79" s="108">
        <f>Assumptions!$B$20</f>
        <v>5</v>
      </c>
      <c r="L79" s="108">
        <f>Assumptions!$B$20</f>
        <v>5</v>
      </c>
      <c r="M79" s="108">
        <f>Assumptions!$B$20</f>
        <v>5</v>
      </c>
      <c r="N79" s="108">
        <f>Assumptions!$B$20</f>
        <v>5</v>
      </c>
      <c r="O79" s="108">
        <f>Assumptions!$B$20</f>
        <v>5</v>
      </c>
      <c r="P79" s="108">
        <f>Assumptions!$B$20</f>
        <v>5</v>
      </c>
      <c r="Q79" s="108">
        <f>Assumptions!$B$20</f>
        <v>5</v>
      </c>
      <c r="R79" s="108">
        <f>Assumptions!$B$20</f>
        <v>5</v>
      </c>
      <c r="S79" s="108">
        <f>Assumptions!$B$20</f>
        <v>5</v>
      </c>
    </row>
    <row r="80" spans="1:19" s="145" customFormat="1">
      <c r="A80" s="142" t="s">
        <v>1428</v>
      </c>
      <c r="B80" s="143"/>
      <c r="C80" s="143"/>
      <c r="D80" s="144">
        <f t="shared" ref="D80:S80" ca="1" si="40">IF(D77&lt;=0,0,IFERROR(MIN(3,IFERROR(RATE(D79,D77,-D78,0,0,0.1),IFERROR(RATE(D79,D77,-D78,0,0,0.5),RATE(D79,D77,-D78,0,0,1.5)))),IF(D77*D79&gt;D78,3,0)))</f>
        <v>-2.1437508775871059E-2</v>
      </c>
      <c r="E80" s="144">
        <f t="shared" ca="1" si="40"/>
        <v>8.9772312234035215E-2</v>
      </c>
      <c r="F80" s="144">
        <f t="shared" ca="1" si="40"/>
        <v>0.24081057363528899</v>
      </c>
      <c r="G80" s="144">
        <f t="shared" ca="1" si="40"/>
        <v>0.16054276146214208</v>
      </c>
      <c r="H80" s="144">
        <f t="shared" ca="1" si="40"/>
        <v>0.34898996946284339</v>
      </c>
      <c r="I80" s="144">
        <f t="shared" ca="1" si="40"/>
        <v>0.53871926662856795</v>
      </c>
      <c r="J80" s="144">
        <f t="shared" ca="1" si="40"/>
        <v>0.65148799830150916</v>
      </c>
      <c r="K80" s="144">
        <f t="shared" ca="1" si="40"/>
        <v>0.62007264077198931</v>
      </c>
      <c r="L80" s="144">
        <f t="shared" ca="1" si="40"/>
        <v>0.77064558993442367</v>
      </c>
      <c r="M80" s="144">
        <f t="shared" ca="1" si="40"/>
        <v>0.88205157970190473</v>
      </c>
      <c r="N80" s="144">
        <f t="shared" ca="1" si="40"/>
        <v>0.98741680870688198</v>
      </c>
      <c r="O80" s="144">
        <f t="shared" ca="1" si="40"/>
        <v>1.0730515179930762</v>
      </c>
      <c r="P80" s="144">
        <f t="shared" ca="1" si="40"/>
        <v>1.1735503960544096</v>
      </c>
      <c r="Q80" s="144">
        <f t="shared" ca="1" si="40"/>
        <v>1.3273300084942563</v>
      </c>
      <c r="R80" s="144">
        <f t="shared" ca="1" si="40"/>
        <v>1.4815442426376033</v>
      </c>
      <c r="S80" s="144">
        <f t="shared" ca="1" si="40"/>
        <v>1.6864774652107062</v>
      </c>
    </row>
    <row r="81" spans="1:19">
      <c r="A81" s="5" t="s">
        <v>1429</v>
      </c>
      <c r="B81" s="3"/>
      <c r="C81" s="3"/>
      <c r="D81" s="141">
        <f t="shared" ref="D81:S81" ca="1" si="41">IFERROR(D45/D35,0)</f>
        <v>0</v>
      </c>
      <c r="E81" s="141">
        <f t="shared" ca="1" si="41"/>
        <v>0</v>
      </c>
      <c r="F81" s="141">
        <f t="shared" ca="1" si="41"/>
        <v>0</v>
      </c>
      <c r="G81" s="141">
        <f t="shared" ca="1" si="41"/>
        <v>12</v>
      </c>
      <c r="H81" s="141">
        <f t="shared" ca="1" si="41"/>
        <v>34.700000000000003</v>
      </c>
      <c r="I81" s="141">
        <f t="shared" ca="1" si="41"/>
        <v>83.471698113207552</v>
      </c>
      <c r="J81" s="141">
        <f t="shared" ca="1" si="41"/>
        <v>173.4</v>
      </c>
      <c r="K81" s="141">
        <f t="shared" ca="1" si="41"/>
        <v>162.01769911504425</v>
      </c>
      <c r="L81" s="141">
        <f t="shared" ca="1" si="41"/>
        <v>99.188034188034194</v>
      </c>
      <c r="M81" s="141">
        <f t="shared" ca="1" si="41"/>
        <v>138.31666666666666</v>
      </c>
      <c r="N81" s="141">
        <f t="shared" ca="1" si="41"/>
        <v>203</v>
      </c>
      <c r="O81" s="141">
        <f t="shared" ca="1" si="41"/>
        <v>308.046875</v>
      </c>
      <c r="P81" s="141">
        <f t="shared" ca="1" si="41"/>
        <v>340.18320610687022</v>
      </c>
      <c r="Q81" s="141">
        <f t="shared" ca="1" si="41"/>
        <v>330.8</v>
      </c>
      <c r="R81" s="141">
        <f t="shared" ca="1" si="41"/>
        <v>430.64028776978415</v>
      </c>
      <c r="S81" s="141">
        <f t="shared" ca="1" si="41"/>
        <v>547.15384615384619</v>
      </c>
    </row>
    <row r="82" spans="1:19">
      <c r="A82" s="5" t="s">
        <v>1033</v>
      </c>
      <c r="B82" s="3"/>
      <c r="C82" s="3"/>
      <c r="D82" s="29">
        <f>0</f>
        <v>0</v>
      </c>
      <c r="E82" s="29">
        <f>0</f>
        <v>0</v>
      </c>
      <c r="F82" s="29">
        <f>0</f>
        <v>0</v>
      </c>
      <c r="G82" s="29">
        <f>0</f>
        <v>0</v>
      </c>
      <c r="H82" s="29">
        <f>0</f>
        <v>0</v>
      </c>
      <c r="I82" s="29">
        <f>0</f>
        <v>0</v>
      </c>
      <c r="J82" s="29">
        <f>0</f>
        <v>0</v>
      </c>
      <c r="K82" s="29">
        <f>0</f>
        <v>0</v>
      </c>
      <c r="L82" s="29">
        <f>0</f>
        <v>0</v>
      </c>
      <c r="M82" s="29">
        <f>0</f>
        <v>0</v>
      </c>
      <c r="N82" s="29">
        <f>0</f>
        <v>0</v>
      </c>
      <c r="O82" s="29">
        <f>0</f>
        <v>0</v>
      </c>
      <c r="P82" s="29">
        <f>0</f>
        <v>0</v>
      </c>
      <c r="Q82" s="29">
        <f>0</f>
        <v>0</v>
      </c>
      <c r="R82" s="29">
        <f>0</f>
        <v>0</v>
      </c>
      <c r="S82" s="29">
        <f>0</f>
        <v>0</v>
      </c>
    </row>
    <row r="83" spans="1:1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13" t="s">
        <v>1430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>
      <c r="A85" s="5" t="s">
        <v>1431</v>
      </c>
      <c r="B85" s="3"/>
      <c r="C85" s="3"/>
      <c r="D85" s="29">
        <f t="shared" ref="D85:S85" ca="1" si="42">MIN(MAX(0,D196), IFERROR(D186/D111,0))</f>
        <v>0</v>
      </c>
      <c r="E85" s="29">
        <f t="shared" ca="1" si="42"/>
        <v>168.92253277654618</v>
      </c>
      <c r="F85" s="29">
        <f t="shared" ca="1" si="42"/>
        <v>451.68792164265028</v>
      </c>
      <c r="G85" s="29">
        <f t="shared" ca="1" si="42"/>
        <v>0</v>
      </c>
      <c r="H85" s="29">
        <f t="shared" ca="1" si="42"/>
        <v>61.164940136857531</v>
      </c>
      <c r="I85" s="29">
        <f t="shared" ca="1" si="42"/>
        <v>185.99982031184453</v>
      </c>
      <c r="J85" s="29">
        <f t="shared" ca="1" si="42"/>
        <v>0</v>
      </c>
      <c r="K85" s="29">
        <f t="shared" ca="1" si="42"/>
        <v>725.10540392434734</v>
      </c>
      <c r="L85" s="29">
        <f t="shared" ca="1" si="42"/>
        <v>0</v>
      </c>
      <c r="M85" s="29">
        <f t="shared" ca="1" si="42"/>
        <v>122.65659487319975</v>
      </c>
      <c r="N85" s="29">
        <f t="shared" ca="1" si="42"/>
        <v>185.85221227498261</v>
      </c>
      <c r="O85" s="29">
        <f t="shared" ca="1" si="42"/>
        <v>536.79163661997541</v>
      </c>
      <c r="P85" s="29">
        <f t="shared" ca="1" si="42"/>
        <v>999.07668734446781</v>
      </c>
      <c r="Q85" s="29">
        <f t="shared" ca="1" si="42"/>
        <v>928.86104529071099</v>
      </c>
      <c r="R85" s="29">
        <f t="shared" ca="1" si="42"/>
        <v>1419.7238335763668</v>
      </c>
      <c r="S85" s="29">
        <f t="shared" ca="1" si="42"/>
        <v>1362.9596830939727</v>
      </c>
    </row>
    <row r="86" spans="1:19">
      <c r="A86" s="5" t="s">
        <v>1432</v>
      </c>
      <c r="B86" s="3"/>
      <c r="C86" s="3"/>
      <c r="D86" s="29">
        <f t="shared" ref="D86:S86" ca="1" si="43">IFERROR(D85*1000000/D20,0)</f>
        <v>0</v>
      </c>
      <c r="E86" s="29">
        <f t="shared" ca="1" si="43"/>
        <v>245298.40707662964</v>
      </c>
      <c r="F86" s="29">
        <f t="shared" ca="1" si="43"/>
        <v>666058.11376287695</v>
      </c>
      <c r="G86" s="29">
        <f t="shared" ca="1" si="43"/>
        <v>0</v>
      </c>
      <c r="H86" s="29">
        <f t="shared" ca="1" si="43"/>
        <v>93005.622746740177</v>
      </c>
      <c r="I86" s="29">
        <f t="shared" ca="1" si="43"/>
        <v>287200.82087512361</v>
      </c>
      <c r="J86" s="29">
        <f t="shared" ca="1" si="43"/>
        <v>0</v>
      </c>
      <c r="K86" s="29">
        <f t="shared" ca="1" si="43"/>
        <v>1154535.518755248</v>
      </c>
      <c r="L86" s="29">
        <f t="shared" ca="1" si="43"/>
        <v>0</v>
      </c>
      <c r="M86" s="29">
        <f t="shared" ca="1" si="43"/>
        <v>201386.36582388065</v>
      </c>
      <c r="N86" s="29">
        <f t="shared" ca="1" si="43"/>
        <v>309865.62341091078</v>
      </c>
      <c r="O86" s="29">
        <f t="shared" ca="1" si="43"/>
        <v>908820.06329995673</v>
      </c>
      <c r="P86" s="29">
        <f t="shared" ca="1" si="43"/>
        <v>1717661.1489069238</v>
      </c>
      <c r="Q86" s="29">
        <f t="shared" ca="1" si="43"/>
        <v>1621645.4930271397</v>
      </c>
      <c r="R86" s="29">
        <f t="shared" ca="1" si="43"/>
        <v>2516955.544409486</v>
      </c>
      <c r="S86" s="29">
        <f t="shared" ca="1" si="43"/>
        <v>2453698.4208344854</v>
      </c>
    </row>
    <row r="87" spans="1:19">
      <c r="A87" s="5" t="s">
        <v>1433</v>
      </c>
      <c r="B87" s="3"/>
      <c r="C87" s="3"/>
      <c r="D87" s="60">
        <f t="shared" ref="D87:S87" ca="1" si="44">D145</f>
        <v>0</v>
      </c>
      <c r="E87" s="60">
        <f t="shared" ca="1" si="44"/>
        <v>0.17523390900659935</v>
      </c>
      <c r="F87" s="60">
        <f t="shared" ca="1" si="44"/>
        <v>5.8511714913914714E-2</v>
      </c>
      <c r="G87" s="60">
        <f t="shared" ca="1" si="44"/>
        <v>6.9016056629050596E-2</v>
      </c>
      <c r="H87" s="60">
        <f t="shared" ca="1" si="44"/>
        <v>5.1857221158480273E-2</v>
      </c>
      <c r="I87" s="60">
        <f t="shared" ca="1" si="44"/>
        <v>2.8954000187641327E-2</v>
      </c>
      <c r="J87" s="60">
        <f t="shared" ca="1" si="44"/>
        <v>2.0501411234455674E-2</v>
      </c>
      <c r="K87" s="60">
        <f t="shared" ca="1" si="44"/>
        <v>1.8699110086975078E-2</v>
      </c>
      <c r="L87" s="60">
        <f t="shared" ca="1" si="44"/>
        <v>2.4612764502134968E-2</v>
      </c>
      <c r="M87" s="60">
        <f t="shared" ca="1" si="44"/>
        <v>3.2066535647431463E-2</v>
      </c>
      <c r="N87" s="60">
        <f t="shared" ca="1" si="44"/>
        <v>4.1924423727067506E-2</v>
      </c>
      <c r="O87" s="60">
        <f t="shared" ca="1" si="44"/>
        <v>5.4180343094500462E-2</v>
      </c>
      <c r="P87" s="60">
        <f t="shared" ca="1" si="44"/>
        <v>6.9729216625891918E-2</v>
      </c>
      <c r="Q87" s="60">
        <f t="shared" ca="1" si="44"/>
        <v>9.2027719821097462E-2</v>
      </c>
      <c r="R87" s="60">
        <f t="shared" ca="1" si="44"/>
        <v>0.12086605218327426</v>
      </c>
      <c r="S87" s="60">
        <f t="shared" ca="1" si="44"/>
        <v>0.1632503806405238</v>
      </c>
    </row>
    <row r="88" spans="1:19">
      <c r="A88" s="5" t="s">
        <v>525</v>
      </c>
      <c r="B88" s="3"/>
      <c r="C88" s="3"/>
      <c r="D88" s="139">
        <f>Assumptions!D$323</f>
        <v>0.06</v>
      </c>
      <c r="E88" s="139">
        <f>Assumptions!E$323</f>
        <v>6.3E-2</v>
      </c>
      <c r="F88" s="139">
        <f>Assumptions!F$323</f>
        <v>6.615E-2</v>
      </c>
      <c r="G88" s="139">
        <f>Assumptions!G$323</f>
        <v>6.9458000000000006E-2</v>
      </c>
      <c r="H88" s="139">
        <f>Assumptions!H$323</f>
        <v>7.2929999999999995E-2</v>
      </c>
      <c r="I88" s="139">
        <f>Assumptions!I$323</f>
        <v>7.6577000000000006E-2</v>
      </c>
      <c r="J88" s="139">
        <f>Assumptions!J$323</f>
        <v>8.0406000000000005E-2</v>
      </c>
      <c r="K88" s="139">
        <f>Assumptions!K$323</f>
        <v>8.4426000000000001E-2</v>
      </c>
      <c r="L88" s="139">
        <f>Assumptions!L$323</f>
        <v>8.8647000000000004E-2</v>
      </c>
      <c r="M88" s="139">
        <f>Assumptions!M$323</f>
        <v>9.3079999999999996E-2</v>
      </c>
      <c r="N88" s="139">
        <f>Assumptions!N$323</f>
        <v>9.7734000000000001E-2</v>
      </c>
      <c r="O88" s="139">
        <f>Assumptions!O$323</f>
        <v>0.10262</v>
      </c>
      <c r="P88" s="139">
        <f>Assumptions!P$323</f>
        <v>0.107751</v>
      </c>
      <c r="Q88" s="139">
        <f>Assumptions!Q$323</f>
        <v>0.113139</v>
      </c>
      <c r="R88" s="139">
        <f>Assumptions!R$323</f>
        <v>0.118796</v>
      </c>
      <c r="S88" s="139">
        <f>Assumptions!S$323</f>
        <v>0.124736</v>
      </c>
    </row>
    <row r="89" spans="1:19">
      <c r="A89" s="5" t="s">
        <v>1434</v>
      </c>
      <c r="B89" s="3"/>
      <c r="C89" s="3"/>
      <c r="D89" s="29">
        <f t="shared" ref="D89:S89" ca="1" si="45">MAX(0, C89 + D85 - D193)</f>
        <v>0</v>
      </c>
      <c r="E89" s="29">
        <f t="shared" ca="1" si="45"/>
        <v>168.92253277654618</v>
      </c>
      <c r="F89" s="29">
        <f t="shared" ca="1" si="45"/>
        <v>620.61045441919646</v>
      </c>
      <c r="G89" s="29">
        <f t="shared" ca="1" si="45"/>
        <v>620.61045441919646</v>
      </c>
      <c r="H89" s="29">
        <f t="shared" ca="1" si="45"/>
        <v>681.77539455605404</v>
      </c>
      <c r="I89" s="29">
        <f t="shared" ca="1" si="45"/>
        <v>867.77521486789851</v>
      </c>
      <c r="J89" s="29">
        <f t="shared" ca="1" si="45"/>
        <v>867.77521486789851</v>
      </c>
      <c r="K89" s="29">
        <f t="shared" ca="1" si="45"/>
        <v>1592.880618792246</v>
      </c>
      <c r="L89" s="29">
        <f t="shared" ca="1" si="45"/>
        <v>1592.880618792246</v>
      </c>
      <c r="M89" s="29">
        <f t="shared" ca="1" si="45"/>
        <v>1715.5372136654457</v>
      </c>
      <c r="N89" s="29">
        <f t="shared" ca="1" si="45"/>
        <v>1901.3894259404283</v>
      </c>
      <c r="O89" s="29">
        <f t="shared" ca="1" si="45"/>
        <v>2438.1810625604039</v>
      </c>
      <c r="P89" s="29">
        <f t="shared" ca="1" si="45"/>
        <v>3437.2577499048716</v>
      </c>
      <c r="Q89" s="29">
        <f t="shared" ca="1" si="45"/>
        <v>4366.1187951955826</v>
      </c>
      <c r="R89" s="29">
        <f t="shared" ca="1" si="45"/>
        <v>5785.8426287719494</v>
      </c>
      <c r="S89" s="29">
        <f t="shared" ca="1" si="45"/>
        <v>7148.8023118659221</v>
      </c>
    </row>
    <row r="90" spans="1:19">
      <c r="A90" s="5" t="s">
        <v>1435</v>
      </c>
      <c r="B90" s="3"/>
      <c r="C90" s="3"/>
      <c r="D90" s="29">
        <f t="shared" ref="D90:S90" ca="1" si="46">MAX(0, C90 + D86 - D194)</f>
        <v>0</v>
      </c>
      <c r="E90" s="29">
        <f t="shared" ca="1" si="46"/>
        <v>245298.40707662964</v>
      </c>
      <c r="F90" s="29">
        <f t="shared" ca="1" si="46"/>
        <v>911356.52083950653</v>
      </c>
      <c r="G90" s="29">
        <f t="shared" ca="1" si="46"/>
        <v>911356.52083950653</v>
      </c>
      <c r="H90" s="29">
        <f t="shared" ca="1" si="46"/>
        <v>1004362.1435862468</v>
      </c>
      <c r="I90" s="29">
        <f t="shared" ca="1" si="46"/>
        <v>1291562.9644613704</v>
      </c>
      <c r="J90" s="29">
        <f t="shared" ca="1" si="46"/>
        <v>1291562.9644613704</v>
      </c>
      <c r="K90" s="29">
        <f t="shared" ca="1" si="46"/>
        <v>2446098.4832166182</v>
      </c>
      <c r="L90" s="29">
        <f t="shared" ca="1" si="46"/>
        <v>2446098.4832166182</v>
      </c>
      <c r="M90" s="29">
        <f t="shared" ca="1" si="46"/>
        <v>2647484.849040499</v>
      </c>
      <c r="N90" s="29">
        <f t="shared" ca="1" si="46"/>
        <v>2957350.4724514098</v>
      </c>
      <c r="O90" s="29">
        <f t="shared" ca="1" si="46"/>
        <v>3866170.5357513665</v>
      </c>
      <c r="P90" s="29">
        <f t="shared" ca="1" si="46"/>
        <v>5583831.6846582908</v>
      </c>
      <c r="Q90" s="29">
        <f t="shared" ca="1" si="46"/>
        <v>7205477.1776854303</v>
      </c>
      <c r="R90" s="29">
        <f t="shared" ca="1" si="46"/>
        <v>9722432.7220949158</v>
      </c>
      <c r="S90" s="29">
        <f t="shared" ca="1" si="46"/>
        <v>12176131.142929401</v>
      </c>
    </row>
    <row r="91" spans="1:19">
      <c r="A91" s="5" t="s">
        <v>1436</v>
      </c>
      <c r="B91" s="3"/>
      <c r="C91" s="3"/>
      <c r="D91" s="70">
        <f ca="1">C91*(1-Assumptions!$B$281)+D86*(D21/Assumptions!$B$74)*Assumptions!$B$268</f>
        <v>0</v>
      </c>
      <c r="E91" s="70">
        <f ca="1">D91*(1-Assumptions!$B$281)+E86*(E21/Assumptions!$B$74)*Assumptions!$B$268</f>
        <v>161749.76962632959</v>
      </c>
      <c r="F91" s="70">
        <f ca="1">E91*(1-Assumptions!$B$281)+F86*(F21/Assumptions!$B$74)*Assumptions!$B$268</f>
        <v>629871.68387650978</v>
      </c>
      <c r="G91" s="70">
        <f ca="1">F91*(1-Assumptions!$B$281)+G86*(G21/Assumptions!$B$74)*Assumptions!$B$268</f>
        <v>573183.23232762387</v>
      </c>
      <c r="H91" s="70">
        <f ca="1">G91*(1-Assumptions!$B$281)+H86*(H21/Assumptions!$B$74)*Assumptions!$B$268</f>
        <v>603001.76850195054</v>
      </c>
      <c r="I91" s="70">
        <f ca="1">H91*(1-Assumptions!$B$281)+I86*(I21/Assumptions!$B$74)*Assumptions!$B$268</f>
        <v>824996.30508942751</v>
      </c>
      <c r="J91" s="70">
        <f ca="1">I91*(1-Assumptions!$B$281)+J86*(J21/Assumptions!$B$74)*Assumptions!$B$268</f>
        <v>750746.63763137907</v>
      </c>
      <c r="K91" s="70">
        <f ca="1">J91*(1-Assumptions!$B$281)+K86*(K21/Assumptions!$B$74)*Assumptions!$B$268</f>
        <v>2024530.3114671605</v>
      </c>
      <c r="L91" s="70">
        <f ca="1">K91*(1-Assumptions!$B$281)+L86*(L21/Assumptions!$B$74)*Assumptions!$B$268</f>
        <v>1842322.5834351161</v>
      </c>
      <c r="M91" s="70">
        <f ca="1">L91*(1-Assumptions!$B$281)+M86*(M21/Assumptions!$B$74)*Assumptions!$B$268</f>
        <v>1959105.9959330582</v>
      </c>
      <c r="N91" s="70">
        <f ca="1">M91*(1-Assumptions!$B$281)+N86*(N21/Assumptions!$B$74)*Assumptions!$B$268</f>
        <v>2260647.4399849921</v>
      </c>
      <c r="O91" s="70">
        <f ca="1">N91*(1-Assumptions!$B$281)+O86*(O21/Assumptions!$B$74)*Assumptions!$B$268</f>
        <v>3597483.7002633875</v>
      </c>
      <c r="P91" s="70">
        <f ca="1">O91*(1-Assumptions!$B$281)+P86*(P21/Assumptions!$B$74)*Assumptions!$B$268</f>
        <v>6473055.0016819118</v>
      </c>
      <c r="Q91" s="70">
        <f ca="1">P91*(1-Assumptions!$B$281)+Q86*(Q21/Assumptions!$B$74)*Assumptions!$B$268</f>
        <v>9210014.434113089</v>
      </c>
      <c r="R91" s="70">
        <f ca="1">Q91*(1-Assumptions!$B$281)+R86*(R21/Assumptions!$B$74)*Assumptions!$B$268</f>
        <v>14043434.175629431</v>
      </c>
      <c r="S91" s="70">
        <f ca="1">R91*(1-Assumptions!$B$281)+S86*(S21/Assumptions!$B$74)*Assumptions!$B$268</f>
        <v>18846019.766690779</v>
      </c>
    </row>
    <row r="92" spans="1:19">
      <c r="A92" s="5" t="s">
        <v>1437</v>
      </c>
      <c r="B92" s="3"/>
      <c r="C92" s="3"/>
      <c r="D92" s="70">
        <f ca="1">D91*D23*Assumptions!$B$264</f>
        <v>0</v>
      </c>
      <c r="E92" s="70">
        <f ca="1">E91*E23*Assumptions!$B$264</f>
        <v>694294711.14405715</v>
      </c>
      <c r="F92" s="70">
        <f ca="1">F91*F23*Assumptions!$B$264</f>
        <v>3200252051.4397712</v>
      </c>
      <c r="G92" s="70">
        <f ca="1">G91*G23*Assumptions!$B$264</f>
        <v>3364127027.17729</v>
      </c>
      <c r="H92" s="70">
        <f ca="1">H91*H23*Assumptions!$B$264</f>
        <v>4014544573.9785857</v>
      </c>
      <c r="I92" s="70">
        <f ca="1">I91*I23*Assumptions!$B$264</f>
        <v>6142922487.6958771</v>
      </c>
      <c r="J92" s="70">
        <f ca="1">J91*J23*Assumptions!$B$264</f>
        <v>5590059463.8032484</v>
      </c>
      <c r="K92" s="70">
        <f ca="1">K91*K23*Assumptions!$B$264</f>
        <v>15074652699.184477</v>
      </c>
      <c r="L92" s="70">
        <f ca="1">L91*L23*Assumptions!$B$264</f>
        <v>13717933956.257875</v>
      </c>
      <c r="M92" s="70">
        <f ca="1">M91*M23*Assumptions!$B$264</f>
        <v>14587503245.717552</v>
      </c>
      <c r="N92" s="70">
        <f ca="1">N91*N23*Assumptions!$B$264</f>
        <v>16832780838.12825</v>
      </c>
      <c r="O92" s="70">
        <f ca="1">O91*O23*Assumptions!$B$264</f>
        <v>26786863632.161182</v>
      </c>
      <c r="P92" s="70">
        <f ca="1">P91*P23*Assumptions!$B$264</f>
        <v>48198367542.523514</v>
      </c>
      <c r="Q92" s="70">
        <f ca="1">Q91*Q23*Assumptions!$B$264</f>
        <v>68577767476.406059</v>
      </c>
      <c r="R92" s="70">
        <f ca="1">R91*R23*Assumptions!$B$264</f>
        <v>104567410871.73676</v>
      </c>
      <c r="S92" s="70">
        <f ca="1">S91*S23*Assumptions!$B$264</f>
        <v>140327463182.77954</v>
      </c>
    </row>
    <row r="93" spans="1:19">
      <c r="A93" s="5" t="s">
        <v>1438</v>
      </c>
      <c r="B93" s="3"/>
      <c r="C93" s="3"/>
      <c r="D93" s="29">
        <f t="shared" ref="D93:S93" ca="1" si="47">D92*D208/1000000</f>
        <v>0</v>
      </c>
      <c r="E93" s="29">
        <f t="shared" ca="1" si="47"/>
        <v>1319.1599511737084</v>
      </c>
      <c r="F93" s="29">
        <f t="shared" ca="1" si="47"/>
        <v>5776.454952848786</v>
      </c>
      <c r="G93" s="29">
        <f t="shared" ca="1" si="47"/>
        <v>5768.6368198522568</v>
      </c>
      <c r="H93" s="29">
        <f t="shared" ca="1" si="47"/>
        <v>6539.7432928182907</v>
      </c>
      <c r="I93" s="29">
        <f t="shared" ca="1" si="47"/>
        <v>9506.5526430382961</v>
      </c>
      <c r="J93" s="29">
        <f t="shared" ca="1" si="47"/>
        <v>8218.4147599066073</v>
      </c>
      <c r="K93" s="29">
        <f t="shared" ca="1" si="47"/>
        <v>17746.228527425486</v>
      </c>
      <c r="L93" s="29">
        <f t="shared" ca="1" si="47"/>
        <v>15766.484612730579</v>
      </c>
      <c r="M93" s="29">
        <f t="shared" ca="1" si="47"/>
        <v>16128.40645182632</v>
      </c>
      <c r="N93" s="29">
        <f t="shared" ca="1" si="47"/>
        <v>17804.867433690637</v>
      </c>
      <c r="O93" s="29">
        <f t="shared" ca="1" si="47"/>
        <v>26748.187061319593</v>
      </c>
      <c r="P93" s="29">
        <f t="shared" ca="1" si="47"/>
        <v>45103.926632802206</v>
      </c>
      <c r="Q93" s="29">
        <f t="shared" ca="1" si="47"/>
        <v>60874.227003056651</v>
      </c>
      <c r="R93" s="29">
        <f t="shared" ca="1" si="47"/>
        <v>87724.80876055875</v>
      </c>
      <c r="S93" s="29">
        <f t="shared" ca="1" si="47"/>
        <v>113376.22409823515</v>
      </c>
    </row>
    <row r="94" spans="1:19">
      <c r="A94" s="5" t="s">
        <v>1406</v>
      </c>
      <c r="B94" s="3"/>
      <c r="C94" s="3"/>
      <c r="D94" s="110">
        <f>MAX(Assumptions!$B$302,Assumptions!$B$301*(1+Assumptions!$B$303)^D$5)*(1+IF(OR(D21&gt;C21,E21&gt;D21),Assumptions!$B$283,0))</f>
        <v>0.42</v>
      </c>
      <c r="E94" s="110">
        <f>MAX(Assumptions!$B$302,Assumptions!$B$301*(1+Assumptions!$B$303)^E$5)*(1+IF(OR(E21&gt;D21,F21&gt;E21),Assumptions!$B$283,0))</f>
        <v>0.35699999999999998</v>
      </c>
      <c r="F94" s="110">
        <f>MAX(Assumptions!$B$302,Assumptions!$B$301*(1+Assumptions!$B$303)^F$5)*(1+IF(OR(F21&gt;E21,G21&gt;F21),Assumptions!$B$283,0))</f>
        <v>0.30344999999999994</v>
      </c>
      <c r="G94" s="110">
        <f>MAX(Assumptions!$B$302,Assumptions!$B$301*(1+Assumptions!$B$303)^G$5)*(1+IF(OR(G21&gt;F21,H21&gt;G21),Assumptions!$B$283,0))</f>
        <v>0.25793249999999995</v>
      </c>
      <c r="H94" s="110">
        <f>MAX(Assumptions!$B$302,Assumptions!$B$301*(1+Assumptions!$B$303)^H$5)*(1+IF(OR(H21&gt;G21,I21&gt;H21),Assumptions!$B$283,0))</f>
        <v>0.21924262499999994</v>
      </c>
      <c r="I94" s="110">
        <f>MAX(Assumptions!$B$302,Assumptions!$B$301*(1+Assumptions!$B$303)^I$5)*(1+IF(OR(I21&gt;H21,J21&gt;I21),Assumptions!$B$283,0))</f>
        <v>0.18635623124999992</v>
      </c>
      <c r="J94" s="110">
        <f>MAX(Assumptions!$B$302,Assumptions!$B$301*(1+Assumptions!$B$303)^J$5)*(1+IF(OR(J21&gt;I21,K21&gt;J21),Assumptions!$B$283,0))</f>
        <v>0.15840279656249995</v>
      </c>
      <c r="K94" s="110">
        <f>MAX(Assumptions!$B$302,Assumptions!$B$301*(1+Assumptions!$B$303)^K$5)*(1+IF(OR(K21&gt;J21,L21&gt;K21),Assumptions!$B$283,0))</f>
        <v>0.13464237707812493</v>
      </c>
      <c r="L94" s="110">
        <f>MAX(Assumptions!$B$302,Assumptions!$B$301*(1+Assumptions!$B$303)^L$5)*(1+IF(OR(L21&gt;K21,M21&gt;L21),Assumptions!$B$283,0))</f>
        <v>0.1144460205164062</v>
      </c>
      <c r="M94" s="110">
        <f>MAX(Assumptions!$B$302,Assumptions!$B$301*(1+Assumptions!$B$303)^M$5)*(1+IF(OR(M21&gt;L21,N21&gt;M21),Assumptions!$B$283,0))</f>
        <v>0.11199999999999999</v>
      </c>
      <c r="N94" s="110">
        <f>MAX(Assumptions!$B$302,Assumptions!$B$301*(1+Assumptions!$B$303)^N$5)*(1+IF(OR(N21&gt;M21,O21&gt;N21),Assumptions!$B$283,0))</f>
        <v>0.11199999999999999</v>
      </c>
      <c r="O94" s="110">
        <f>MAX(Assumptions!$B$302,Assumptions!$B$301*(1+Assumptions!$B$303)^O$5)*(1+IF(OR(O21&gt;N21,P21&gt;O21),Assumptions!$B$283,0))</f>
        <v>0.11199999999999999</v>
      </c>
      <c r="P94" s="110">
        <f>MAX(Assumptions!$B$302,Assumptions!$B$301*(1+Assumptions!$B$303)^P$5)*(1+IF(OR(P21&gt;O21,Q21&gt;P21),Assumptions!$B$283,0))</f>
        <v>0.11199999999999999</v>
      </c>
      <c r="Q94" s="110">
        <f>MAX(Assumptions!$B$302,Assumptions!$B$301*(1+Assumptions!$B$303)^Q$5)*(1+IF(OR(Q21&gt;P21,R21&gt;Q21),Assumptions!$B$283,0))</f>
        <v>0.11199999999999999</v>
      </c>
      <c r="R94" s="110">
        <f>MAX(Assumptions!$B$302,Assumptions!$B$301*(1+Assumptions!$B$303)^R$5)*(1+IF(OR(R21&gt;Q21,S21&gt;R21),Assumptions!$B$283,0))</f>
        <v>0.11199999999999999</v>
      </c>
      <c r="S94" s="110">
        <f>MAX(Assumptions!$B$302,Assumptions!$B$301*(1+Assumptions!$B$303)^S$5)*(1+IF(S21&gt;R21,Assumptions!$B$283,0))</f>
        <v>0.11199999999999999</v>
      </c>
    </row>
    <row r="95" spans="1:19">
      <c r="A95" s="5" t="s">
        <v>1407</v>
      </c>
      <c r="B95" s="3"/>
      <c r="C95" s="3"/>
      <c r="D95" s="70">
        <f ca="1">D86*D24*Assumptions!$B$319/1000000</f>
        <v>0</v>
      </c>
      <c r="E95" s="70">
        <f ca="1">E86*E24*Assumptions!$B$319/1000000</f>
        <v>2268.6645325576446</v>
      </c>
      <c r="F95" s="70">
        <f ca="1">F86*F24*Assumptions!$B$319/1000000</f>
        <v>5754.4562797065282</v>
      </c>
      <c r="G95" s="70">
        <f ca="1">G86*G24*Assumptions!$B$319/1000000</f>
        <v>0</v>
      </c>
      <c r="H95" s="70">
        <f ca="1">H86*H24*Assumptions!$B$319/1000000</f>
        <v>701.18822269379086</v>
      </c>
      <c r="I95" s="70">
        <f ca="1">I86*I24*Assumptions!$B$319/1000000</f>
        <v>2022.6824344292647</v>
      </c>
      <c r="J95" s="70">
        <f ca="1">J86*J24*Assumptions!$B$319/1000000</f>
        <v>0</v>
      </c>
      <c r="K95" s="70">
        <f ca="1">K86*K24*Assumptions!$B$319/1000000</f>
        <v>7095.4927506247086</v>
      </c>
      <c r="L95" s="70">
        <f ca="1">L86*L24*Assumptions!$B$319/1000000</f>
        <v>0</v>
      </c>
      <c r="M95" s="70">
        <f ca="1">M86*M24*Assumptions!$B$319/1000000</f>
        <v>1080.0368248472475</v>
      </c>
      <c r="N95" s="70">
        <f ca="1">N86*N24*Assumptions!$B$319/1000000</f>
        <v>1552.3817014878405</v>
      </c>
      <c r="O95" s="70">
        <f ca="1">O86*O24*Assumptions!$B$319/1000000</f>
        <v>4253.2375649157466</v>
      </c>
      <c r="P95" s="70">
        <f ca="1">P86*P24*Assumptions!$B$319/1000000</f>
        <v>7509.2375929860718</v>
      </c>
      <c r="Q95" s="70">
        <f ca="1">Q86*Q24*Assumptions!$B$319/1000000</f>
        <v>6622.6360760695561</v>
      </c>
      <c r="R95" s="70">
        <f ca="1">R86*R24*Assumptions!$B$319/1000000</f>
        <v>9602.1201121666491</v>
      </c>
      <c r="S95" s="70">
        <f ca="1">S86*S24*Assumptions!$B$319/1000000</f>
        <v>8744.3874214333482</v>
      </c>
    </row>
    <row r="96" spans="1:19">
      <c r="A96" s="5" t="s">
        <v>1409</v>
      </c>
      <c r="B96" s="3"/>
      <c r="C96" s="3"/>
      <c r="D96" s="29">
        <f t="shared" ref="D96:S96" ca="1" si="48">D93*(1-D87)</f>
        <v>0</v>
      </c>
      <c r="E96" s="29">
        <f t="shared" ca="1" si="48"/>
        <v>1087.9983963245847</v>
      </c>
      <c r="F96" s="29">
        <f t="shared" ca="1" si="48"/>
        <v>5438.4646674346268</v>
      </c>
      <c r="G96" s="29">
        <f t="shared" ca="1" si="48"/>
        <v>5370.5082544209072</v>
      </c>
      <c r="H96" s="29">
        <f t="shared" ca="1" si="48"/>
        <v>6200.6103785629248</v>
      </c>
      <c r="I96" s="29">
        <f t="shared" ca="1" si="48"/>
        <v>9231.2999160279433</v>
      </c>
      <c r="J96" s="29">
        <f t="shared" ca="1" si="48"/>
        <v>8049.9256592184411</v>
      </c>
      <c r="K96" s="29">
        <f t="shared" ca="1" si="48"/>
        <v>17414.389846562539</v>
      </c>
      <c r="L96" s="29">
        <f t="shared" ca="1" si="48"/>
        <v>15378.427839930906</v>
      </c>
      <c r="M96" s="29">
        <f t="shared" ca="1" si="48"/>
        <v>15611.224331402569</v>
      </c>
      <c r="N96" s="29">
        <f t="shared" ca="1" si="48"/>
        <v>17058.408626996326</v>
      </c>
      <c r="O96" s="29">
        <f t="shared" ca="1" si="48"/>
        <v>25298.961109181419</v>
      </c>
      <c r="P96" s="29">
        <f t="shared" ca="1" si="48"/>
        <v>41958.865161945207</v>
      </c>
      <c r="Q96" s="29">
        <f t="shared" ca="1" si="48"/>
        <v>55272.11069609347</v>
      </c>
      <c r="R96" s="29">
        <f t="shared" ca="1" si="48"/>
        <v>77121.857447137299</v>
      </c>
      <c r="S96" s="29">
        <f t="shared" ca="1" si="48"/>
        <v>94867.512358612934</v>
      </c>
    </row>
    <row r="97" spans="1:19">
      <c r="A97" s="5" t="s">
        <v>1410</v>
      </c>
      <c r="B97" s="3"/>
      <c r="C97" s="3"/>
      <c r="D97" s="70">
        <f ca="1">D89*Assumptions!$B$76*1000*D23*Assumptions!$B$264*D88/1000000</f>
        <v>0</v>
      </c>
      <c r="E97" s="70">
        <f ca="1">E89*Assumptions!$B$76*1000*E23*Assumptions!$B$264*E88/1000000</f>
        <v>63.952327628662125</v>
      </c>
      <c r="F97" s="70">
        <f ca="1">F89*Assumptions!$B$76*1000*F23*Assumptions!$B$264*F88/1000000</f>
        <v>292.01762944085687</v>
      </c>
      <c r="G97" s="70">
        <f ca="1">G89*Assumptions!$B$76*1000*G23*Assumptions!$B$264*G88/1000000</f>
        <v>354.19979510571682</v>
      </c>
      <c r="H97" s="70">
        <f ca="1">H89*Assumptions!$B$76*1000*H23*Assumptions!$B$264*H88/1000000</f>
        <v>463.43973917564449</v>
      </c>
      <c r="I97" s="70">
        <f ca="1">I89*Assumptions!$B$76*1000*I23*Assumptions!$B$264*I88/1000000</f>
        <v>692.71829493311236</v>
      </c>
      <c r="J97" s="70">
        <f ca="1">J89*Assumptions!$B$76*1000*J23*Assumptions!$B$264*J88/1000000</f>
        <v>727.35556658516055</v>
      </c>
      <c r="K97" s="70">
        <f ca="1">K89*Assumptions!$B$76*1000*K23*Assumptions!$B$264*K88/1000000</f>
        <v>1401.8789320249837</v>
      </c>
      <c r="L97" s="70">
        <f ca="1">L89*Assumptions!$B$76*1000*L23*Assumptions!$B$264*L88/1000000</f>
        <v>1471.967897178816</v>
      </c>
      <c r="M97" s="70">
        <f ca="1">M89*Assumptions!$B$76*1000*M23*Assumptions!$B$264*M88/1000000</f>
        <v>1664.5911657928793</v>
      </c>
      <c r="N97" s="70">
        <f ca="1">N89*Assumptions!$B$76*1000*N23*Assumptions!$B$264*N88/1000000</f>
        <v>1937.1703608279415</v>
      </c>
      <c r="O97" s="70">
        <f ca="1">O89*Assumptions!$B$76*1000*O23*Assumptions!$B$264*O88/1000000</f>
        <v>2608.2488924870804</v>
      </c>
      <c r="P97" s="70">
        <f ca="1">P89*Assumptions!$B$76*1000*P23*Assumptions!$B$264*P88/1000000</f>
        <v>3860.8637602433623</v>
      </c>
      <c r="Q97" s="70">
        <f ca="1">Q89*Assumptions!$B$76*1000*Q23*Assumptions!$B$264*Q88/1000000</f>
        <v>5149.4275403148031</v>
      </c>
      <c r="R97" s="70">
        <f ca="1">R89*Assumptions!$B$76*1000*R23*Assumptions!$B$264*R88/1000000</f>
        <v>7165.0545666935941</v>
      </c>
      <c r="S97" s="70">
        <f ca="1">S89*Assumptions!$B$76*1000*S23*Assumptions!$B$264*S88/1000000</f>
        <v>9295.5730511244583</v>
      </c>
    </row>
    <row r="98" spans="1:19">
      <c r="A98" s="5" t="s">
        <v>1414</v>
      </c>
      <c r="B98" s="3"/>
      <c r="C98" s="3"/>
      <c r="D98" s="70">
        <f ca="1">D93*(Assumptions!$B$290+Assumptions!$B$291)</f>
        <v>0</v>
      </c>
      <c r="E98" s="70">
        <f ca="1">E93*(Assumptions!$B$290+Assumptions!$B$291)</f>
        <v>52.766398046948332</v>
      </c>
      <c r="F98" s="70">
        <f ca="1">F93*(Assumptions!$B$290+Assumptions!$B$291)</f>
        <v>231.05819811395145</v>
      </c>
      <c r="G98" s="70">
        <f ca="1">G93*(Assumptions!$B$290+Assumptions!$B$291)</f>
        <v>230.74547279409029</v>
      </c>
      <c r="H98" s="70">
        <f ca="1">H93*(Assumptions!$B$290+Assumptions!$B$291)</f>
        <v>261.58973171273163</v>
      </c>
      <c r="I98" s="70">
        <f ca="1">I93*(Assumptions!$B$290+Assumptions!$B$291)</f>
        <v>380.26210572153184</v>
      </c>
      <c r="J98" s="70">
        <f ca="1">J93*(Assumptions!$B$290+Assumptions!$B$291)</f>
        <v>328.73659039626432</v>
      </c>
      <c r="K98" s="70">
        <f ca="1">K93*(Assumptions!$B$290+Assumptions!$B$291)</f>
        <v>709.84914109701947</v>
      </c>
      <c r="L98" s="70">
        <f ca="1">L93*(Assumptions!$B$290+Assumptions!$B$291)</f>
        <v>630.65938450922317</v>
      </c>
      <c r="M98" s="70">
        <f ca="1">M93*(Assumptions!$B$290+Assumptions!$B$291)</f>
        <v>645.13625807305277</v>
      </c>
      <c r="N98" s="70">
        <f ca="1">N93*(Assumptions!$B$290+Assumptions!$B$291)</f>
        <v>712.19469734762549</v>
      </c>
      <c r="O98" s="70">
        <f ca="1">O93*(Assumptions!$B$290+Assumptions!$B$291)</f>
        <v>1069.9274824527838</v>
      </c>
      <c r="P98" s="70">
        <f ca="1">P93*(Assumptions!$B$290+Assumptions!$B$291)</f>
        <v>1804.1570653120882</v>
      </c>
      <c r="Q98" s="70">
        <f ca="1">Q93*(Assumptions!$B$290+Assumptions!$B$291)</f>
        <v>2434.969080122266</v>
      </c>
      <c r="R98" s="70">
        <f ca="1">R93*(Assumptions!$B$290+Assumptions!$B$291)</f>
        <v>3508.9923504223502</v>
      </c>
      <c r="S98" s="70">
        <f ca="1">S93*(Assumptions!$B$290+Assumptions!$B$291)</f>
        <v>4535.0489639294065</v>
      </c>
    </row>
    <row r="99" spans="1:19">
      <c r="A99" s="5" t="s">
        <v>1415</v>
      </c>
      <c r="B99" s="3"/>
      <c r="C99" s="3"/>
      <c r="D99" s="70">
        <f ca="1">(D89*Assumptions!$B$293*(1+Assumptions!$B$342)^D$5+D90*D24*Assumptions!$B$319)/1000000/Assumptions!$B$21</f>
        <v>0</v>
      </c>
      <c r="E99" s="70">
        <f ca="1">(E89*Assumptions!$B$293*(1+Assumptions!$B$342)^E$5+E90*E24*Assumptions!$B$319)/1000000/Assumptions!$B$21</f>
        <v>387.06015792656814</v>
      </c>
      <c r="F99" s="70">
        <f ca="1">(F89*Assumptions!$B$293*(1+Assumptions!$B$342)^F$5+F90*F24*Assumptions!$B$319)/1000000/Assumptions!$B$21</f>
        <v>1432.0069710242337</v>
      </c>
      <c r="G99" s="70">
        <f ca="1">(G89*Assumptions!$B$293*(1+Assumptions!$B$342)^G$5+G90*G24*Assumptions!$B$319)/1000000/Assumptions!$B$21</f>
        <v>1440.0746089171764</v>
      </c>
      <c r="H99" s="70">
        <f ca="1">(H89*Assumptions!$B$293*(1+Assumptions!$B$342)^H$5+H90*H24*Assumptions!$B$319)/1000000/Assumptions!$B$21</f>
        <v>1597.1684816902296</v>
      </c>
      <c r="I99" s="70">
        <f ca="1">(I89*Assumptions!$B$293*(1+Assumptions!$B$342)^I$5+I90*I24*Assumptions!$B$319)/1000000/Assumptions!$B$21</f>
        <v>2062.135149345349</v>
      </c>
      <c r="J99" s="70">
        <f ca="1">(J89*Assumptions!$B$293*(1+Assumptions!$B$342)^J$5+J90*J24*Assumptions!$B$319)/1000000/Assumptions!$B$21</f>
        <v>2090.622133535911</v>
      </c>
      <c r="K99" s="70">
        <f ca="1">(K89*Assumptions!$B$293*(1+Assumptions!$B$342)^K$5+K90*K24*Assumptions!$B$319)/1000000/Assumptions!$B$21</f>
        <v>3931.4062270470063</v>
      </c>
      <c r="L99" s="70">
        <f ca="1">(L89*Assumptions!$B$293*(1+Assumptions!$B$342)^L$5+L90*L24*Assumptions!$B$319)/1000000/Assumptions!$B$21</f>
        <v>4003.0831269960522</v>
      </c>
      <c r="M99" s="70">
        <f ca="1">(M89*Assumptions!$B$293*(1+Assumptions!$B$342)^M$5+M90*M24*Assumptions!$B$319)/1000000/Assumptions!$B$21</f>
        <v>4404.836549880737</v>
      </c>
      <c r="N99" s="70">
        <f ca="1">(N89*Assumptions!$B$293*(1+Assumptions!$B$342)^N$5+N90*N24*Assumptions!$B$319)/1000000/Assumptions!$B$21</f>
        <v>5000.7953874471777</v>
      </c>
      <c r="O99" s="70">
        <f ca="1">(O89*Assumptions!$B$293*(1+Assumptions!$B$342)^O$5+O90*O24*Assumptions!$B$319)/1000000/Assumptions!$B$21</f>
        <v>6594.1171730100596</v>
      </c>
      <c r="P99" s="70">
        <f ca="1">(P89*Assumptions!$B$293*(1+Assumptions!$B$342)^P$5+P90*P24*Assumptions!$B$319)/1000000/Assumptions!$B$21</f>
        <v>9580.0534991592958</v>
      </c>
      <c r="Q99" s="70">
        <f ca="1">(Q89*Assumptions!$B$293*(1+Assumptions!$B$342)^Q$5+Q90*Q24*Assumptions!$B$319)/1000000/Assumptions!$B$21</f>
        <v>12538.242490477207</v>
      </c>
      <c r="R99" s="70">
        <f ca="1">(R89*Assumptions!$B$293*(1+Assumptions!$B$342)^R$5+R90*R24*Assumptions!$B$319)/1000000/Assumptions!$B$21</f>
        <v>17147.072712187452</v>
      </c>
      <c r="S99" s="70">
        <f ca="1">(S89*Assumptions!$B$293*(1+Assumptions!$B$342)^S$5+S90*S24*Assumptions!$B$319)/1000000/Assumptions!$B$21</f>
        <v>21876.175859229763</v>
      </c>
    </row>
    <row r="100" spans="1:19">
      <c r="A100" s="5" t="s">
        <v>1416</v>
      </c>
      <c r="B100" s="3"/>
      <c r="C100" s="3"/>
      <c r="D100" s="29">
        <f t="shared" ref="D100:S100" ca="1" si="49">D97+D98</f>
        <v>0</v>
      </c>
      <c r="E100" s="29">
        <f t="shared" ca="1" si="49"/>
        <v>116.71872567561046</v>
      </c>
      <c r="F100" s="29">
        <f t="shared" ca="1" si="49"/>
        <v>523.07582755480826</v>
      </c>
      <c r="G100" s="29">
        <f t="shared" ca="1" si="49"/>
        <v>584.94526789980705</v>
      </c>
      <c r="H100" s="29">
        <f t="shared" ca="1" si="49"/>
        <v>725.02947088837618</v>
      </c>
      <c r="I100" s="29">
        <f t="shared" ca="1" si="49"/>
        <v>1072.9804006546442</v>
      </c>
      <c r="J100" s="29">
        <f t="shared" ca="1" si="49"/>
        <v>1056.092156981425</v>
      </c>
      <c r="K100" s="29">
        <f t="shared" ca="1" si="49"/>
        <v>2111.728073122003</v>
      </c>
      <c r="L100" s="29">
        <f t="shared" ca="1" si="49"/>
        <v>2102.6272816880391</v>
      </c>
      <c r="M100" s="29">
        <f t="shared" ca="1" si="49"/>
        <v>2309.727423865932</v>
      </c>
      <c r="N100" s="29">
        <f t="shared" ca="1" si="49"/>
        <v>2649.3650581755669</v>
      </c>
      <c r="O100" s="29">
        <f t="shared" ca="1" si="49"/>
        <v>3678.1763749398642</v>
      </c>
      <c r="P100" s="29">
        <f t="shared" ca="1" si="49"/>
        <v>5665.0208255554508</v>
      </c>
      <c r="Q100" s="29">
        <f t="shared" ca="1" si="49"/>
        <v>7584.396620437069</v>
      </c>
      <c r="R100" s="29">
        <f t="shared" ca="1" si="49"/>
        <v>10674.046917115944</v>
      </c>
      <c r="S100" s="29">
        <f t="shared" ca="1" si="49"/>
        <v>13830.622015053865</v>
      </c>
    </row>
    <row r="101" spans="1:19">
      <c r="A101" s="5" t="s">
        <v>1417</v>
      </c>
      <c r="B101" s="3"/>
      <c r="C101" s="3"/>
      <c r="D101" s="29">
        <f t="shared" ref="D101:S101" ca="1" si="50">D99+D100</f>
        <v>0</v>
      </c>
      <c r="E101" s="29">
        <f t="shared" ca="1" si="50"/>
        <v>503.77888360217861</v>
      </c>
      <c r="F101" s="29">
        <f t="shared" ca="1" si="50"/>
        <v>1955.082798579042</v>
      </c>
      <c r="G101" s="29">
        <f t="shared" ca="1" si="50"/>
        <v>2025.0198768169835</v>
      </c>
      <c r="H101" s="29">
        <f t="shared" ca="1" si="50"/>
        <v>2322.1979525786055</v>
      </c>
      <c r="I101" s="29">
        <f t="shared" ca="1" si="50"/>
        <v>3135.1155499999932</v>
      </c>
      <c r="J101" s="29">
        <f t="shared" ca="1" si="50"/>
        <v>3146.7142905173359</v>
      </c>
      <c r="K101" s="29">
        <f t="shared" ca="1" si="50"/>
        <v>6043.1343001690093</v>
      </c>
      <c r="L101" s="29">
        <f t="shared" ca="1" si="50"/>
        <v>6105.7104086840918</v>
      </c>
      <c r="M101" s="29">
        <f t="shared" ca="1" si="50"/>
        <v>6714.563973746669</v>
      </c>
      <c r="N101" s="29">
        <f t="shared" ca="1" si="50"/>
        <v>7650.1604456227451</v>
      </c>
      <c r="O101" s="29">
        <f t="shared" ca="1" si="50"/>
        <v>10272.293547949925</v>
      </c>
      <c r="P101" s="29">
        <f t="shared" ca="1" si="50"/>
        <v>15245.074324714747</v>
      </c>
      <c r="Q101" s="29">
        <f t="shared" ca="1" si="50"/>
        <v>20122.639110914275</v>
      </c>
      <c r="R101" s="29">
        <f t="shared" ca="1" si="50"/>
        <v>27821.119629303394</v>
      </c>
      <c r="S101" s="29">
        <f t="shared" ca="1" si="50"/>
        <v>35706.797874283628</v>
      </c>
    </row>
    <row r="102" spans="1:19">
      <c r="A102" s="5" t="s">
        <v>1418</v>
      </c>
      <c r="B102" s="3"/>
      <c r="C102" s="3"/>
      <c r="D102" s="29">
        <f t="shared" ref="D102:S102" ca="1" si="51">D101*D87</f>
        <v>0</v>
      </c>
      <c r="E102" s="29">
        <f t="shared" ca="1" si="51"/>
        <v>88.27914304859037</v>
      </c>
      <c r="F102" s="29">
        <f t="shared" ca="1" si="51"/>
        <v>114.39524734355545</v>
      </c>
      <c r="G102" s="29">
        <f t="shared" ca="1" si="51"/>
        <v>139.758886493354</v>
      </c>
      <c r="H102" s="29">
        <f t="shared" ca="1" si="51"/>
        <v>120.42273280063883</v>
      </c>
      <c r="I102" s="29">
        <f t="shared" ca="1" si="51"/>
        <v>90.774136222977049</v>
      </c>
      <c r="J102" s="29">
        <f t="shared" ca="1" si="51"/>
        <v>64.512083707234325</v>
      </c>
      <c r="K102" s="29">
        <f t="shared" ca="1" si="51"/>
        <v>113.00123354923539</v>
      </c>
      <c r="L102" s="29">
        <f t="shared" ca="1" si="51"/>
        <v>150.27841240717581</v>
      </c>
      <c r="M102" s="29">
        <f t="shared" ca="1" si="51"/>
        <v>215.31280502110661</v>
      </c>
      <c r="N102" s="29">
        <f t="shared" ca="1" si="51"/>
        <v>320.72856810233952</v>
      </c>
      <c r="O102" s="29">
        <f t="shared" ca="1" si="51"/>
        <v>556.55638879535036</v>
      </c>
      <c r="P102" s="29">
        <f t="shared" ca="1" si="51"/>
        <v>1063.0270900658577</v>
      </c>
      <c r="Q102" s="29">
        <f t="shared" ca="1" si="51"/>
        <v>1851.8405941602766</v>
      </c>
      <c r="R102" s="29">
        <f t="shared" ca="1" si="51"/>
        <v>3362.6288969124998</v>
      </c>
      <c r="S102" s="29">
        <f t="shared" ca="1" si="51"/>
        <v>5829.1483444310479</v>
      </c>
    </row>
    <row r="103" spans="1:19">
      <c r="A103" s="78" t="s">
        <v>1419</v>
      </c>
      <c r="B103" s="78"/>
      <c r="C103" s="78"/>
      <c r="D103" s="81">
        <f t="shared" ref="D103:S103" ca="1" si="52">D96+D102</f>
        <v>0</v>
      </c>
      <c r="E103" s="81">
        <f t="shared" ca="1" si="52"/>
        <v>1176.2775393731752</v>
      </c>
      <c r="F103" s="81">
        <f t="shared" ca="1" si="52"/>
        <v>5552.8599147781824</v>
      </c>
      <c r="G103" s="81">
        <f t="shared" ca="1" si="52"/>
        <v>5510.2671409142613</v>
      </c>
      <c r="H103" s="81">
        <f t="shared" ca="1" si="52"/>
        <v>6321.0331113635639</v>
      </c>
      <c r="I103" s="81">
        <f t="shared" ca="1" si="52"/>
        <v>9322.0740522509204</v>
      </c>
      <c r="J103" s="81">
        <f t="shared" ca="1" si="52"/>
        <v>8114.4377429256756</v>
      </c>
      <c r="K103" s="81">
        <f t="shared" ca="1" si="52"/>
        <v>17527.391080111774</v>
      </c>
      <c r="L103" s="81">
        <f t="shared" ca="1" si="52"/>
        <v>15528.706252338081</v>
      </c>
      <c r="M103" s="81">
        <f t="shared" ca="1" si="52"/>
        <v>15826.537136423676</v>
      </c>
      <c r="N103" s="81">
        <f t="shared" ca="1" si="52"/>
        <v>17379.137195098665</v>
      </c>
      <c r="O103" s="81">
        <f t="shared" ca="1" si="52"/>
        <v>25855.517497976769</v>
      </c>
      <c r="P103" s="81">
        <f t="shared" ca="1" si="52"/>
        <v>43021.892252011065</v>
      </c>
      <c r="Q103" s="81">
        <f t="shared" ca="1" si="52"/>
        <v>57123.951290253746</v>
      </c>
      <c r="R103" s="81">
        <f t="shared" ca="1" si="52"/>
        <v>80484.486344049801</v>
      </c>
      <c r="S103" s="81">
        <f t="shared" ca="1" si="52"/>
        <v>100696.66070304398</v>
      </c>
    </row>
    <row r="104" spans="1:19">
      <c r="A104" s="78" t="s">
        <v>1012</v>
      </c>
      <c r="B104" s="78"/>
      <c r="C104" s="78"/>
      <c r="D104" s="81">
        <f t="shared" ref="D104:S104" ca="1" si="53">D103-D97</f>
        <v>0</v>
      </c>
      <c r="E104" s="81">
        <f t="shared" ca="1" si="53"/>
        <v>1112.3252117445131</v>
      </c>
      <c r="F104" s="81">
        <f t="shared" ca="1" si="53"/>
        <v>5260.8422853373258</v>
      </c>
      <c r="G104" s="81">
        <f t="shared" ca="1" si="53"/>
        <v>5156.0673458085448</v>
      </c>
      <c r="H104" s="81">
        <f t="shared" ca="1" si="53"/>
        <v>5857.5933721879192</v>
      </c>
      <c r="I104" s="81">
        <f t="shared" ca="1" si="53"/>
        <v>8629.3557573178077</v>
      </c>
      <c r="J104" s="81">
        <f t="shared" ca="1" si="53"/>
        <v>7387.0821763405147</v>
      </c>
      <c r="K104" s="81">
        <f t="shared" ca="1" si="53"/>
        <v>16125.512148086791</v>
      </c>
      <c r="L104" s="81">
        <f t="shared" ca="1" si="53"/>
        <v>14056.738355159265</v>
      </c>
      <c r="M104" s="81">
        <f t="shared" ca="1" si="53"/>
        <v>14161.945970630797</v>
      </c>
      <c r="N104" s="81">
        <f t="shared" ca="1" si="53"/>
        <v>15441.966834270723</v>
      </c>
      <c r="O104" s="81">
        <f t="shared" ca="1" si="53"/>
        <v>23247.268605489688</v>
      </c>
      <c r="P104" s="81">
        <f t="shared" ca="1" si="53"/>
        <v>39161.028491767705</v>
      </c>
      <c r="Q104" s="81">
        <f t="shared" ca="1" si="53"/>
        <v>51974.52374993894</v>
      </c>
      <c r="R104" s="81">
        <f t="shared" ca="1" si="53"/>
        <v>73319.431777356207</v>
      </c>
      <c r="S104" s="81">
        <f t="shared" ca="1" si="53"/>
        <v>91401.087651919515</v>
      </c>
    </row>
    <row r="105" spans="1:19">
      <c r="A105" s="5" t="s">
        <v>1420</v>
      </c>
      <c r="B105" s="3"/>
      <c r="C105" s="3"/>
      <c r="D105" s="29">
        <f t="shared" ref="D105:S105" ca="1" si="54">(D96+D102)*D94</f>
        <v>0</v>
      </c>
      <c r="E105" s="29">
        <f t="shared" ca="1" si="54"/>
        <v>419.93108155622349</v>
      </c>
      <c r="F105" s="29">
        <f t="shared" ca="1" si="54"/>
        <v>1685.0153411394392</v>
      </c>
      <c r="G105" s="29">
        <f t="shared" ca="1" si="54"/>
        <v>1421.2769793238674</v>
      </c>
      <c r="H105" s="29">
        <f t="shared" ca="1" si="54"/>
        <v>1385.8398920472648</v>
      </c>
      <c r="I105" s="29">
        <f t="shared" ca="1" si="54"/>
        <v>1737.2265878108963</v>
      </c>
      <c r="J105" s="29">
        <f t="shared" ca="1" si="54"/>
        <v>1285.3496310117271</v>
      </c>
      <c r="K105" s="29">
        <f t="shared" ca="1" si="54"/>
        <v>2359.9295990041728</v>
      </c>
      <c r="L105" s="29">
        <f t="shared" ca="1" si="54"/>
        <v>1777.1986343483293</v>
      </c>
      <c r="M105" s="29">
        <f t="shared" ca="1" si="54"/>
        <v>1772.5721592794516</v>
      </c>
      <c r="N105" s="29">
        <f t="shared" ca="1" si="54"/>
        <v>1946.4633658510502</v>
      </c>
      <c r="O105" s="29">
        <f t="shared" ca="1" si="54"/>
        <v>2895.8179597733979</v>
      </c>
      <c r="P105" s="29">
        <f t="shared" ca="1" si="54"/>
        <v>4818.451932225239</v>
      </c>
      <c r="Q105" s="29">
        <f t="shared" ca="1" si="54"/>
        <v>6397.8825445084185</v>
      </c>
      <c r="R105" s="29">
        <f t="shared" ca="1" si="54"/>
        <v>9014.2624705335766</v>
      </c>
      <c r="S105" s="29">
        <f t="shared" ca="1" si="54"/>
        <v>11278.025998740924</v>
      </c>
    </row>
    <row r="106" spans="1:19">
      <c r="A106" s="78" t="s">
        <v>1421</v>
      </c>
      <c r="B106" s="78"/>
      <c r="C106" s="78"/>
      <c r="D106" s="81">
        <f t="shared" ref="D106:S106" ca="1" si="55">D104-D98-D105-D99</f>
        <v>0</v>
      </c>
      <c r="E106" s="81">
        <f t="shared" ca="1" si="55"/>
        <v>252.56757421477317</v>
      </c>
      <c r="F106" s="81">
        <f t="shared" ca="1" si="55"/>
        <v>1912.7617750597014</v>
      </c>
      <c r="G106" s="81">
        <f t="shared" ca="1" si="55"/>
        <v>2063.9702847734106</v>
      </c>
      <c r="H106" s="81">
        <f t="shared" ca="1" si="55"/>
        <v>2612.9952667376929</v>
      </c>
      <c r="I106" s="81">
        <f t="shared" ca="1" si="55"/>
        <v>4449.7319144400317</v>
      </c>
      <c r="J106" s="81">
        <f t="shared" ca="1" si="55"/>
        <v>3682.3738213966121</v>
      </c>
      <c r="K106" s="81">
        <f t="shared" ca="1" si="55"/>
        <v>9124.3271809385915</v>
      </c>
      <c r="L106" s="81">
        <f t="shared" ca="1" si="55"/>
        <v>7645.7972093056596</v>
      </c>
      <c r="M106" s="81">
        <f t="shared" ca="1" si="55"/>
        <v>7339.4010033975565</v>
      </c>
      <c r="N106" s="81">
        <f t="shared" ca="1" si="55"/>
        <v>7782.5133836248688</v>
      </c>
      <c r="O106" s="81">
        <f t="shared" ca="1" si="55"/>
        <v>12687.405990253445</v>
      </c>
      <c r="P106" s="81">
        <f t="shared" ca="1" si="55"/>
        <v>22958.365995071086</v>
      </c>
      <c r="Q106" s="81">
        <f t="shared" ca="1" si="55"/>
        <v>30603.429634831045</v>
      </c>
      <c r="R106" s="81">
        <f t="shared" ca="1" si="55"/>
        <v>43649.104244212824</v>
      </c>
      <c r="S106" s="81">
        <f t="shared" ca="1" si="55"/>
        <v>53711.83683001942</v>
      </c>
    </row>
    <row r="107" spans="1:19">
      <c r="A107" s="5" t="s">
        <v>1439</v>
      </c>
      <c r="B107" s="3"/>
      <c r="C107" s="3"/>
      <c r="D107" s="70">
        <f ca="1">(D85*Assumptions!$B$293*(1+Assumptions!$B$342)^D$5+D86*D24*Assumptions!$B$319)/1000000</f>
        <v>0</v>
      </c>
      <c r="E107" s="70">
        <f ca="1">(E85*Assumptions!$B$293*(1+Assumptions!$B$342)^E$5+E86*E24*Assumptions!$B$319)/1000000</f>
        <v>5805.9023688985217</v>
      </c>
      <c r="F107" s="70">
        <f ca="1">(F85*Assumptions!$B$293*(1+Assumptions!$B$342)^F$5+F86*F24*Assumptions!$B$319)/1000000</f>
        <v>15657.343577625888</v>
      </c>
      <c r="G107" s="70">
        <f ca="1">(G85*Assumptions!$B$293*(1+Assumptions!$B$342)^G$5+G86*G24*Assumptions!$B$319)/1000000</f>
        <v>0</v>
      </c>
      <c r="H107" s="70">
        <f ca="1">(H85*Assumptions!$B$293*(1+Assumptions!$B$342)^H$5+H86*H24*Assumptions!$B$319)/1000000</f>
        <v>2171.1947981913145</v>
      </c>
      <c r="I107" s="70">
        <f ca="1">(I85*Assumptions!$B$293*(1+Assumptions!$B$342)^I$5+I86*I24*Assumptions!$B$319)/1000000</f>
        <v>6703.0065437559633</v>
      </c>
      <c r="J107" s="70">
        <f ca="1">(J85*Assumptions!$B$293*(1+Assumptions!$B$342)^J$5+J86*J24*Assumptions!$B$319)/1000000</f>
        <v>0</v>
      </c>
      <c r="K107" s="70">
        <f ca="1">(K85*Assumptions!$B$293*(1+Assumptions!$B$342)^K$5+K86*K24*Assumptions!$B$319)/1000000</f>
        <v>27096.778256880865</v>
      </c>
      <c r="L107" s="70">
        <f ca="1">(L85*Assumptions!$B$293*(1+Assumptions!$B$342)^L$5+L86*L24*Assumptions!$B$319)/1000000</f>
        <v>0</v>
      </c>
      <c r="M107" s="70">
        <f ca="1">(M85*Assumptions!$B$293*(1+Assumptions!$B$342)^M$5+M86*M24*Assumptions!$B$319)/1000000</f>
        <v>4788.9019019591751</v>
      </c>
      <c r="N107" s="70">
        <f ca="1">(N85*Assumptions!$B$293*(1+Assumptions!$B$342)^N$5+N86*N24*Assumptions!$B$319)/1000000</f>
        <v>7436.2717360877423</v>
      </c>
      <c r="O107" s="70">
        <f ca="1">(O85*Assumptions!$B$293*(1+Assumptions!$B$342)^O$5+O86*O24*Assumptions!$B$319)/1000000</f>
        <v>22046.239865346939</v>
      </c>
      <c r="P107" s="70">
        <f ca="1">(P85*Assumptions!$B$293*(1+Assumptions!$B$342)^P$5+P86*P24*Assumptions!$B$319)/1000000</f>
        <v>42182.044497812145</v>
      </c>
      <c r="Q107" s="70">
        <f ca="1">(Q85*Assumptions!$B$293*(1+Assumptions!$B$342)^Q$5+Q86*Q24*Assumptions!$B$319)/1000000</f>
        <v>40373.710859579362</v>
      </c>
      <c r="R107" s="70">
        <f ca="1">(R85*Assumptions!$B$293*(1+Assumptions!$B$342)^R$5+R86*R24*Assumptions!$B$319)/1000000</f>
        <v>63613.766075182408</v>
      </c>
      <c r="S107" s="70">
        <f ca="1">(S85*Assumptions!$B$293*(1+Assumptions!$B$342)^S$5+S86*S24*Assumptions!$B$319)/1000000</f>
        <v>63033.56095502065</v>
      </c>
    </row>
    <row r="108" spans="1:19">
      <c r="A108" s="5" t="s">
        <v>1423</v>
      </c>
      <c r="B108" s="3"/>
      <c r="C108" s="3"/>
      <c r="D108" s="29">
        <f t="shared" ref="D108:S108" ca="1" si="56">D95</f>
        <v>0</v>
      </c>
      <c r="E108" s="29">
        <f t="shared" ca="1" si="56"/>
        <v>2268.6645325576446</v>
      </c>
      <c r="F108" s="29">
        <f t="shared" ca="1" si="56"/>
        <v>5754.4562797065282</v>
      </c>
      <c r="G108" s="29">
        <f t="shared" ca="1" si="56"/>
        <v>0</v>
      </c>
      <c r="H108" s="29">
        <f t="shared" ca="1" si="56"/>
        <v>701.18822269379086</v>
      </c>
      <c r="I108" s="29">
        <f t="shared" ca="1" si="56"/>
        <v>2022.6824344292647</v>
      </c>
      <c r="J108" s="29">
        <f t="shared" ca="1" si="56"/>
        <v>0</v>
      </c>
      <c r="K108" s="29">
        <f t="shared" ca="1" si="56"/>
        <v>7095.4927506247086</v>
      </c>
      <c r="L108" s="29">
        <f t="shared" ca="1" si="56"/>
        <v>0</v>
      </c>
      <c r="M108" s="29">
        <f t="shared" ca="1" si="56"/>
        <v>1080.0368248472475</v>
      </c>
      <c r="N108" s="29">
        <f t="shared" ca="1" si="56"/>
        <v>1552.3817014878405</v>
      </c>
      <c r="O108" s="29">
        <f t="shared" ca="1" si="56"/>
        <v>4253.2375649157466</v>
      </c>
      <c r="P108" s="29">
        <f t="shared" ca="1" si="56"/>
        <v>7509.2375929860718</v>
      </c>
      <c r="Q108" s="29">
        <f t="shared" ca="1" si="56"/>
        <v>6622.6360760695561</v>
      </c>
      <c r="R108" s="29">
        <f t="shared" ca="1" si="56"/>
        <v>9602.1201121666491</v>
      </c>
      <c r="S108" s="29">
        <f t="shared" ca="1" si="56"/>
        <v>8744.3874214333482</v>
      </c>
    </row>
    <row r="109" spans="1:19">
      <c r="A109" s="19" t="s">
        <v>1424</v>
      </c>
      <c r="B109" s="20"/>
      <c r="C109" s="20"/>
      <c r="D109" s="115">
        <f t="shared" ref="D109:S109" ca="1" si="57">D106+D99-D107</f>
        <v>0</v>
      </c>
      <c r="E109" s="115">
        <f t="shared" ca="1" si="57"/>
        <v>-5166.2746367571799</v>
      </c>
      <c r="F109" s="115">
        <f t="shared" ca="1" si="57"/>
        <v>-12312.574831541953</v>
      </c>
      <c r="G109" s="115">
        <f t="shared" ca="1" si="57"/>
        <v>3504.0448936905868</v>
      </c>
      <c r="H109" s="115">
        <f t="shared" ca="1" si="57"/>
        <v>2038.9689502366082</v>
      </c>
      <c r="I109" s="115">
        <f t="shared" ca="1" si="57"/>
        <v>-191.13947997058222</v>
      </c>
      <c r="J109" s="115">
        <f t="shared" ca="1" si="57"/>
        <v>5772.9959549325231</v>
      </c>
      <c r="K109" s="115">
        <f t="shared" ca="1" si="57"/>
        <v>-14041.044848895268</v>
      </c>
      <c r="L109" s="115">
        <f t="shared" ca="1" si="57"/>
        <v>11648.880336301712</v>
      </c>
      <c r="M109" s="115">
        <f t="shared" ca="1" si="57"/>
        <v>6955.3356513191184</v>
      </c>
      <c r="N109" s="115">
        <f t="shared" ca="1" si="57"/>
        <v>5347.0370349843042</v>
      </c>
      <c r="O109" s="115">
        <f t="shared" ca="1" si="57"/>
        <v>-2764.7167020834349</v>
      </c>
      <c r="P109" s="115">
        <f t="shared" ca="1" si="57"/>
        <v>-9643.6250035817648</v>
      </c>
      <c r="Q109" s="115">
        <f t="shared" ca="1" si="57"/>
        <v>2767.961265728889</v>
      </c>
      <c r="R109" s="115">
        <f t="shared" ca="1" si="57"/>
        <v>-2817.5891187821326</v>
      </c>
      <c r="S109" s="115">
        <f t="shared" ca="1" si="57"/>
        <v>12554.451734228533</v>
      </c>
    </row>
    <row r="110" spans="1:19">
      <c r="A110" s="5" t="s">
        <v>1440</v>
      </c>
      <c r="B110" s="3"/>
      <c r="C110" s="3"/>
      <c r="D110" s="141">
        <f t="shared" ref="D110:S110" ca="1" si="58">IFERROR(D93/D89,0)-IFERROR(D100/D89,0)-IFERROR(D105/D89,0)</f>
        <v>0</v>
      </c>
      <c r="E110" s="141">
        <f t="shared" ca="1" si="58"/>
        <v>4.6323609472336837</v>
      </c>
      <c r="F110" s="141">
        <f t="shared" ca="1" si="58"/>
        <v>5.7497642180295241</v>
      </c>
      <c r="G110" s="141">
        <f t="shared" ca="1" si="58"/>
        <v>6.0624414974602221</v>
      </c>
      <c r="H110" s="141">
        <f t="shared" ca="1" si="58"/>
        <v>6.4960894236533182</v>
      </c>
      <c r="I110" s="141">
        <f t="shared" ca="1" si="58"/>
        <v>7.716682315698705</v>
      </c>
      <c r="J110" s="141">
        <f t="shared" ca="1" si="58"/>
        <v>6.7724600463590177</v>
      </c>
      <c r="K110" s="141">
        <f t="shared" ca="1" si="58"/>
        <v>8.3336884752633615</v>
      </c>
      <c r="L110" s="141">
        <f t="shared" ca="1" si="58"/>
        <v>7.4623663295664384</v>
      </c>
      <c r="M110" s="141">
        <f t="shared" ca="1" si="58"/>
        <v>7.0217694916352311</v>
      </c>
      <c r="N110" s="141">
        <f t="shared" ca="1" si="58"/>
        <v>6.947045581223227</v>
      </c>
      <c r="O110" s="141">
        <f t="shared" ca="1" si="58"/>
        <v>8.2742799689457165</v>
      </c>
      <c r="P110" s="141">
        <f t="shared" ca="1" si="58"/>
        <v>10.072114573304741</v>
      </c>
      <c r="Q110" s="141">
        <f t="shared" ca="1" si="58"/>
        <v>10.739961516784753</v>
      </c>
      <c r="R110" s="141">
        <f t="shared" ca="1" si="58"/>
        <v>11.759134103401987</v>
      </c>
      <c r="S110" s="141">
        <f t="shared" ca="1" si="58"/>
        <v>12.347183798596534</v>
      </c>
    </row>
    <row r="111" spans="1:19">
      <c r="A111" s="5" t="s">
        <v>1441</v>
      </c>
      <c r="B111" s="3"/>
      <c r="C111" s="3"/>
      <c r="D111" s="73">
        <f ca="1">Assumptions!$B$293*(1+Assumptions!$B$342)^D$5/1000000+IFERROR(D95/D85,0)</f>
        <v>20</v>
      </c>
      <c r="E111" s="73">
        <f ca="1">Assumptions!$B$293*(1+Assumptions!$B$342)^E$5/1000000+IFERROR(D95/D85,0)</f>
        <v>20.94</v>
      </c>
      <c r="F111" s="73">
        <f ca="1">Assumptions!$B$293*(1+Assumptions!$B$342)^F$5/1000000+IFERROR(E95/E85,0)</f>
        <v>35.3543867064</v>
      </c>
      <c r="G111" s="73">
        <f ca="1">Assumptions!$B$293*(1+Assumptions!$B$342)^G$5/1000000+IFERROR(F95/F85,0)</f>
        <v>35.694510541691038</v>
      </c>
      <c r="H111" s="73">
        <f ca="1">Assumptions!$B$293*(1+Assumptions!$B$342)^H$5/1000000+IFERROR(G95/G85,0)</f>
        <v>24.033483433619992</v>
      </c>
      <c r="I111" s="73">
        <f ca="1">Assumptions!$B$293*(1+Assumptions!$B$342)^I$5/1000000+IFERROR(H95/H85,0)</f>
        <v>36.626948415661403</v>
      </c>
      <c r="J111" s="73">
        <f ca="1">Assumptions!$B$293*(1+Assumptions!$B$342)^J$5/1000000+IFERROR(I95/I85,0)</f>
        <v>37.220368091148408</v>
      </c>
      <c r="K111" s="73">
        <f ca="1">Assumptions!$B$293*(1+Assumptions!$B$342)^K$5/1000000+IFERROR(J95/J85,0)</f>
        <v>27.583969720825532</v>
      </c>
      <c r="L111" s="73">
        <f ca="1">Assumptions!$B$293*(1+Assumptions!$B$342)^L$5/1000000+IFERROR(K95/K85,0)</f>
        <v>38.665880193329912</v>
      </c>
      <c r="M111" s="73">
        <f ca="1">Assumptions!$B$293*(1+Assumptions!$B$342)^M$5/1000000+IFERROR(L95/L85,0)</f>
        <v>30.23779586369643</v>
      </c>
      <c r="N111" s="73">
        <f ca="1">Assumptions!$B$293*(1+Assumptions!$B$342)^N$5/1000000+IFERROR(M95/M85,0)</f>
        <v>40.46434328063912</v>
      </c>
      <c r="O111" s="73">
        <f ca="1">Assumptions!$B$293*(1+Assumptions!$B$342)^O$5/1000000+IFERROR(N95/N85,0)</f>
        <v>41.49971890731242</v>
      </c>
      <c r="P111" s="73">
        <f ca="1">Assumptions!$B$293*(1+Assumptions!$B$342)^P$5/1000000+IFERROR(O95/O85,0)</f>
        <v>42.628292641725722</v>
      </c>
      <c r="Q111" s="73">
        <f ca="1">Assumptions!$B$293*(1+Assumptions!$B$342)^Q$5/1000000+IFERROR(P95/P85,0)</f>
        <v>43.852155672643889</v>
      </c>
      <c r="R111" s="73">
        <f ca="1">Assumptions!$B$293*(1+Assumptions!$B$342)^R$5/1000000+IFERROR(Q95/Q85,0)</f>
        <v>45.173615135589898</v>
      </c>
      <c r="S111" s="73">
        <f ca="1">Assumptions!$B$293*(1+Assumptions!$B$342)^S$5/1000000+IFERROR(R95/R85,0)</f>
        <v>46.595198214572925</v>
      </c>
    </row>
    <row r="112" spans="1:19" ht="16.5" customHeight="1">
      <c r="A112" s="5" t="s">
        <v>1442</v>
      </c>
      <c r="B112" s="3"/>
      <c r="C112" s="3"/>
      <c r="D112" s="108">
        <f>Assumptions!$B$21</f>
        <v>15</v>
      </c>
      <c r="E112" s="108">
        <f>Assumptions!$B$21</f>
        <v>15</v>
      </c>
      <c r="F112" s="108">
        <f>Assumptions!$B$21</f>
        <v>15</v>
      </c>
      <c r="G112" s="108">
        <f>Assumptions!$B$21</f>
        <v>15</v>
      </c>
      <c r="H112" s="108">
        <f>Assumptions!$B$21</f>
        <v>15</v>
      </c>
      <c r="I112" s="108">
        <f>Assumptions!$B$21</f>
        <v>15</v>
      </c>
      <c r="J112" s="108">
        <f>Assumptions!$B$21</f>
        <v>15</v>
      </c>
      <c r="K112" s="108">
        <f>Assumptions!$B$21</f>
        <v>15</v>
      </c>
      <c r="L112" s="108">
        <f>Assumptions!$B$21</f>
        <v>15</v>
      </c>
      <c r="M112" s="108">
        <f>Assumptions!$B$21</f>
        <v>15</v>
      </c>
      <c r="N112" s="108">
        <f>Assumptions!$B$21</f>
        <v>15</v>
      </c>
      <c r="O112" s="108">
        <f>Assumptions!$B$21</f>
        <v>15</v>
      </c>
      <c r="P112" s="108">
        <f>Assumptions!$B$21</f>
        <v>15</v>
      </c>
      <c r="Q112" s="108">
        <f>Assumptions!$B$21</f>
        <v>15</v>
      </c>
      <c r="R112" s="108">
        <f>Assumptions!$B$21</f>
        <v>15</v>
      </c>
      <c r="S112" s="108">
        <f>Assumptions!$B$21</f>
        <v>15</v>
      </c>
    </row>
    <row r="113" spans="1:19" s="146" customFormat="1">
      <c r="A113" s="82" t="s">
        <v>1428</v>
      </c>
      <c r="B113" s="94"/>
      <c r="C113" s="94"/>
      <c r="D113" s="114">
        <f t="shared" ref="D113:S113" ca="1" si="59">IF(D110&lt;=0,0,IFERROR(MIN(3,IFERROR(RATE(D112,D110,-D111,0,0,0.1),IFERROR(RATE(D112,D110,-D111,0,0,0.5),RATE(D112,D110,-D111,0,0,1.5)))),IF(D110*D112&gt;D111,3,0)))</f>
        <v>0</v>
      </c>
      <c r="E113" s="114">
        <f t="shared" ca="1" si="59"/>
        <v>0.208267391567899</v>
      </c>
      <c r="F113" s="114">
        <f t="shared" ca="1" si="59"/>
        <v>0.13978286889289884</v>
      </c>
      <c r="G113" s="114">
        <f t="shared" ca="1" si="59"/>
        <v>0.14857898273794687</v>
      </c>
      <c r="H113" s="114">
        <f t="shared" ca="1" si="59"/>
        <v>0.26205870605337461</v>
      </c>
      <c r="I113" s="114">
        <f t="shared" ca="1" si="59"/>
        <v>0.19637358422912385</v>
      </c>
      <c r="J113" s="114">
        <f t="shared" ca="1" si="59"/>
        <v>0.16308472601205323</v>
      </c>
      <c r="K113" s="114">
        <f t="shared" ca="1" si="59"/>
        <v>0.2959343440230558</v>
      </c>
      <c r="L113" s="114">
        <f t="shared" ca="1" si="59"/>
        <v>0.1760454884983528</v>
      </c>
      <c r="M113" s="114">
        <f t="shared" ca="1" si="59"/>
        <v>0.22053256789733613</v>
      </c>
      <c r="N113" s="114">
        <f t="shared" ca="1" si="59"/>
        <v>0.15080435872291567</v>
      </c>
      <c r="O113" s="114">
        <f t="shared" ca="1" si="59"/>
        <v>0.18344185196218649</v>
      </c>
      <c r="P113" s="114">
        <f t="shared" ca="1" si="59"/>
        <v>0.22502523938101185</v>
      </c>
      <c r="Q113" s="114">
        <f t="shared" ca="1" si="59"/>
        <v>0.2345254676395</v>
      </c>
      <c r="R113" s="114">
        <f t="shared" ca="1" si="59"/>
        <v>0.25129175471290294</v>
      </c>
      <c r="S113" s="114">
        <f t="shared" ca="1" si="59"/>
        <v>0.25634695534989616</v>
      </c>
    </row>
    <row r="114" spans="1:1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13" t="s">
        <v>1443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>
      <c r="A116" s="5" t="s">
        <v>1444</v>
      </c>
      <c r="B116" s="3"/>
      <c r="C116" s="3"/>
      <c r="D116" s="73">
        <f t="shared" ref="D116:S116" si="60">D253</f>
        <v>1.085</v>
      </c>
      <c r="E116" s="73">
        <f t="shared" si="60"/>
        <v>1.6049399999999998</v>
      </c>
      <c r="F116" s="73">
        <f t="shared" si="60"/>
        <v>2.3759804299999998</v>
      </c>
      <c r="G116" s="73">
        <f t="shared" si="60"/>
        <v>3.5206584177299991</v>
      </c>
      <c r="H116" s="73">
        <f t="shared" si="60"/>
        <v>5.2221437339748498</v>
      </c>
      <c r="I116" s="73">
        <f t="shared" si="60"/>
        <v>7.7547891517511447</v>
      </c>
      <c r="J116" s="73">
        <f t="shared" si="60"/>
        <v>11.530433779515802</v>
      </c>
      <c r="K116" s="73">
        <f t="shared" si="60"/>
        <v>17.168816601895131</v>
      </c>
      <c r="L116" s="73">
        <f t="shared" si="60"/>
        <v>25.605041917533921</v>
      </c>
      <c r="M116" s="73">
        <f t="shared" si="60"/>
        <v>38.25423299911089</v>
      </c>
      <c r="N116" s="73">
        <f t="shared" si="60"/>
        <v>57.264860142432752</v>
      </c>
      <c r="O116" s="73">
        <f t="shared" si="60"/>
        <v>85.91022935150923</v>
      </c>
      <c r="P116" s="73">
        <f t="shared" si="60"/>
        <v>129.19631817258929</v>
      </c>
      <c r="Q116" s="73">
        <f t="shared" si="60"/>
        <v>194.81015244817041</v>
      </c>
      <c r="R116" s="73">
        <f t="shared" si="60"/>
        <v>294.60706185233033</v>
      </c>
      <c r="S116" s="73">
        <f t="shared" si="60"/>
        <v>446.95526694588699</v>
      </c>
    </row>
    <row r="117" spans="1:19">
      <c r="A117" s="16" t="s">
        <v>1445</v>
      </c>
      <c r="B117" s="3"/>
      <c r="C117" s="3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</row>
    <row r="118" spans="1:19">
      <c r="A118" s="16" t="s">
        <v>1446</v>
      </c>
      <c r="B118" s="3"/>
      <c r="C118" s="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</row>
    <row r="119" spans="1:19">
      <c r="A119" s="5" t="s">
        <v>1447</v>
      </c>
      <c r="B119" s="3"/>
      <c r="C119" s="3"/>
      <c r="D119" s="29">
        <f t="shared" ref="D119:S119" si="61">D254</f>
        <v>483.065</v>
      </c>
      <c r="E119" s="29">
        <f t="shared" si="61"/>
        <v>724.62809221999998</v>
      </c>
      <c r="F119" s="29">
        <f t="shared" si="61"/>
        <v>1089.7173544822087</v>
      </c>
      <c r="G119" s="29">
        <f t="shared" si="61"/>
        <v>1643.3443176218582</v>
      </c>
      <c r="H119" s="29">
        <f t="shared" si="61"/>
        <v>2485.9660497527584</v>
      </c>
      <c r="I119" s="29">
        <f t="shared" si="61"/>
        <v>3773.6146812320112</v>
      </c>
      <c r="J119" s="29">
        <f t="shared" si="61"/>
        <v>5749.9705587368935</v>
      </c>
      <c r="K119" s="29">
        <f t="shared" si="61"/>
        <v>8797.782406614966</v>
      </c>
      <c r="L119" s="29">
        <f t="shared" si="61"/>
        <v>13521.817340419753</v>
      </c>
      <c r="M119" s="29">
        <f t="shared" si="61"/>
        <v>20883.500557444684</v>
      </c>
      <c r="N119" s="29">
        <f t="shared" si="61"/>
        <v>32420.783611139574</v>
      </c>
      <c r="O119" s="29">
        <f t="shared" si="61"/>
        <v>50609.324848202654</v>
      </c>
      <c r="P119" s="29">
        <f t="shared" si="61"/>
        <v>79459.224904290459</v>
      </c>
      <c r="Q119" s="29">
        <f t="shared" si="61"/>
        <v>125506.42630330606</v>
      </c>
      <c r="R119" s="29">
        <f t="shared" si="61"/>
        <v>199468.60834757259</v>
      </c>
      <c r="S119" s="29">
        <f t="shared" si="61"/>
        <v>319025.16958873224</v>
      </c>
    </row>
    <row r="120" spans="1:1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5" t="s">
        <v>1448</v>
      </c>
      <c r="B122" s="3"/>
      <c r="C122" s="3"/>
      <c r="D122" s="141">
        <f t="shared" ref="D122:S122" si="62">D116</f>
        <v>1.085</v>
      </c>
      <c r="E122" s="141">
        <f t="shared" si="62"/>
        <v>1.6049399999999998</v>
      </c>
      <c r="F122" s="141">
        <f t="shared" si="62"/>
        <v>2.3759804299999998</v>
      </c>
      <c r="G122" s="141">
        <f t="shared" si="62"/>
        <v>3.5206584177299991</v>
      </c>
      <c r="H122" s="141">
        <f t="shared" si="62"/>
        <v>5.2221437339748498</v>
      </c>
      <c r="I122" s="141">
        <f t="shared" si="62"/>
        <v>7.7547891517511447</v>
      </c>
      <c r="J122" s="141">
        <f t="shared" si="62"/>
        <v>11.530433779515802</v>
      </c>
      <c r="K122" s="141">
        <f t="shared" si="62"/>
        <v>17.168816601895131</v>
      </c>
      <c r="L122" s="141">
        <f t="shared" si="62"/>
        <v>25.605041917533921</v>
      </c>
      <c r="M122" s="141">
        <f t="shared" si="62"/>
        <v>38.25423299911089</v>
      </c>
      <c r="N122" s="141">
        <f t="shared" si="62"/>
        <v>57.264860142432752</v>
      </c>
      <c r="O122" s="141">
        <f t="shared" si="62"/>
        <v>85.91022935150923</v>
      </c>
      <c r="P122" s="141">
        <f t="shared" si="62"/>
        <v>129.19631817258929</v>
      </c>
      <c r="Q122" s="141">
        <f t="shared" si="62"/>
        <v>194.81015244817041</v>
      </c>
      <c r="R122" s="141">
        <f t="shared" si="62"/>
        <v>294.60706185233033</v>
      </c>
      <c r="S122" s="141">
        <f t="shared" si="62"/>
        <v>446.95526694588699</v>
      </c>
    </row>
    <row r="123" spans="1:19">
      <c r="A123" s="5" t="s">
        <v>1449</v>
      </c>
      <c r="B123" s="3"/>
      <c r="C123" s="3"/>
      <c r="D123" s="141">
        <f t="shared" ref="D123:S123" si="63">MAX(0,D122-C122)</f>
        <v>1.085</v>
      </c>
      <c r="E123" s="141">
        <f t="shared" si="63"/>
        <v>0.51993999999999985</v>
      </c>
      <c r="F123" s="141">
        <f t="shared" si="63"/>
        <v>0.77104043</v>
      </c>
      <c r="G123" s="141">
        <f t="shared" si="63"/>
        <v>1.1446779877299993</v>
      </c>
      <c r="H123" s="141">
        <f t="shared" si="63"/>
        <v>1.7014853162448507</v>
      </c>
      <c r="I123" s="141">
        <f t="shared" si="63"/>
        <v>2.5326454177762949</v>
      </c>
      <c r="J123" s="141">
        <f t="shared" si="63"/>
        <v>3.7756446277646569</v>
      </c>
      <c r="K123" s="141">
        <f t="shared" si="63"/>
        <v>5.6383828223793291</v>
      </c>
      <c r="L123" s="141">
        <f t="shared" si="63"/>
        <v>8.4362253156387901</v>
      </c>
      <c r="M123" s="141">
        <f t="shared" si="63"/>
        <v>12.649191081576969</v>
      </c>
      <c r="N123" s="141">
        <f t="shared" si="63"/>
        <v>19.010627143321862</v>
      </c>
      <c r="O123" s="141">
        <f t="shared" si="63"/>
        <v>28.645369209076478</v>
      </c>
      <c r="P123" s="141">
        <f t="shared" si="63"/>
        <v>43.286088821080057</v>
      </c>
      <c r="Q123" s="141">
        <f t="shared" si="63"/>
        <v>65.613834275581127</v>
      </c>
      <c r="R123" s="141">
        <f t="shared" si="63"/>
        <v>99.796909404159919</v>
      </c>
      <c r="S123" s="141">
        <f t="shared" si="63"/>
        <v>152.34820509355666</v>
      </c>
    </row>
    <row r="124" spans="1:19">
      <c r="A124" s="5" t="s">
        <v>1406</v>
      </c>
      <c r="B124" s="3"/>
      <c r="C124" s="3"/>
      <c r="D124" s="110">
        <f>MAX(Assumptions!$B$306,Assumptions!$B$305*(1+Assumptions!$B$307)^D$5)</f>
        <v>0.15</v>
      </c>
      <c r="E124" s="110">
        <f>MAX(Assumptions!$B$306,Assumptions!$B$305*(1+Assumptions!$B$307)^E$5)</f>
        <v>0.13500000000000001</v>
      </c>
      <c r="F124" s="110">
        <f>MAX(Assumptions!$B$306,Assumptions!$B$305*(1+Assumptions!$B$307)^F$5)</f>
        <v>0.1215</v>
      </c>
      <c r="G124" s="110">
        <f>MAX(Assumptions!$B$306,Assumptions!$B$305*(1+Assumptions!$B$307)^G$5)</f>
        <v>0.10935000000000002</v>
      </c>
      <c r="H124" s="110">
        <f>MAX(Assumptions!$B$306,Assumptions!$B$305*(1+Assumptions!$B$307)^H$5)</f>
        <v>9.8415000000000016E-2</v>
      </c>
      <c r="I124" s="110">
        <f>MAX(Assumptions!$B$306,Assumptions!$B$305*(1+Assumptions!$B$307)^I$5)</f>
        <v>8.8573500000000027E-2</v>
      </c>
      <c r="J124" s="110">
        <f>MAX(Assumptions!$B$306,Assumptions!$B$305*(1+Assumptions!$B$307)^J$5)</f>
        <v>7.9716150000000027E-2</v>
      </c>
      <c r="K124" s="110">
        <f>MAX(Assumptions!$B$306,Assumptions!$B$305*(1+Assumptions!$B$307)^K$5)</f>
        <v>7.1744535000000012E-2</v>
      </c>
      <c r="L124" s="110">
        <f>MAX(Assumptions!$B$306,Assumptions!$B$305*(1+Assumptions!$B$307)^L$5)</f>
        <v>6.4570081500000015E-2</v>
      </c>
      <c r="M124" s="110">
        <f>MAX(Assumptions!$B$306,Assumptions!$B$305*(1+Assumptions!$B$307)^M$5)</f>
        <v>5.8113073350000016E-2</v>
      </c>
      <c r="N124" s="110">
        <f>MAX(Assumptions!$B$306,Assumptions!$B$305*(1+Assumptions!$B$307)^N$5)</f>
        <v>5.2301766015000022E-2</v>
      </c>
      <c r="O124" s="110">
        <f>MAX(Assumptions!$B$306,Assumptions!$B$305*(1+Assumptions!$B$307)^O$5)</f>
        <v>0.05</v>
      </c>
      <c r="P124" s="110">
        <f>MAX(Assumptions!$B$306,Assumptions!$B$305*(1+Assumptions!$B$307)^P$5)</f>
        <v>0.05</v>
      </c>
      <c r="Q124" s="110">
        <f>MAX(Assumptions!$B$306,Assumptions!$B$305*(1+Assumptions!$B$307)^Q$5)</f>
        <v>0.05</v>
      </c>
      <c r="R124" s="110">
        <f>MAX(Assumptions!$B$306,Assumptions!$B$305*(1+Assumptions!$B$307)^R$5)</f>
        <v>0.05</v>
      </c>
      <c r="S124" s="110">
        <f>MAX(Assumptions!$B$306,Assumptions!$B$305*(1+Assumptions!$B$307)^S$5)</f>
        <v>0.05</v>
      </c>
    </row>
    <row r="125" spans="1:19">
      <c r="A125" s="5" t="s">
        <v>1450</v>
      </c>
      <c r="B125" s="3"/>
      <c r="C125" s="3"/>
      <c r="D125" s="70">
        <f>D123*Assumptions!$B$295</f>
        <v>32.549999999999997</v>
      </c>
      <c r="E125" s="70">
        <f>E123*Assumptions!$B$295</f>
        <v>15.598199999999995</v>
      </c>
      <c r="F125" s="70">
        <f>F123*Assumptions!$B$295</f>
        <v>23.131212900000001</v>
      </c>
      <c r="G125" s="70">
        <f>G123*Assumptions!$B$295</f>
        <v>34.34033963189998</v>
      </c>
      <c r="H125" s="70">
        <f>H123*Assumptions!$B$295</f>
        <v>51.044559487345524</v>
      </c>
      <c r="I125" s="70">
        <f>I123*Assumptions!$B$295</f>
        <v>75.97936253328885</v>
      </c>
      <c r="J125" s="70">
        <f>J123*Assumptions!$B$295</f>
        <v>113.26933883293971</v>
      </c>
      <c r="K125" s="70">
        <f>K123*Assumptions!$B$295</f>
        <v>169.15148467137988</v>
      </c>
      <c r="L125" s="70">
        <f>L123*Assumptions!$B$295</f>
        <v>253.0867594691637</v>
      </c>
      <c r="M125" s="70">
        <f>M123*Assumptions!$B$295</f>
        <v>379.4757324473091</v>
      </c>
      <c r="N125" s="70">
        <f>N123*Assumptions!$B$295</f>
        <v>570.31881429965586</v>
      </c>
      <c r="O125" s="70">
        <f>O123*Assumptions!$B$295</f>
        <v>859.36107627229433</v>
      </c>
      <c r="P125" s="70">
        <f>P123*Assumptions!$B$295</f>
        <v>1298.5826646324017</v>
      </c>
      <c r="Q125" s="70">
        <f>Q123*Assumptions!$B$295</f>
        <v>1968.4150282674339</v>
      </c>
      <c r="R125" s="70">
        <f>R123*Assumptions!$B$295</f>
        <v>2993.9072821247973</v>
      </c>
      <c r="S125" s="70">
        <f>S123*Assumptions!$B$295</f>
        <v>4570.4461528066995</v>
      </c>
    </row>
    <row r="126" spans="1:19">
      <c r="A126" s="5" t="s">
        <v>1409</v>
      </c>
      <c r="B126" s="3"/>
      <c r="C126" s="3"/>
      <c r="D126" s="29">
        <f t="shared" ref="D126:S126" si="64">D119</f>
        <v>483.065</v>
      </c>
      <c r="E126" s="29">
        <f t="shared" si="64"/>
        <v>724.62809221999998</v>
      </c>
      <c r="F126" s="29">
        <f t="shared" si="64"/>
        <v>1089.7173544822087</v>
      </c>
      <c r="G126" s="29">
        <f t="shared" si="64"/>
        <v>1643.3443176218582</v>
      </c>
      <c r="H126" s="29">
        <f t="shared" si="64"/>
        <v>2485.9660497527584</v>
      </c>
      <c r="I126" s="29">
        <f t="shared" si="64"/>
        <v>3773.6146812320112</v>
      </c>
      <c r="J126" s="29">
        <f t="shared" si="64"/>
        <v>5749.9705587368935</v>
      </c>
      <c r="K126" s="29">
        <f t="shared" si="64"/>
        <v>8797.782406614966</v>
      </c>
      <c r="L126" s="29">
        <f t="shared" si="64"/>
        <v>13521.817340419753</v>
      </c>
      <c r="M126" s="29">
        <f t="shared" si="64"/>
        <v>20883.500557444684</v>
      </c>
      <c r="N126" s="29">
        <f t="shared" si="64"/>
        <v>32420.783611139574</v>
      </c>
      <c r="O126" s="29">
        <f t="shared" si="64"/>
        <v>50609.324848202654</v>
      </c>
      <c r="P126" s="29">
        <f t="shared" si="64"/>
        <v>79459.224904290459</v>
      </c>
      <c r="Q126" s="29">
        <f t="shared" si="64"/>
        <v>125506.42630330606</v>
      </c>
      <c r="R126" s="29">
        <f t="shared" si="64"/>
        <v>199468.60834757259</v>
      </c>
      <c r="S126" s="29">
        <f t="shared" si="64"/>
        <v>319025.16958873224</v>
      </c>
    </row>
    <row r="127" spans="1:19">
      <c r="A127" s="5" t="s">
        <v>1418</v>
      </c>
      <c r="B127" s="3"/>
      <c r="C127" s="3"/>
      <c r="D127" s="29">
        <f>0</f>
        <v>0</v>
      </c>
      <c r="E127" s="29">
        <f>0</f>
        <v>0</v>
      </c>
      <c r="F127" s="29">
        <f>0</f>
        <v>0</v>
      </c>
      <c r="G127" s="29">
        <f>0</f>
        <v>0</v>
      </c>
      <c r="H127" s="29">
        <f>0</f>
        <v>0</v>
      </c>
      <c r="I127" s="29">
        <f>0</f>
        <v>0</v>
      </c>
      <c r="J127" s="29">
        <f>0</f>
        <v>0</v>
      </c>
      <c r="K127" s="29">
        <f>0</f>
        <v>0</v>
      </c>
      <c r="L127" s="29">
        <f>0</f>
        <v>0</v>
      </c>
      <c r="M127" s="29">
        <f>0</f>
        <v>0</v>
      </c>
      <c r="N127" s="29">
        <f>0</f>
        <v>0</v>
      </c>
      <c r="O127" s="29">
        <f>0</f>
        <v>0</v>
      </c>
      <c r="P127" s="29">
        <f>0</f>
        <v>0</v>
      </c>
      <c r="Q127" s="29">
        <f>0</f>
        <v>0</v>
      </c>
      <c r="R127" s="29">
        <f>0</f>
        <v>0</v>
      </c>
      <c r="S127" s="29">
        <f>0</f>
        <v>0</v>
      </c>
    </row>
    <row r="128" spans="1:19">
      <c r="A128" s="78" t="s">
        <v>1419</v>
      </c>
      <c r="B128" s="78"/>
      <c r="C128" s="78"/>
      <c r="D128" s="81">
        <f t="shared" ref="D128:S128" si="65">D126</f>
        <v>483.065</v>
      </c>
      <c r="E128" s="81">
        <f t="shared" si="65"/>
        <v>724.62809221999998</v>
      </c>
      <c r="F128" s="81">
        <f t="shared" si="65"/>
        <v>1089.7173544822087</v>
      </c>
      <c r="G128" s="81">
        <f t="shared" si="65"/>
        <v>1643.3443176218582</v>
      </c>
      <c r="H128" s="81">
        <f t="shared" si="65"/>
        <v>2485.9660497527584</v>
      </c>
      <c r="I128" s="81">
        <f t="shared" si="65"/>
        <v>3773.6146812320112</v>
      </c>
      <c r="J128" s="81">
        <f t="shared" si="65"/>
        <v>5749.9705587368935</v>
      </c>
      <c r="K128" s="81">
        <f t="shared" si="65"/>
        <v>8797.782406614966</v>
      </c>
      <c r="L128" s="81">
        <f t="shared" si="65"/>
        <v>13521.817340419753</v>
      </c>
      <c r="M128" s="81">
        <f t="shared" si="65"/>
        <v>20883.500557444684</v>
      </c>
      <c r="N128" s="81">
        <f t="shared" si="65"/>
        <v>32420.783611139574</v>
      </c>
      <c r="O128" s="81">
        <f t="shared" si="65"/>
        <v>50609.324848202654</v>
      </c>
      <c r="P128" s="81">
        <f t="shared" si="65"/>
        <v>79459.224904290459</v>
      </c>
      <c r="Q128" s="81">
        <f t="shared" si="65"/>
        <v>125506.42630330606</v>
      </c>
      <c r="R128" s="81">
        <f t="shared" si="65"/>
        <v>199468.60834757259</v>
      </c>
      <c r="S128" s="81">
        <f t="shared" si="65"/>
        <v>319025.16958873224</v>
      </c>
    </row>
    <row r="129" spans="1:19">
      <c r="A129" s="5" t="s">
        <v>1410</v>
      </c>
      <c r="B129" s="3"/>
      <c r="C129" s="3"/>
      <c r="D129" s="29">
        <f t="shared" ref="D129:S129" ca="1" si="66">D69+D102</f>
        <v>0</v>
      </c>
      <c r="E129" s="29">
        <f t="shared" ca="1" si="66"/>
        <v>88.27914304859037</v>
      </c>
      <c r="F129" s="29">
        <f t="shared" ca="1" si="66"/>
        <v>114.39524734355545</v>
      </c>
      <c r="G129" s="29">
        <f t="shared" ca="1" si="66"/>
        <v>207.56020464412677</v>
      </c>
      <c r="H129" s="29">
        <f t="shared" ca="1" si="66"/>
        <v>328.43797904293882</v>
      </c>
      <c r="I129" s="29">
        <f t="shared" ca="1" si="66"/>
        <v>444.88455286015738</v>
      </c>
      <c r="J129" s="29">
        <f t="shared" ca="1" si="66"/>
        <v>659.33231285545116</v>
      </c>
      <c r="K129" s="29">
        <f t="shared" ca="1" si="66"/>
        <v>906.44794475754611</v>
      </c>
      <c r="L129" s="29">
        <f t="shared" ca="1" si="66"/>
        <v>1351.0557354462314</v>
      </c>
      <c r="M129" s="29">
        <f t="shared" ca="1" si="66"/>
        <v>2079.4520748116329</v>
      </c>
      <c r="N129" s="29">
        <f t="shared" ca="1" si="66"/>
        <v>3278.1390642612405</v>
      </c>
      <c r="O129" s="29">
        <f t="shared" ca="1" si="66"/>
        <v>5308.5768037754488</v>
      </c>
      <c r="P129" s="29">
        <f t="shared" ca="1" si="66"/>
        <v>8540.7490644880127</v>
      </c>
      <c r="Q129" s="29">
        <f t="shared" ca="1" si="66"/>
        <v>13708.337208224815</v>
      </c>
      <c r="R129" s="29">
        <f t="shared" ca="1" si="66"/>
        <v>22541.842591940826</v>
      </c>
      <c r="S129" s="29">
        <f t="shared" ca="1" si="66"/>
        <v>37909.931712624617</v>
      </c>
    </row>
    <row r="130" spans="1:19">
      <c r="A130" s="78" t="s">
        <v>1012</v>
      </c>
      <c r="B130" s="78"/>
      <c r="C130" s="78"/>
      <c r="D130" s="81">
        <f t="shared" ref="D130:S130" ca="1" si="67">D128-D129</f>
        <v>483.065</v>
      </c>
      <c r="E130" s="81">
        <f t="shared" ca="1" si="67"/>
        <v>636.34894917140957</v>
      </c>
      <c r="F130" s="81">
        <f t="shared" ca="1" si="67"/>
        <v>975.32210713865334</v>
      </c>
      <c r="G130" s="81">
        <f t="shared" ca="1" si="67"/>
        <v>1435.7841129777314</v>
      </c>
      <c r="H130" s="81">
        <f t="shared" ca="1" si="67"/>
        <v>2157.5280707098195</v>
      </c>
      <c r="I130" s="81">
        <f t="shared" ca="1" si="67"/>
        <v>3328.7301283718539</v>
      </c>
      <c r="J130" s="81">
        <f t="shared" ca="1" si="67"/>
        <v>5090.6382458814423</v>
      </c>
      <c r="K130" s="81">
        <f t="shared" ca="1" si="67"/>
        <v>7891.3344618574201</v>
      </c>
      <c r="L130" s="81">
        <f t="shared" ca="1" si="67"/>
        <v>12170.761604973522</v>
      </c>
      <c r="M130" s="81">
        <f t="shared" ca="1" si="67"/>
        <v>18804.04848263305</v>
      </c>
      <c r="N130" s="81">
        <f t="shared" ca="1" si="67"/>
        <v>29142.644546878335</v>
      </c>
      <c r="O130" s="81">
        <f t="shared" ca="1" si="67"/>
        <v>45300.748044427208</v>
      </c>
      <c r="P130" s="81">
        <f t="shared" ca="1" si="67"/>
        <v>70918.475839802442</v>
      </c>
      <c r="Q130" s="81">
        <f t="shared" ca="1" si="67"/>
        <v>111798.08909508125</v>
      </c>
      <c r="R130" s="81">
        <f t="shared" ca="1" si="67"/>
        <v>176926.76575563176</v>
      </c>
      <c r="S130" s="81">
        <f t="shared" ca="1" si="67"/>
        <v>281115.23787610763</v>
      </c>
    </row>
    <row r="131" spans="1:19">
      <c r="A131" s="5" t="s">
        <v>1414</v>
      </c>
      <c r="B131" s="3"/>
      <c r="C131" s="3"/>
      <c r="D131" s="70">
        <f>D126*(Assumptions!$B$296+Assumptions!$B$297)+D125</f>
        <v>51.872599999999998</v>
      </c>
      <c r="E131" s="70">
        <f>E126*(Assumptions!$B$296+Assumptions!$B$297)+E125</f>
        <v>44.583323688799993</v>
      </c>
      <c r="F131" s="70">
        <f>F126*(Assumptions!$B$296+Assumptions!$B$297)+F125</f>
        <v>66.719907079288362</v>
      </c>
      <c r="G131" s="70">
        <f>G126*(Assumptions!$B$296+Assumptions!$B$297)+G125</f>
        <v>100.07411233677431</v>
      </c>
      <c r="H131" s="70">
        <f>H126*(Assumptions!$B$296+Assumptions!$B$297)+H125</f>
        <v>150.48320147745585</v>
      </c>
      <c r="I131" s="70">
        <f>I126*(Assumptions!$B$296+Assumptions!$B$297)+I125</f>
        <v>226.92394978256931</v>
      </c>
      <c r="J131" s="70">
        <f>J126*(Assumptions!$B$296+Assumptions!$B$297)+J125</f>
        <v>343.26816118241544</v>
      </c>
      <c r="K131" s="70">
        <f>K126*(Assumptions!$B$296+Assumptions!$B$297)+K125</f>
        <v>521.06278093597848</v>
      </c>
      <c r="L131" s="70">
        <f>L126*(Assumptions!$B$296+Assumptions!$B$297)+L125</f>
        <v>793.95945308595378</v>
      </c>
      <c r="M131" s="70">
        <f>M126*(Assumptions!$B$296+Assumptions!$B$297)+M125</f>
        <v>1214.8157547450965</v>
      </c>
      <c r="N131" s="70">
        <f>N126*(Assumptions!$B$296+Assumptions!$B$297)+N125</f>
        <v>1867.150158745239</v>
      </c>
      <c r="O131" s="70">
        <f>O126*(Assumptions!$B$296+Assumptions!$B$297)+O125</f>
        <v>2883.7340702004003</v>
      </c>
      <c r="P131" s="70">
        <f>P126*(Assumptions!$B$296+Assumptions!$B$297)+P125</f>
        <v>4476.9516608040203</v>
      </c>
      <c r="Q131" s="70">
        <f>Q126*(Assumptions!$B$296+Assumptions!$B$297)+Q125</f>
        <v>6988.6720803996759</v>
      </c>
      <c r="R131" s="70">
        <f>R126*(Assumptions!$B$296+Assumptions!$B$297)+R125</f>
        <v>10972.651616027702</v>
      </c>
      <c r="S131" s="70">
        <f>S126*(Assumptions!$B$296+Assumptions!$B$297)+S125</f>
        <v>17331.452936355989</v>
      </c>
    </row>
    <row r="132" spans="1:19">
      <c r="A132" s="5" t="s">
        <v>1420</v>
      </c>
      <c r="B132" s="3"/>
      <c r="C132" s="3"/>
      <c r="D132" s="29">
        <f t="shared" ref="D132:S132" si="68">D126*D124</f>
        <v>72.45975</v>
      </c>
      <c r="E132" s="29">
        <f t="shared" si="68"/>
        <v>97.824792449699999</v>
      </c>
      <c r="F132" s="29">
        <f t="shared" si="68"/>
        <v>132.40065856958836</v>
      </c>
      <c r="G132" s="29">
        <f t="shared" si="68"/>
        <v>179.69970113195021</v>
      </c>
      <c r="H132" s="29">
        <f t="shared" si="68"/>
        <v>244.65634878641777</v>
      </c>
      <c r="I132" s="29">
        <f t="shared" si="68"/>
        <v>334.24225996810367</v>
      </c>
      <c r="J132" s="29">
        <f t="shared" si="68"/>
        <v>458.36551555585419</v>
      </c>
      <c r="K132" s="29">
        <f t="shared" si="68"/>
        <v>631.19280779377175</v>
      </c>
      <c r="L132" s="29">
        <f t="shared" si="68"/>
        <v>873.10484769901689</v>
      </c>
      <c r="M132" s="29">
        <f t="shared" si="68"/>
        <v>1213.604399699549</v>
      </c>
      <c r="N132" s="29">
        <f t="shared" si="68"/>
        <v>1695.6642384527695</v>
      </c>
      <c r="O132" s="29">
        <f t="shared" si="68"/>
        <v>2530.466242410133</v>
      </c>
      <c r="P132" s="29">
        <f t="shared" si="68"/>
        <v>3972.9612452145229</v>
      </c>
      <c r="Q132" s="29">
        <f t="shared" si="68"/>
        <v>6275.3213151653035</v>
      </c>
      <c r="R132" s="29">
        <f t="shared" si="68"/>
        <v>9973.4304173786295</v>
      </c>
      <c r="S132" s="29">
        <f t="shared" si="68"/>
        <v>15951.258479436612</v>
      </c>
    </row>
    <row r="133" spans="1:19">
      <c r="A133" s="5" t="s">
        <v>1415</v>
      </c>
      <c r="B133" s="3"/>
      <c r="C133" s="3"/>
      <c r="D133" s="29">
        <f>0</f>
        <v>0</v>
      </c>
      <c r="E133" s="29">
        <f>0</f>
        <v>0</v>
      </c>
      <c r="F133" s="29">
        <f>0</f>
        <v>0</v>
      </c>
      <c r="G133" s="29">
        <f>0</f>
        <v>0</v>
      </c>
      <c r="H133" s="29">
        <f>0</f>
        <v>0</v>
      </c>
      <c r="I133" s="29">
        <f>0</f>
        <v>0</v>
      </c>
      <c r="J133" s="29">
        <f>0</f>
        <v>0</v>
      </c>
      <c r="K133" s="29">
        <f>0</f>
        <v>0</v>
      </c>
      <c r="L133" s="29">
        <f>0</f>
        <v>0</v>
      </c>
      <c r="M133" s="29">
        <f>0</f>
        <v>0</v>
      </c>
      <c r="N133" s="29">
        <f>0</f>
        <v>0</v>
      </c>
      <c r="O133" s="29">
        <f>0</f>
        <v>0</v>
      </c>
      <c r="P133" s="29">
        <f>0</f>
        <v>0</v>
      </c>
      <c r="Q133" s="29">
        <f>0</f>
        <v>0</v>
      </c>
      <c r="R133" s="29">
        <f>0</f>
        <v>0</v>
      </c>
      <c r="S133" s="29">
        <f>0</f>
        <v>0</v>
      </c>
    </row>
    <row r="134" spans="1:19">
      <c r="A134" s="78" t="s">
        <v>1421</v>
      </c>
      <c r="B134" s="78"/>
      <c r="C134" s="78"/>
      <c r="D134" s="81">
        <f t="shared" ref="D134:S134" ca="1" si="69">D130-D131-D132-D133</f>
        <v>358.73265000000004</v>
      </c>
      <c r="E134" s="81">
        <f t="shared" ca="1" si="69"/>
        <v>493.94083303290961</v>
      </c>
      <c r="F134" s="81">
        <f t="shared" ca="1" si="69"/>
        <v>776.20154148977667</v>
      </c>
      <c r="G134" s="81">
        <f t="shared" ca="1" si="69"/>
        <v>1156.0102995090069</v>
      </c>
      <c r="H134" s="81">
        <f t="shared" ca="1" si="69"/>
        <v>1762.3885204459459</v>
      </c>
      <c r="I134" s="81">
        <f t="shared" ca="1" si="69"/>
        <v>2767.5639186211811</v>
      </c>
      <c r="J134" s="81">
        <f t="shared" ca="1" si="69"/>
        <v>4289.0045691431724</v>
      </c>
      <c r="K134" s="81">
        <f t="shared" ca="1" si="69"/>
        <v>6739.0788731276698</v>
      </c>
      <c r="L134" s="81">
        <f t="shared" ca="1" si="69"/>
        <v>10503.697304188552</v>
      </c>
      <c r="M134" s="81">
        <f t="shared" ca="1" si="69"/>
        <v>16375.628328188404</v>
      </c>
      <c r="N134" s="81">
        <f t="shared" ca="1" si="69"/>
        <v>25579.830149680325</v>
      </c>
      <c r="O134" s="81">
        <f t="shared" ca="1" si="69"/>
        <v>39886.547731816674</v>
      </c>
      <c r="P134" s="81">
        <f t="shared" ca="1" si="69"/>
        <v>62468.562933783905</v>
      </c>
      <c r="Q134" s="81">
        <f t="shared" ca="1" si="69"/>
        <v>98534.095699516271</v>
      </c>
      <c r="R134" s="81">
        <f t="shared" ca="1" si="69"/>
        <v>155980.68372222543</v>
      </c>
      <c r="S134" s="81">
        <f t="shared" ca="1" si="69"/>
        <v>247832.52646031498</v>
      </c>
    </row>
    <row r="135" spans="1:19">
      <c r="A135" s="5" t="s">
        <v>1451</v>
      </c>
      <c r="B135" s="3"/>
      <c r="C135" s="3"/>
      <c r="D135" s="29">
        <f>0</f>
        <v>0</v>
      </c>
      <c r="E135" s="29">
        <f>0</f>
        <v>0</v>
      </c>
      <c r="F135" s="29">
        <f>0</f>
        <v>0</v>
      </c>
      <c r="G135" s="29">
        <f>0</f>
        <v>0</v>
      </c>
      <c r="H135" s="29">
        <f>0</f>
        <v>0</v>
      </c>
      <c r="I135" s="29">
        <f>0</f>
        <v>0</v>
      </c>
      <c r="J135" s="29">
        <f>0</f>
        <v>0</v>
      </c>
      <c r="K135" s="29">
        <f>0</f>
        <v>0</v>
      </c>
      <c r="L135" s="29">
        <f>0</f>
        <v>0</v>
      </c>
      <c r="M135" s="29">
        <f>0</f>
        <v>0</v>
      </c>
      <c r="N135" s="29">
        <f>0</f>
        <v>0</v>
      </c>
      <c r="O135" s="29">
        <f>0</f>
        <v>0</v>
      </c>
      <c r="P135" s="29">
        <f>0</f>
        <v>0</v>
      </c>
      <c r="Q135" s="29">
        <f>0</f>
        <v>0</v>
      </c>
      <c r="R135" s="29">
        <f>0</f>
        <v>0</v>
      </c>
      <c r="S135" s="29">
        <f>0</f>
        <v>0</v>
      </c>
    </row>
    <row r="136" spans="1:19">
      <c r="A136" s="19" t="s">
        <v>1424</v>
      </c>
      <c r="B136" s="20"/>
      <c r="C136" s="20"/>
      <c r="D136" s="115">
        <f t="shared" ref="D136:S136" ca="1" si="70">D134+D133-D135</f>
        <v>358.73265000000004</v>
      </c>
      <c r="E136" s="115">
        <f t="shared" ca="1" si="70"/>
        <v>493.94083303290961</v>
      </c>
      <c r="F136" s="115">
        <f t="shared" ca="1" si="70"/>
        <v>776.20154148977667</v>
      </c>
      <c r="G136" s="115">
        <f t="shared" ca="1" si="70"/>
        <v>1156.0102995090069</v>
      </c>
      <c r="H136" s="115">
        <f t="shared" ca="1" si="70"/>
        <v>1762.3885204459459</v>
      </c>
      <c r="I136" s="115">
        <f t="shared" ca="1" si="70"/>
        <v>2767.5639186211811</v>
      </c>
      <c r="J136" s="115">
        <f t="shared" ca="1" si="70"/>
        <v>4289.0045691431724</v>
      </c>
      <c r="K136" s="115">
        <f t="shared" ca="1" si="70"/>
        <v>6739.0788731276698</v>
      </c>
      <c r="L136" s="115">
        <f t="shared" ca="1" si="70"/>
        <v>10503.697304188552</v>
      </c>
      <c r="M136" s="115">
        <f t="shared" ca="1" si="70"/>
        <v>16375.628328188404</v>
      </c>
      <c r="N136" s="115">
        <f t="shared" ca="1" si="70"/>
        <v>25579.830149680325</v>
      </c>
      <c r="O136" s="115">
        <f t="shared" ca="1" si="70"/>
        <v>39886.547731816674</v>
      </c>
      <c r="P136" s="115">
        <f t="shared" ca="1" si="70"/>
        <v>62468.562933783905</v>
      </c>
      <c r="Q136" s="115">
        <f t="shared" ca="1" si="70"/>
        <v>98534.095699516271</v>
      </c>
      <c r="R136" s="115">
        <f t="shared" ca="1" si="70"/>
        <v>155980.68372222543</v>
      </c>
      <c r="S136" s="115">
        <f t="shared" ca="1" si="70"/>
        <v>247832.52646031498</v>
      </c>
    </row>
    <row r="137" spans="1:19">
      <c r="A137" s="5" t="s">
        <v>1452</v>
      </c>
      <c r="B137" s="3"/>
      <c r="C137" s="3"/>
      <c r="D137" s="141">
        <f t="shared" ref="D137:S137" si="71">D255</f>
        <v>288.80500000000001</v>
      </c>
      <c r="E137" s="141">
        <f t="shared" si="71"/>
        <v>401.82565509999995</v>
      </c>
      <c r="F137" s="141">
        <f t="shared" si="71"/>
        <v>567.38280379214314</v>
      </c>
      <c r="G137" s="141">
        <f t="shared" si="71"/>
        <v>814.11236366524804</v>
      </c>
      <c r="H137" s="141">
        <f t="shared" si="71"/>
        <v>1188.2163079350319</v>
      </c>
      <c r="I137" s="141">
        <f t="shared" si="71"/>
        <v>1765.1379268998085</v>
      </c>
      <c r="J137" s="141">
        <f t="shared" si="71"/>
        <v>2669.4563606117135</v>
      </c>
      <c r="K137" s="141">
        <f t="shared" si="71"/>
        <v>4109.0625096451959</v>
      </c>
      <c r="L137" s="141">
        <f t="shared" si="71"/>
        <v>6434.33739562952</v>
      </c>
      <c r="M137" s="141">
        <f t="shared" si="71"/>
        <v>10241.429414584843</v>
      </c>
      <c r="N137" s="141">
        <f t="shared" si="71"/>
        <v>16553.882814146884</v>
      </c>
      <c r="O137" s="141">
        <f t="shared" si="71"/>
        <v>27144.469058599589</v>
      </c>
      <c r="P137" s="141">
        <f t="shared" si="71"/>
        <v>45109.633575266686</v>
      </c>
      <c r="Q137" s="141">
        <f t="shared" si="71"/>
        <v>75902.118121571577</v>
      </c>
      <c r="R137" s="141">
        <f t="shared" si="71"/>
        <v>129199.8262867654</v>
      </c>
      <c r="S137" s="141">
        <f t="shared" si="71"/>
        <v>222310.03179203806</v>
      </c>
    </row>
    <row r="138" spans="1:1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78" t="s">
        <v>1453</v>
      </c>
      <c r="B141" s="78"/>
      <c r="C141" s="78"/>
      <c r="D141" s="140">
        <f t="shared" ref="D141:S141" si="72">SUM(D137:D140)</f>
        <v>288.80500000000001</v>
      </c>
      <c r="E141" s="140">
        <f t="shared" si="72"/>
        <v>401.82565509999995</v>
      </c>
      <c r="F141" s="140">
        <f t="shared" si="72"/>
        <v>567.38280379214314</v>
      </c>
      <c r="G141" s="140">
        <f t="shared" si="72"/>
        <v>814.11236366524804</v>
      </c>
      <c r="H141" s="140">
        <f t="shared" si="72"/>
        <v>1188.2163079350319</v>
      </c>
      <c r="I141" s="140">
        <f t="shared" si="72"/>
        <v>1765.1379268998085</v>
      </c>
      <c r="J141" s="140">
        <f t="shared" si="72"/>
        <v>2669.4563606117135</v>
      </c>
      <c r="K141" s="140">
        <f t="shared" si="72"/>
        <v>4109.0625096451959</v>
      </c>
      <c r="L141" s="140">
        <f t="shared" si="72"/>
        <v>6434.33739562952</v>
      </c>
      <c r="M141" s="140">
        <f t="shared" si="72"/>
        <v>10241.429414584843</v>
      </c>
      <c r="N141" s="140">
        <f t="shared" si="72"/>
        <v>16553.882814146884</v>
      </c>
      <c r="O141" s="140">
        <f t="shared" si="72"/>
        <v>27144.469058599589</v>
      </c>
      <c r="P141" s="140">
        <f t="shared" si="72"/>
        <v>45109.633575266686</v>
      </c>
      <c r="Q141" s="140">
        <f t="shared" si="72"/>
        <v>75902.118121571577</v>
      </c>
      <c r="R141" s="140">
        <f t="shared" si="72"/>
        <v>129199.8262867654</v>
      </c>
      <c r="S141" s="140">
        <f t="shared" si="72"/>
        <v>222310.03179203806</v>
      </c>
    </row>
    <row r="142" spans="1:19">
      <c r="A142" s="5" t="s">
        <v>1454</v>
      </c>
      <c r="B142" s="3"/>
      <c r="C142" s="3"/>
      <c r="D142" s="70">
        <f>D141*Assumptions!$B$298*MIN(8,(1+Assumptions!$B$299)^D$5)</f>
        <v>80223675.290000007</v>
      </c>
      <c r="E142" s="70">
        <f>E141*Assumptions!$B$298*MIN(8,(1+Assumptions!$B$299)^E$5)</f>
        <v>121663976.23638089</v>
      </c>
      <c r="F142" s="70">
        <f>F141*Assumptions!$B$298*MIN(8,(1+Assumptions!$B$299)^F$5)</f>
        <v>187252235.68651462</v>
      </c>
      <c r="G142" s="70">
        <f>G141*Assumptions!$B$298*MIN(8,(1+Assumptions!$B$299)^G$5)</f>
        <v>292861101.01231635</v>
      </c>
      <c r="H142" s="70">
        <f>H141*Assumptions!$B$298*MIN(8,(1+Assumptions!$B$299)^H$5)</f>
        <v>465907119.66517216</v>
      </c>
      <c r="I142" s="70">
        <f>I141*Assumptions!$B$298*MIN(8,(1+Assumptions!$B$299)^I$5)</f>
        <v>754412686.31593597</v>
      </c>
      <c r="J142" s="70">
        <f>J141*Assumptions!$B$298*MIN(8,(1+Assumptions!$B$299)^J$5)</f>
        <v>1243596983.2843237</v>
      </c>
      <c r="K142" s="70">
        <f>K141*Assumptions!$B$298*MIN(8,(1+Assumptions!$B$299)^K$5)</f>
        <v>2086536951.8706229</v>
      </c>
      <c r="L142" s="70">
        <f>L141*Assumptions!$B$298*MIN(8,(1+Assumptions!$B$299)^L$5)</f>
        <v>3561341826.4493909</v>
      </c>
      <c r="M142" s="70">
        <f>M141*Assumptions!$B$298*MIN(8,(1+Assumptions!$B$299)^M$5)</f>
        <v>6178697086.6813869</v>
      </c>
      <c r="N142" s="70">
        <f>N141*Assumptions!$B$298*MIN(8,(1+Assumptions!$B$299)^N$5)</f>
        <v>10885858944.14299</v>
      </c>
      <c r="O142" s="70">
        <f>O141*Assumptions!$B$298*MIN(8,(1+Assumptions!$B$299)^O$5)</f>
        <v>19456766875.62495</v>
      </c>
      <c r="P142" s="70">
        <f>P141*Assumptions!$B$298*MIN(8,(1+Assumptions!$B$299)^P$5)</f>
        <v>35243994216.362785</v>
      </c>
      <c r="Q142" s="70">
        <f>Q141*Assumptions!$B$298*MIN(8,(1+Assumptions!$B$299)^Q$5)</f>
        <v>64639236102.615303</v>
      </c>
      <c r="R142" s="70">
        <f>R141*Assumptions!$B$298*MIN(8,(1+Assumptions!$B$299)^R$5)</f>
        <v>119930804671.43188</v>
      </c>
      <c r="S142" s="70">
        <f>S141*Assumptions!$B$298*MIN(8,(1+Assumptions!$B$299)^S$5)</f>
        <v>224933622006.49649</v>
      </c>
    </row>
    <row r="143" spans="1:19">
      <c r="A143" s="78" t="s">
        <v>1455</v>
      </c>
      <c r="B143" s="78"/>
      <c r="C143" s="78"/>
      <c r="D143" s="81">
        <f t="shared" ref="D143:S143" ca="1" si="73">D92+D48*D46</f>
        <v>0</v>
      </c>
      <c r="E143" s="81">
        <f t="shared" ca="1" si="73"/>
        <v>694294711.14405715</v>
      </c>
      <c r="F143" s="81">
        <f t="shared" ca="1" si="73"/>
        <v>3200252051.4397712</v>
      </c>
      <c r="G143" s="81">
        <f t="shared" ca="1" si="73"/>
        <v>4243376328.8794417</v>
      </c>
      <c r="H143" s="81">
        <f t="shared" ca="1" si="73"/>
        <v>8984421248.5146217</v>
      </c>
      <c r="I143" s="81">
        <f t="shared" ca="1" si="73"/>
        <v>26055559902.840233</v>
      </c>
      <c r="J143" s="81">
        <f t="shared" ca="1" si="73"/>
        <v>60659091662.639977</v>
      </c>
      <c r="K143" s="81">
        <f t="shared" ca="1" si="73"/>
        <v>111584826345.50648</v>
      </c>
      <c r="L143" s="81">
        <f t="shared" ca="1" si="73"/>
        <v>144694913330.05164</v>
      </c>
      <c r="M143" s="81">
        <f t="shared" ca="1" si="73"/>
        <v>192683648605.37411</v>
      </c>
      <c r="N143" s="81">
        <f t="shared" ca="1" si="73"/>
        <v>259654348859.05884</v>
      </c>
      <c r="O143" s="81">
        <f t="shared" ca="1" si="73"/>
        <v>359111178784.68909</v>
      </c>
      <c r="P143" s="81">
        <f t="shared" ca="1" si="73"/>
        <v>505440845627.91364</v>
      </c>
      <c r="Q143" s="81">
        <f t="shared" ca="1" si="73"/>
        <v>702388760998.03882</v>
      </c>
      <c r="R143" s="81">
        <f t="shared" ca="1" si="73"/>
        <v>992262115830.30591</v>
      </c>
      <c r="S143" s="81">
        <f t="shared" ca="1" si="73"/>
        <v>1377844395363.4556</v>
      </c>
    </row>
    <row r="144" spans="1:19">
      <c r="A144" s="5" t="s">
        <v>1456</v>
      </c>
      <c r="B144" s="3"/>
      <c r="C144" s="3"/>
      <c r="D144" s="29">
        <f t="shared" ref="D144:S144" ca="1" si="74">MIN(D142,D143)</f>
        <v>0</v>
      </c>
      <c r="E144" s="29">
        <f t="shared" ca="1" si="74"/>
        <v>121663976.23638089</v>
      </c>
      <c r="F144" s="29">
        <f t="shared" ca="1" si="74"/>
        <v>187252235.68651462</v>
      </c>
      <c r="G144" s="29">
        <f t="shared" ca="1" si="74"/>
        <v>292861101.01231635</v>
      </c>
      <c r="H144" s="29">
        <f t="shared" ca="1" si="74"/>
        <v>465907119.66517216</v>
      </c>
      <c r="I144" s="29">
        <f t="shared" ca="1" si="74"/>
        <v>754412686.31593597</v>
      </c>
      <c r="J144" s="29">
        <f t="shared" ca="1" si="74"/>
        <v>1243596983.2843237</v>
      </c>
      <c r="K144" s="29">
        <f t="shared" ca="1" si="74"/>
        <v>2086536951.8706229</v>
      </c>
      <c r="L144" s="29">
        <f t="shared" ca="1" si="74"/>
        <v>3561341826.4493909</v>
      </c>
      <c r="M144" s="29">
        <f t="shared" ca="1" si="74"/>
        <v>6178697086.6813869</v>
      </c>
      <c r="N144" s="29">
        <f t="shared" ca="1" si="74"/>
        <v>10885858944.14299</v>
      </c>
      <c r="O144" s="29">
        <f t="shared" ca="1" si="74"/>
        <v>19456766875.62495</v>
      </c>
      <c r="P144" s="29">
        <f t="shared" ca="1" si="74"/>
        <v>35243994216.362785</v>
      </c>
      <c r="Q144" s="29">
        <f t="shared" ca="1" si="74"/>
        <v>64639236102.615303</v>
      </c>
      <c r="R144" s="29">
        <f t="shared" ca="1" si="74"/>
        <v>119930804671.43188</v>
      </c>
      <c r="S144" s="29">
        <f t="shared" ca="1" si="74"/>
        <v>224933622006.49649</v>
      </c>
    </row>
    <row r="145" spans="1:19">
      <c r="A145" s="5" t="s">
        <v>1457</v>
      </c>
      <c r="B145" s="3"/>
      <c r="C145" s="3"/>
      <c r="D145" s="60">
        <f t="shared" ref="D145:S145" ca="1" si="75">IFERROR(D144/D143,0)</f>
        <v>0</v>
      </c>
      <c r="E145" s="60">
        <f t="shared" ca="1" si="75"/>
        <v>0.17523390900659935</v>
      </c>
      <c r="F145" s="60">
        <f t="shared" ca="1" si="75"/>
        <v>5.8511714913914714E-2</v>
      </c>
      <c r="G145" s="60">
        <f t="shared" ca="1" si="75"/>
        <v>6.9016056629050596E-2</v>
      </c>
      <c r="H145" s="60">
        <f t="shared" ca="1" si="75"/>
        <v>5.1857221158480273E-2</v>
      </c>
      <c r="I145" s="60">
        <f t="shared" ca="1" si="75"/>
        <v>2.8954000187641327E-2</v>
      </c>
      <c r="J145" s="60">
        <f t="shared" ca="1" si="75"/>
        <v>2.0501411234455674E-2</v>
      </c>
      <c r="K145" s="60">
        <f t="shared" ca="1" si="75"/>
        <v>1.8699110086975078E-2</v>
      </c>
      <c r="L145" s="60">
        <f t="shared" ca="1" si="75"/>
        <v>2.4612764502134968E-2</v>
      </c>
      <c r="M145" s="60">
        <f t="shared" ca="1" si="75"/>
        <v>3.2066535647431463E-2</v>
      </c>
      <c r="N145" s="60">
        <f t="shared" ca="1" si="75"/>
        <v>4.1924423727067506E-2</v>
      </c>
      <c r="O145" s="60">
        <f t="shared" ca="1" si="75"/>
        <v>5.4180343094500462E-2</v>
      </c>
      <c r="P145" s="60">
        <f t="shared" ca="1" si="75"/>
        <v>6.9729216625891918E-2</v>
      </c>
      <c r="Q145" s="60">
        <f t="shared" ca="1" si="75"/>
        <v>9.2027719821097462E-2</v>
      </c>
      <c r="R145" s="60">
        <f t="shared" ca="1" si="75"/>
        <v>0.12086605218327426</v>
      </c>
      <c r="S145" s="60">
        <f t="shared" ca="1" si="75"/>
        <v>0.1632503806405238</v>
      </c>
    </row>
    <row r="146" spans="1:19">
      <c r="A146" s="5" t="s">
        <v>1458</v>
      </c>
      <c r="B146" s="3"/>
      <c r="C146" s="3"/>
      <c r="D146" s="23" t="str">
        <f t="shared" ref="D146:S146" ca="1" si="76">IF(D142&gt;D143,"SUPPLY SHORTFALL (DCs undersized)","DEMAND-CONSTRAINED (OK)")</f>
        <v>SUPPLY SHORTFALL (DCs undersized)</v>
      </c>
      <c r="E146" s="23" t="str">
        <f t="shared" ca="1" si="76"/>
        <v>DEMAND-CONSTRAINED (OK)</v>
      </c>
      <c r="F146" s="23" t="str">
        <f t="shared" ca="1" si="76"/>
        <v>DEMAND-CONSTRAINED (OK)</v>
      </c>
      <c r="G146" s="23" t="str">
        <f t="shared" ca="1" si="76"/>
        <v>DEMAND-CONSTRAINED (OK)</v>
      </c>
      <c r="H146" s="23" t="str">
        <f t="shared" ca="1" si="76"/>
        <v>DEMAND-CONSTRAINED (OK)</v>
      </c>
      <c r="I146" s="23" t="str">
        <f t="shared" ca="1" si="76"/>
        <v>DEMAND-CONSTRAINED (OK)</v>
      </c>
      <c r="J146" s="23" t="str">
        <f t="shared" ca="1" si="76"/>
        <v>DEMAND-CONSTRAINED (OK)</v>
      </c>
      <c r="K146" s="23" t="str">
        <f t="shared" ca="1" si="76"/>
        <v>DEMAND-CONSTRAINED (OK)</v>
      </c>
      <c r="L146" s="23" t="str">
        <f t="shared" ca="1" si="76"/>
        <v>DEMAND-CONSTRAINED (OK)</v>
      </c>
      <c r="M146" s="23" t="str">
        <f t="shared" ca="1" si="76"/>
        <v>DEMAND-CONSTRAINED (OK)</v>
      </c>
      <c r="N146" s="23" t="str">
        <f t="shared" ca="1" si="76"/>
        <v>DEMAND-CONSTRAINED (OK)</v>
      </c>
      <c r="O146" s="23" t="str">
        <f t="shared" ca="1" si="76"/>
        <v>DEMAND-CONSTRAINED (OK)</v>
      </c>
      <c r="P146" s="23" t="str">
        <f t="shared" ca="1" si="76"/>
        <v>DEMAND-CONSTRAINED (OK)</v>
      </c>
      <c r="Q146" s="23" t="str">
        <f t="shared" ca="1" si="76"/>
        <v>DEMAND-CONSTRAINED (OK)</v>
      </c>
      <c r="R146" s="23" t="str">
        <f t="shared" ca="1" si="76"/>
        <v>DEMAND-CONSTRAINED (OK)</v>
      </c>
      <c r="S146" s="23" t="str">
        <f t="shared" ca="1" si="76"/>
        <v>DEMAND-CONSTRAINED (OK)</v>
      </c>
    </row>
    <row r="147" spans="1:19">
      <c r="A147" s="5" t="s">
        <v>1459</v>
      </c>
      <c r="B147" s="3"/>
      <c r="C147" s="3"/>
      <c r="D147" s="80">
        <f ca="1">IFERROR((D126-D126*(Assumptions!$B$296+Assumptions!$B$297)-D132-D129)/D122,0)</f>
        <v>360.62917050691243</v>
      </c>
      <c r="E147" s="80">
        <f ca="1">IFERROR((E126-E126*(Assumptions!$B$296+Assumptions!$B$297)-E132-E129)/E122,0)</f>
        <v>317.48167098639811</v>
      </c>
      <c r="F147" s="80">
        <f ca="1">IFERROR((F126-F126*(Assumptions!$B$296+Assumptions!$B$297)-F132-F129)/F122,0)</f>
        <v>336.42228037618003</v>
      </c>
      <c r="G147" s="80">
        <f ca="1">IFERROR((G126-G126*(Assumptions!$B$296+Assumptions!$B$297)-G132-G129)/G122,0)</f>
        <v>338.10455258775278</v>
      </c>
      <c r="H147" s="80">
        <f ca="1">IFERROR((H126-H126*(Assumptions!$B$296+Assumptions!$B$297)-H132-H129)/H122,0)</f>
        <v>347.25836214258925</v>
      </c>
      <c r="I147" s="80">
        <f ca="1">IFERROR((I126-I126*(Assumptions!$B$296+Assumptions!$B$297)-I132-I129)/I122,0)</f>
        <v>366.68221733821815</v>
      </c>
      <c r="J147" s="80">
        <f ca="1">IFERROR((J126-J126*(Assumptions!$B$296+Assumptions!$B$297)-J132-J129)/J122,0)</f>
        <v>381.79603579155003</v>
      </c>
      <c r="K147" s="80">
        <f ca="1">IFERROR((K126-K126*(Assumptions!$B$296+Assumptions!$B$297)-K132-K129)/K122,0)</f>
        <v>402.37079339740302</v>
      </c>
      <c r="L147" s="80">
        <f ca="1">IFERROR((L126-L126*(Assumptions!$B$296+Assumptions!$B$297)-L132-L129)/L122,0)</f>
        <v>420.10413801711621</v>
      </c>
      <c r="M147" s="80">
        <f ca="1">IFERROR((M126-M126*(Assumptions!$B$296+Assumptions!$B$297)-M132-M129)/M122,0)</f>
        <v>437.99346495916251</v>
      </c>
      <c r="N147" s="80">
        <f ca="1">IFERROR((N126-N126*(Assumptions!$B$296+Assumptions!$B$297)-N132-N129)/N122,0)</f>
        <v>456.65262953472154</v>
      </c>
      <c r="O147" s="80">
        <f ca="1">IFERROR((O126-O126*(Assumptions!$B$296+Assumptions!$B$297)-O132-O129)/O122,0)</f>
        <v>474.28471691506627</v>
      </c>
      <c r="P147" s="80">
        <f ca="1">IFERROR((P126-P126*(Assumptions!$B$296+Assumptions!$B$297)-P132-P129)/P122,0)</f>
        <v>493.56782376129161</v>
      </c>
      <c r="Q147" s="80">
        <f ca="1">IFERROR((Q126-Q126*(Assumptions!$B$296+Assumptions!$B$297)-Q132-Q129)/Q122,0)</f>
        <v>515.89975914896206</v>
      </c>
      <c r="R147" s="80">
        <f ca="1">IFERROR((R126-R126*(Assumptions!$B$296+Assumptions!$B$297)-R132-R129)/R122,0)</f>
        <v>539.61568336075766</v>
      </c>
      <c r="S147" s="80">
        <f ca="1">IFERROR((S126-S126*(Assumptions!$B$296+Assumptions!$B$297)-S132-S129)/S122,0)</f>
        <v>564.71640738866211</v>
      </c>
    </row>
    <row r="148" spans="1:19">
      <c r="A148" s="5" t="s">
        <v>1460</v>
      </c>
      <c r="B148" s="3"/>
      <c r="C148" s="3"/>
      <c r="D148" s="80">
        <f>Assumptions!$B$334+Assumptions!$B$295</f>
        <v>265</v>
      </c>
      <c r="E148" s="80">
        <f>Assumptions!$B$334+Assumptions!$B$295</f>
        <v>265</v>
      </c>
      <c r="F148" s="80">
        <f>Assumptions!$B$334+Assumptions!$B$295</f>
        <v>265</v>
      </c>
      <c r="G148" s="80">
        <f>Assumptions!$B$334+Assumptions!$B$295</f>
        <v>265</v>
      </c>
      <c r="H148" s="80">
        <f>Assumptions!$B$334+Assumptions!$B$295</f>
        <v>265</v>
      </c>
      <c r="I148" s="80">
        <f>Assumptions!$B$334+Assumptions!$B$295</f>
        <v>265</v>
      </c>
      <c r="J148" s="80">
        <f>Assumptions!$B$334+Assumptions!$B$295</f>
        <v>265</v>
      </c>
      <c r="K148" s="80">
        <f>Assumptions!$B$334+Assumptions!$B$295</f>
        <v>265</v>
      </c>
      <c r="L148" s="80">
        <f>Assumptions!$B$334+Assumptions!$B$295</f>
        <v>265</v>
      </c>
      <c r="M148" s="80">
        <f>Assumptions!$B$334+Assumptions!$B$295</f>
        <v>265</v>
      </c>
      <c r="N148" s="80">
        <f>Assumptions!$B$334+Assumptions!$B$295</f>
        <v>265</v>
      </c>
      <c r="O148" s="80">
        <f>Assumptions!$B$334+Assumptions!$B$295</f>
        <v>265</v>
      </c>
      <c r="P148" s="80">
        <f>Assumptions!$B$334+Assumptions!$B$295</f>
        <v>265</v>
      </c>
      <c r="Q148" s="80">
        <f>Assumptions!$B$334+Assumptions!$B$295</f>
        <v>265</v>
      </c>
      <c r="R148" s="80">
        <f>Assumptions!$B$334+Assumptions!$B$295</f>
        <v>265</v>
      </c>
      <c r="S148" s="80">
        <f>Assumptions!$B$334+Assumptions!$B$295</f>
        <v>265</v>
      </c>
    </row>
    <row r="149" spans="1:19">
      <c r="A149" s="5" t="s">
        <v>1461</v>
      </c>
      <c r="B149" s="3"/>
      <c r="C149" s="3"/>
      <c r="D149" s="108">
        <f>Assumptions!$B$22</f>
        <v>3</v>
      </c>
      <c r="E149" s="108">
        <f>Assumptions!$B$22</f>
        <v>3</v>
      </c>
      <c r="F149" s="108">
        <f>Assumptions!$B$22</f>
        <v>3</v>
      </c>
      <c r="G149" s="108">
        <f>Assumptions!$B$22</f>
        <v>3</v>
      </c>
      <c r="H149" s="108">
        <f>Assumptions!$B$22</f>
        <v>3</v>
      </c>
      <c r="I149" s="108">
        <f>Assumptions!$B$22</f>
        <v>3</v>
      </c>
      <c r="J149" s="108">
        <f>Assumptions!$B$22</f>
        <v>3</v>
      </c>
      <c r="K149" s="108">
        <f>Assumptions!$B$22</f>
        <v>3</v>
      </c>
      <c r="L149" s="108">
        <f>Assumptions!$B$22</f>
        <v>3</v>
      </c>
      <c r="M149" s="108">
        <f>Assumptions!$B$22</f>
        <v>3</v>
      </c>
      <c r="N149" s="108">
        <f>Assumptions!$B$22</f>
        <v>3</v>
      </c>
      <c r="O149" s="108">
        <f>Assumptions!$B$22</f>
        <v>3</v>
      </c>
      <c r="P149" s="108">
        <f>Assumptions!$B$22</f>
        <v>3</v>
      </c>
      <c r="Q149" s="108">
        <f>Assumptions!$B$22</f>
        <v>3</v>
      </c>
      <c r="R149" s="108">
        <f>Assumptions!$B$22</f>
        <v>3</v>
      </c>
      <c r="S149" s="108">
        <f>Assumptions!$B$22</f>
        <v>3</v>
      </c>
    </row>
    <row r="150" spans="1:19" s="146" customFormat="1">
      <c r="A150" s="82" t="s">
        <v>1462</v>
      </c>
      <c r="B150" s="94"/>
      <c r="C150" s="94"/>
      <c r="D150" s="114">
        <f t="shared" ref="D150:S150" ca="1" si="77">IF(D147&lt;=0,0,IFERROR(MIN(3,IFERROR(RATE(D149,D147,-D148,0,0,0.1),IFERROR(RATE(D149,D147,-D148,0,0,0.5),RATE(D149,D147,-D148,0,0,1.5)))),IF(D147*D149&gt;D148,3,0)))</f>
        <v>1.2397436261516745</v>
      </c>
      <c r="E150" s="114">
        <f t="shared" ca="1" si="77"/>
        <v>1.0612446524617021</v>
      </c>
      <c r="F150" s="114">
        <f t="shared" ca="1" si="77"/>
        <v>1.1399754755125719</v>
      </c>
      <c r="G150" s="114">
        <f t="shared" ca="1" si="77"/>
        <v>1.1469385088879689</v>
      </c>
      <c r="H150" s="114">
        <f t="shared" ca="1" si="77"/>
        <v>1.1847470999491456</v>
      </c>
      <c r="I150" s="114">
        <f t="shared" ca="1" si="77"/>
        <v>1.2645563314942307</v>
      </c>
      <c r="J150" s="114">
        <f t="shared" ca="1" si="77"/>
        <v>1.3262964606692795</v>
      </c>
      <c r="K150" s="114">
        <f t="shared" ca="1" si="77"/>
        <v>1.4098906363367416</v>
      </c>
      <c r="L150" s="114">
        <f t="shared" ca="1" si="77"/>
        <v>1.481561032458625</v>
      </c>
      <c r="M150" s="114">
        <f t="shared" ca="1" si="77"/>
        <v>1.5535412152112544</v>
      </c>
      <c r="N150" s="114">
        <f t="shared" ca="1" si="77"/>
        <v>1.6283075661788575</v>
      </c>
      <c r="O150" s="114">
        <f t="shared" ca="1" si="77"/>
        <v>1.6986925173660798</v>
      </c>
      <c r="P150" s="114">
        <f t="shared" ca="1" si="77"/>
        <v>1.775398693337537</v>
      </c>
      <c r="Q150" s="114">
        <f t="shared" ca="1" si="77"/>
        <v>1.863913443851978</v>
      </c>
      <c r="R150" s="114">
        <f t="shared" ca="1" si="77"/>
        <v>1.9575753584219517</v>
      </c>
      <c r="S150" s="114">
        <f t="shared" ca="1" si="77"/>
        <v>2.0563658458045402</v>
      </c>
    </row>
    <row r="151" spans="1:1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13" t="s">
        <v>1463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>
      <c r="A153" s="82" t="s">
        <v>1464</v>
      </c>
      <c r="B153" s="94"/>
      <c r="C153" s="94"/>
      <c r="D153" s="83">
        <f t="shared" ref="D153:S153" ca="1" si="78">D60+D96+D126</f>
        <v>483.065</v>
      </c>
      <c r="E153" s="83">
        <f t="shared" ca="1" si="78"/>
        <v>1812.6264885445848</v>
      </c>
      <c r="F153" s="83">
        <f t="shared" ca="1" si="78"/>
        <v>6528.1820219168358</v>
      </c>
      <c r="G153" s="83">
        <f t="shared" ca="1" si="78"/>
        <v>8768.39973774807</v>
      </c>
      <c r="H153" s="83">
        <f t="shared" ca="1" si="78"/>
        <v>17761.260327799599</v>
      </c>
      <c r="I153" s="83">
        <f t="shared" ca="1" si="78"/>
        <v>47175.751860515215</v>
      </c>
      <c r="J153" s="83">
        <f t="shared" ca="1" si="78"/>
        <v>104353.77614850162</v>
      </c>
      <c r="K153" s="83">
        <f t="shared" ca="1" si="78"/>
        <v>159539.67599042697</v>
      </c>
      <c r="L153" s="83">
        <f t="shared" ca="1" si="78"/>
        <v>184438.69835653342</v>
      </c>
      <c r="M153" s="83">
        <f t="shared" ca="1" si="78"/>
        <v>230079.53526620747</v>
      </c>
      <c r="N153" s="83">
        <f t="shared" ca="1" si="78"/>
        <v>309160.70216309285</v>
      </c>
      <c r="O153" s="83">
        <f t="shared" ca="1" si="78"/>
        <v>448419.76677063049</v>
      </c>
      <c r="P153" s="83">
        <f t="shared" ca="1" si="78"/>
        <v>616245.58447598969</v>
      </c>
      <c r="Q153" s="83">
        <f t="shared" ca="1" si="78"/>
        <v>787605.10429887811</v>
      </c>
      <c r="R153" s="83">
        <f t="shared" ca="1" si="78"/>
        <v>1040516.285681007</v>
      </c>
      <c r="S153" s="83">
        <f t="shared" ca="1" si="78"/>
        <v>1382289.9990574655</v>
      </c>
    </row>
    <row r="154" spans="1:19">
      <c r="A154" s="5" t="s">
        <v>1465</v>
      </c>
      <c r="B154" s="3"/>
      <c r="C154" s="3"/>
      <c r="D154" s="29">
        <f t="shared" ref="D154:S154" ca="1" si="79">D61+D97</f>
        <v>0</v>
      </c>
      <c r="E154" s="29">
        <f t="shared" ca="1" si="79"/>
        <v>63.952327628662125</v>
      </c>
      <c r="F154" s="29">
        <f t="shared" ca="1" si="79"/>
        <v>292.01762944085687</v>
      </c>
      <c r="G154" s="29">
        <f t="shared" ca="1" si="79"/>
        <v>513.38593644767002</v>
      </c>
      <c r="H154" s="29">
        <f t="shared" ca="1" si="79"/>
        <v>970.57737053318056</v>
      </c>
      <c r="I154" s="29">
        <f t="shared" ca="1" si="79"/>
        <v>2107.8764756553796</v>
      </c>
      <c r="J154" s="29">
        <f t="shared" ca="1" si="79"/>
        <v>3974.5775377373034</v>
      </c>
      <c r="K154" s="29">
        <f t="shared" ca="1" si="79"/>
        <v>5406.2823908690389</v>
      </c>
      <c r="L154" s="29">
        <f t="shared" ca="1" si="79"/>
        <v>5502.2610534203186</v>
      </c>
      <c r="M154" s="29">
        <f t="shared" ca="1" si="79"/>
        <v>6785.2758608928452</v>
      </c>
      <c r="N154" s="29">
        <f t="shared" ca="1" si="79"/>
        <v>8924.429852262143</v>
      </c>
      <c r="O154" s="29">
        <f t="shared" ca="1" si="79"/>
        <v>12754.464653054307</v>
      </c>
      <c r="P154" s="29">
        <f t="shared" ca="1" si="79"/>
        <v>17027.024431935402</v>
      </c>
      <c r="Q154" s="29">
        <f t="shared" ca="1" si="79"/>
        <v>21050.887641541362</v>
      </c>
      <c r="R154" s="29">
        <f t="shared" ca="1" si="79"/>
        <v>27787.882454160437</v>
      </c>
      <c r="S154" s="29">
        <f t="shared" ca="1" si="79"/>
        <v>36500.790701012418</v>
      </c>
    </row>
    <row r="155" spans="1:19">
      <c r="A155" s="78" t="s">
        <v>1466</v>
      </c>
      <c r="B155" s="78"/>
      <c r="C155" s="78"/>
      <c r="D155" s="81">
        <f t="shared" ref="D155:S155" ca="1" si="80">D153-D154</f>
        <v>483.065</v>
      </c>
      <c r="E155" s="81">
        <f t="shared" ca="1" si="80"/>
        <v>1748.6741609159228</v>
      </c>
      <c r="F155" s="81">
        <f t="shared" ca="1" si="80"/>
        <v>6236.1643924759792</v>
      </c>
      <c r="G155" s="81">
        <f t="shared" ca="1" si="80"/>
        <v>8255.0138013003998</v>
      </c>
      <c r="H155" s="81">
        <f t="shared" ca="1" si="80"/>
        <v>16790.682957266417</v>
      </c>
      <c r="I155" s="81">
        <f t="shared" ca="1" si="80"/>
        <v>45067.875384859835</v>
      </c>
      <c r="J155" s="81">
        <f t="shared" ca="1" si="80"/>
        <v>100379.19861076432</v>
      </c>
      <c r="K155" s="81">
        <f t="shared" ca="1" si="80"/>
        <v>154133.39359955792</v>
      </c>
      <c r="L155" s="81">
        <f t="shared" ca="1" si="80"/>
        <v>178936.43730311311</v>
      </c>
      <c r="M155" s="81">
        <f t="shared" ca="1" si="80"/>
        <v>223294.25940531463</v>
      </c>
      <c r="N155" s="81">
        <f t="shared" ca="1" si="80"/>
        <v>300236.27231083071</v>
      </c>
      <c r="O155" s="81">
        <f t="shared" ca="1" si="80"/>
        <v>435665.30211757618</v>
      </c>
      <c r="P155" s="81">
        <f t="shared" ca="1" si="80"/>
        <v>599218.56004405429</v>
      </c>
      <c r="Q155" s="81">
        <f t="shared" ca="1" si="80"/>
        <v>766554.2166573368</v>
      </c>
      <c r="R155" s="81">
        <f t="shared" ca="1" si="80"/>
        <v>1012728.4032268465</v>
      </c>
      <c r="S155" s="81">
        <f t="shared" ca="1" si="80"/>
        <v>1345789.2083564531</v>
      </c>
    </row>
    <row r="156" spans="1:19">
      <c r="A156" s="5" t="s">
        <v>1467</v>
      </c>
      <c r="B156" s="3"/>
      <c r="C156" s="3"/>
      <c r="D156" s="60">
        <f t="shared" ref="D156:S156" ca="1" si="81">IFERROR(D155/D153,0)</f>
        <v>1</v>
      </c>
      <c r="E156" s="60">
        <f t="shared" ca="1" si="81"/>
        <v>0.96471841935841318</v>
      </c>
      <c r="F156" s="60">
        <f t="shared" ca="1" si="81"/>
        <v>0.95526815452441793</v>
      </c>
      <c r="G156" s="60">
        <f t="shared" ca="1" si="81"/>
        <v>0.94145044115204546</v>
      </c>
      <c r="H156" s="60">
        <f t="shared" ca="1" si="81"/>
        <v>0.94535425118373773</v>
      </c>
      <c r="I156" s="60">
        <f t="shared" ca="1" si="81"/>
        <v>0.95531864586095527</v>
      </c>
      <c r="J156" s="60">
        <f t="shared" ca="1" si="81"/>
        <v>0.9619124704018257</v>
      </c>
      <c r="K156" s="60">
        <f t="shared" ca="1" si="81"/>
        <v>0.96611324200512072</v>
      </c>
      <c r="L156" s="60">
        <f t="shared" ca="1" si="81"/>
        <v>0.97016753478283591</v>
      </c>
      <c r="M156" s="60">
        <f t="shared" ca="1" si="81"/>
        <v>0.97050899875539942</v>
      </c>
      <c r="N156" s="60">
        <f t="shared" ca="1" si="81"/>
        <v>0.97113336271453354</v>
      </c>
      <c r="O156" s="60">
        <f t="shared" ca="1" si="81"/>
        <v>0.97155686346097603</v>
      </c>
      <c r="P156" s="60">
        <f t="shared" ca="1" si="81"/>
        <v>0.97236974209492477</v>
      </c>
      <c r="Q156" s="60">
        <f t="shared" ca="1" si="81"/>
        <v>0.97327228134170019</v>
      </c>
      <c r="R156" s="60">
        <f t="shared" ca="1" si="81"/>
        <v>0.97329413980678481</v>
      </c>
      <c r="S156" s="60">
        <f t="shared" ca="1" si="81"/>
        <v>0.97359397034927475</v>
      </c>
    </row>
    <row r="157" spans="1:19">
      <c r="A157" s="5" t="s">
        <v>1468</v>
      </c>
      <c r="B157" s="3"/>
      <c r="C157" s="3"/>
      <c r="D157" s="29">
        <f t="shared" ref="D157:S157" ca="1" si="82">D65+D98+D131</f>
        <v>51.872599999999998</v>
      </c>
      <c r="E157" s="29">
        <f t="shared" ca="1" si="82"/>
        <v>97.349721735748318</v>
      </c>
      <c r="F157" s="29">
        <f t="shared" ca="1" si="82"/>
        <v>297.77810519323981</v>
      </c>
      <c r="G157" s="29">
        <f t="shared" ca="1" si="82"/>
        <v>406.20422213555281</v>
      </c>
      <c r="H157" s="29">
        <f t="shared" ca="1" si="82"/>
        <v>794.91332820207549</v>
      </c>
      <c r="I157" s="29">
        <f t="shared" ca="1" si="82"/>
        <v>2014.7748729178302</v>
      </c>
      <c r="J157" s="29">
        <f t="shared" ca="1" si="82"/>
        <v>4369.9735274059431</v>
      </c>
      <c r="K157" s="29">
        <f t="shared" ca="1" si="82"/>
        <v>6665.6365863127403</v>
      </c>
      <c r="L157" s="29">
        <f t="shared" ca="1" si="82"/>
        <v>7803.1502563210579</v>
      </c>
      <c r="M157" s="29">
        <f t="shared" ca="1" si="82"/>
        <v>9859.8742184976581</v>
      </c>
      <c r="N157" s="29">
        <f t="shared" ca="1" si="82"/>
        <v>13421.141322094414</v>
      </c>
      <c r="O157" s="29">
        <f t="shared" ca="1" si="82"/>
        <v>19707.67884732506</v>
      </c>
      <c r="P157" s="29">
        <f t="shared" ca="1" si="82"/>
        <v>27557.816680546592</v>
      </c>
      <c r="Q157" s="29">
        <f t="shared" ca="1" si="82"/>
        <v>36156.905183952811</v>
      </c>
      <c r="R157" s="29">
        <f t="shared" ca="1" si="82"/>
        <v>49239.752069701404</v>
      </c>
      <c r="S157" s="29">
        <f t="shared" ca="1" si="82"/>
        <v>68159.791778393454</v>
      </c>
    </row>
    <row r="158" spans="1:19">
      <c r="A158" s="5" t="s">
        <v>1469</v>
      </c>
      <c r="B158" s="3"/>
      <c r="C158" s="3"/>
      <c r="D158" s="29">
        <f t="shared" ref="D158:S158" ca="1" si="83">D72+D105+D132+D179</f>
        <v>2072.45975</v>
      </c>
      <c r="E158" s="29">
        <f t="shared" ca="1" si="83"/>
        <v>2721.9356819361115</v>
      </c>
      <c r="F158" s="29">
        <f t="shared" ca="1" si="83"/>
        <v>4283.5269583652571</v>
      </c>
      <c r="G158" s="29">
        <f t="shared" ca="1" si="83"/>
        <v>2181.6883585515557</v>
      </c>
      <c r="H158" s="29">
        <f t="shared" ca="1" si="83"/>
        <v>4039.1584850364038</v>
      </c>
      <c r="I158" s="29">
        <f t="shared" ca="1" si="83"/>
        <v>9419.6372674902159</v>
      </c>
      <c r="J158" s="29">
        <f t="shared" ca="1" si="83"/>
        <v>17642.417538937185</v>
      </c>
      <c r="K158" s="29">
        <f t="shared" ca="1" si="83"/>
        <v>22653.193640072557</v>
      </c>
      <c r="L158" s="29">
        <f t="shared" ca="1" si="83"/>
        <v>21341.346830397546</v>
      </c>
      <c r="M158" s="29">
        <f t="shared" ca="1" si="83"/>
        <v>25949.685004685733</v>
      </c>
      <c r="N158" s="29">
        <f t="shared" ca="1" si="83"/>
        <v>34604.464659031029</v>
      </c>
      <c r="O158" s="29">
        <f t="shared" ca="1" si="83"/>
        <v>50079.146422718324</v>
      </c>
      <c r="P158" s="29">
        <f t="shared" ca="1" si="83"/>
        <v>67762.947630385068</v>
      </c>
      <c r="Q158" s="29">
        <f t="shared" ca="1" si="83"/>
        <v>84521.859601312841</v>
      </c>
      <c r="R158" s="29">
        <f t="shared" ca="1" si="83"/>
        <v>110007.23325464348</v>
      </c>
      <c r="S158" s="29">
        <f t="shared" ca="1" si="83"/>
        <v>143233.42399738322</v>
      </c>
    </row>
    <row r="159" spans="1:19">
      <c r="A159" s="5" t="s">
        <v>1470</v>
      </c>
      <c r="B159" s="3"/>
      <c r="C159" s="3"/>
      <c r="D159" s="70">
        <f ca="1">D66+D99+D133+'Facilities Build'!D64+D213</f>
        <v>0</v>
      </c>
      <c r="E159" s="70">
        <f ca="1">E66+E99+E133+'Facilities Build'!E64+E213</f>
        <v>1850.0139662599015</v>
      </c>
      <c r="F159" s="70">
        <f ca="1">F66+F99+F133+'Facilities Build'!F64+F213</f>
        <v>4388.937689090274</v>
      </c>
      <c r="G159" s="70">
        <f ca="1">G66+G99+G133+'Facilities Build'!G64+G213</f>
        <v>6748.8402777913643</v>
      </c>
      <c r="H159" s="70">
        <f ca="1">H66+H99+H133+'Facilities Build'!H64+H213</f>
        <v>9484.0309376855093</v>
      </c>
      <c r="I159" s="70">
        <f ca="1">I66+I99+I133+'Facilities Build'!I64+I213</f>
        <v>16649.454226873695</v>
      </c>
      <c r="J159" s="70">
        <f ca="1">J66+J99+J133+'Facilities Build'!J64+J213</f>
        <v>30439.785204159292</v>
      </c>
      <c r="K159" s="70">
        <f ca="1">K66+K99+K133+'Facilities Build'!K64+K213</f>
        <v>45640.254470457483</v>
      </c>
      <c r="L159" s="70">
        <f ca="1">L66+L99+L133+'Facilities Build'!L64+L213</f>
        <v>54819.274352055181</v>
      </c>
      <c r="M159" s="70">
        <f ca="1">M66+M99+M133+'Facilities Build'!M64+M213</f>
        <v>64707.839856537532</v>
      </c>
      <c r="N159" s="70">
        <f ca="1">N66+N99+N133+'Facilities Build'!N64+N213</f>
        <v>76920.181468214883</v>
      </c>
      <c r="O159" s="70">
        <f ca="1">O66+O99+O133+'Facilities Build'!O64+O213</f>
        <v>93370.385751129637</v>
      </c>
      <c r="P159" s="70">
        <f ca="1">P66+P99+P133+'Facilities Build'!P64+P213</f>
        <v>117808.7893975871</v>
      </c>
      <c r="Q159" s="70">
        <f ca="1">Q66+Q99+Q133+'Facilities Build'!Q64+Q213</f>
        <v>148550.89349637981</v>
      </c>
      <c r="R159" s="70">
        <f ca="1">R66+R99+R133+'Facilities Build'!R64+R213</f>
        <v>188636.37959315145</v>
      </c>
      <c r="S159" s="70">
        <f ca="1">S66+S99+S133+'Facilities Build'!S64+S213</f>
        <v>238809.51001058699</v>
      </c>
    </row>
    <row r="160" spans="1:19">
      <c r="A160" s="78" t="s">
        <v>1471</v>
      </c>
      <c r="B160" s="78"/>
      <c r="C160" s="78"/>
      <c r="D160" s="81">
        <f t="shared" ref="D160:S160" ca="1" si="84">D155-D157-D158-D159</f>
        <v>-1641.2673500000001</v>
      </c>
      <c r="E160" s="81">
        <f t="shared" ca="1" si="84"/>
        <v>-2920.6252090158387</v>
      </c>
      <c r="F160" s="81">
        <f t="shared" ca="1" si="84"/>
        <v>-2734.0783601727917</v>
      </c>
      <c r="G160" s="81">
        <f t="shared" ca="1" si="84"/>
        <v>-1081.7190571780729</v>
      </c>
      <c r="H160" s="81">
        <f t="shared" ca="1" si="84"/>
        <v>2472.5802063424289</v>
      </c>
      <c r="I160" s="81">
        <f t="shared" ca="1" si="84"/>
        <v>16984.009017578097</v>
      </c>
      <c r="J160" s="81">
        <f t="shared" ca="1" si="84"/>
        <v>47927.022340261894</v>
      </c>
      <c r="K160" s="81">
        <f t="shared" ca="1" si="84"/>
        <v>79174.308902715158</v>
      </c>
      <c r="L160" s="81">
        <f t="shared" ca="1" si="84"/>
        <v>94972.665864339302</v>
      </c>
      <c r="M160" s="81">
        <f t="shared" ca="1" si="84"/>
        <v>122776.86032559371</v>
      </c>
      <c r="N160" s="81">
        <f t="shared" ca="1" si="84"/>
        <v>175290.48486149037</v>
      </c>
      <c r="O160" s="81">
        <f t="shared" ca="1" si="84"/>
        <v>272508.09109640319</v>
      </c>
      <c r="P160" s="81">
        <f t="shared" ca="1" si="84"/>
        <v>386089.00633553555</v>
      </c>
      <c r="Q160" s="81">
        <f t="shared" ca="1" si="84"/>
        <v>497324.55837569141</v>
      </c>
      <c r="R160" s="81">
        <f t="shared" ca="1" si="84"/>
        <v>664845.03830935014</v>
      </c>
      <c r="S160" s="81">
        <f t="shared" ca="1" si="84"/>
        <v>895586.4825700894</v>
      </c>
    </row>
    <row r="161" spans="1:19">
      <c r="A161" s="5" t="s">
        <v>1472</v>
      </c>
      <c r="B161" s="3"/>
      <c r="C161" s="3"/>
      <c r="D161" s="70">
        <f ca="1">D74+D107+D135+'Facilities Build'!D63+D212</f>
        <v>0</v>
      </c>
      <c r="E161" s="70">
        <f ca="1">E74+E107+E135+'Facilities Build'!E63+E212</f>
        <v>17588.433452231853</v>
      </c>
      <c r="F161" s="70">
        <f ca="1">F74+F107+F135+'Facilities Build'!F63+F212</f>
        <v>27905.221181949826</v>
      </c>
      <c r="G161" s="70">
        <f ca="1">G74+G107+G135+'Facilities Build'!G63+G212</f>
        <v>17637.464100821333</v>
      </c>
      <c r="H161" s="70">
        <f ca="1">H74+H107+H135+'Facilities Build'!H63+H212</f>
        <v>17355.361039800144</v>
      </c>
      <c r="I161" s="70">
        <f ca="1">I74+I107+I135+'Facilities Build'!I63+I212</f>
        <v>45254.266085994102</v>
      </c>
      <c r="J161" s="70">
        <f ca="1">J74+J107+J135+'Facilities Build'!J63+J212</f>
        <v>82395.577721369846</v>
      </c>
      <c r="K161" s="70">
        <f ca="1">K74+K107+K135+'Facilities Build'!K63+K212</f>
        <v>123720.43905456817</v>
      </c>
      <c r="L161" s="70">
        <f ca="1">L74+L107+L135+'Facilities Build'!L63+L212</f>
        <v>92370.275139522913</v>
      </c>
      <c r="M161" s="70">
        <f ca="1">M74+M107+M135+'Facilities Build'!M63+M212</f>
        <v>119530.10822037797</v>
      </c>
      <c r="N161" s="70">
        <f ca="1">N74+N107+N135+'Facilities Build'!N63+N212</f>
        <v>161064.63558497871</v>
      </c>
      <c r="O161" s="70">
        <f ca="1">O74+O107+O135+'Facilities Build'!O63+O212</f>
        <v>239918.27902586077</v>
      </c>
      <c r="P161" s="70">
        <f ca="1">P74+P107+P135+'Facilities Build'!P63+P212</f>
        <v>317208.9626936689</v>
      </c>
      <c r="Q161" s="70">
        <f ca="1">Q74+Q107+Q135+'Facilities Build'!Q63+Q212</f>
        <v>369002.33226612792</v>
      </c>
      <c r="R161" s="70">
        <f ca="1">R74+R107+R135+'Facilities Build'!R63+R212</f>
        <v>483963.52598951885</v>
      </c>
      <c r="S161" s="70">
        <f ca="1">S74+S107+S135+'Facilities Build'!S63+S212</f>
        <v>619237.46748286788</v>
      </c>
    </row>
    <row r="162" spans="1:19">
      <c r="A162" s="98" t="s">
        <v>1473</v>
      </c>
      <c r="B162" s="78"/>
      <c r="C162" s="78"/>
      <c r="D162" s="81">
        <f t="shared" ref="D162:S162" ca="1" si="85">D160+D159-D161</f>
        <v>-1641.2673500000001</v>
      </c>
      <c r="E162" s="81">
        <f t="shared" ca="1" si="85"/>
        <v>-18659.044694987791</v>
      </c>
      <c r="F162" s="81">
        <f t="shared" ca="1" si="85"/>
        <v>-26250.361853032344</v>
      </c>
      <c r="G162" s="81">
        <f t="shared" ca="1" si="85"/>
        <v>-11970.342880208042</v>
      </c>
      <c r="H162" s="81">
        <f t="shared" ca="1" si="85"/>
        <v>-5398.7498957722055</v>
      </c>
      <c r="I162" s="81">
        <f t="shared" ca="1" si="85"/>
        <v>-11620.80284154231</v>
      </c>
      <c r="J162" s="81">
        <f t="shared" ca="1" si="85"/>
        <v>-4028.7701769486594</v>
      </c>
      <c r="K162" s="81">
        <f t="shared" ca="1" si="85"/>
        <v>1094.124318604474</v>
      </c>
      <c r="L162" s="81">
        <f t="shared" ca="1" si="85"/>
        <v>57421.665076871577</v>
      </c>
      <c r="M162" s="81">
        <f t="shared" ca="1" si="85"/>
        <v>67954.591961753264</v>
      </c>
      <c r="N162" s="81">
        <f t="shared" ca="1" si="85"/>
        <v>91146.030744726566</v>
      </c>
      <c r="O162" s="81">
        <f t="shared" ca="1" si="85"/>
        <v>125960.19782167207</v>
      </c>
      <c r="P162" s="81">
        <f t="shared" ca="1" si="85"/>
        <v>186688.83303945372</v>
      </c>
      <c r="Q162" s="81">
        <f t="shared" ca="1" si="85"/>
        <v>276873.11960594333</v>
      </c>
      <c r="R162" s="81">
        <f t="shared" ca="1" si="85"/>
        <v>369517.89191298268</v>
      </c>
      <c r="S162" s="81">
        <f t="shared" ca="1" si="85"/>
        <v>515158.52509780857</v>
      </c>
    </row>
    <row r="163" spans="1:19">
      <c r="A163" s="5" t="s">
        <v>1474</v>
      </c>
      <c r="B163" s="3"/>
      <c r="C163" s="3"/>
      <c r="D163" s="29">
        <f t="shared" ref="D163:R163" ca="1" si="86">E59</f>
        <v>34238621.88016355</v>
      </c>
      <c r="E163" s="29">
        <f t="shared" ca="1" si="86"/>
        <v>39852469.651219949</v>
      </c>
      <c r="F163" s="29">
        <f t="shared" ca="1" si="86"/>
        <v>46524700.852636851</v>
      </c>
      <c r="G163" s="29">
        <f t="shared" ca="1" si="86"/>
        <v>52710697.540412709</v>
      </c>
      <c r="H163" s="29">
        <f t="shared" ca="1" si="86"/>
        <v>56035609.797379062</v>
      </c>
      <c r="I163" s="29">
        <f t="shared" ca="1" si="86"/>
        <v>51504751.157255575</v>
      </c>
      <c r="J163" s="29">
        <f t="shared" ca="1" si="86"/>
        <v>32151236.263311077</v>
      </c>
      <c r="K163" s="29">
        <f t="shared" ca="1" si="86"/>
        <v>19775941.981744822</v>
      </c>
      <c r="L163" s="29">
        <f t="shared" ca="1" si="86"/>
        <v>27461483.779545944</v>
      </c>
      <c r="M163" s="29">
        <f t="shared" ca="1" si="86"/>
        <v>40452303.779511757</v>
      </c>
      <c r="N163" s="29">
        <f t="shared" ca="1" si="86"/>
        <v>61565752.855125733</v>
      </c>
      <c r="O163" s="29">
        <f t="shared" ca="1" si="86"/>
        <v>67618898.202513233</v>
      </c>
      <c r="P163" s="29">
        <f t="shared" ca="1" si="86"/>
        <v>65856635.756853767</v>
      </c>
      <c r="Q163" s="29">
        <f t="shared" ca="1" si="86"/>
        <v>85793663.150248677</v>
      </c>
      <c r="R163" s="29">
        <f t="shared" ca="1" si="86"/>
        <v>116041833.19738825</v>
      </c>
      <c r="S163" s="18">
        <v>0</v>
      </c>
    </row>
    <row r="164" spans="1:19">
      <c r="A164" s="82" t="s">
        <v>1475</v>
      </c>
      <c r="B164" s="94"/>
      <c r="C164" s="94"/>
      <c r="D164" s="114">
        <f t="shared" ref="D164:S164" ca="1" si="87">IF(D182&lt;=0,0,IFERROR(MIN(3,IFERROR(RATE(D185,D182,-D184,0,0,0.1),IFERROR(RATE(D185,D182,-D184,0,0,0.5),RATE(D185,D182,-D184,0,0,1.5)))),IF(D182*D185&gt;D184,3,0)))</f>
        <v>0</v>
      </c>
      <c r="E164" s="114">
        <f t="shared" ca="1" si="87"/>
        <v>0</v>
      </c>
      <c r="F164" s="114">
        <f t="shared" ca="1" si="87"/>
        <v>-4.8748517787806783E-3</v>
      </c>
      <c r="G164" s="114">
        <f t="shared" ca="1" si="87"/>
        <v>0.13436333955388979</v>
      </c>
      <c r="H164" s="114">
        <f t="shared" ca="1" si="87"/>
        <v>0.1800699877389122</v>
      </c>
      <c r="I164" s="114">
        <f t="shared" ca="1" si="87"/>
        <v>0.29955224433626382</v>
      </c>
      <c r="J164" s="114">
        <f t="shared" ca="1" si="87"/>
        <v>0.40988070937061677</v>
      </c>
      <c r="K164" s="114">
        <f t="shared" ca="1" si="87"/>
        <v>0.43552653119439338</v>
      </c>
      <c r="L164" s="114">
        <f t="shared" ca="1" si="87"/>
        <v>0.44557575010580985</v>
      </c>
      <c r="M164" s="114">
        <f t="shared" ca="1" si="87"/>
        <v>0.46827772397716627</v>
      </c>
      <c r="N164" s="114">
        <f t="shared" ca="1" si="87"/>
        <v>0.52142390515181636</v>
      </c>
      <c r="O164" s="114">
        <f t="shared" ca="1" si="87"/>
        <v>0.59830076003014521</v>
      </c>
      <c r="P164" s="114">
        <f t="shared" ca="1" si="87"/>
        <v>0.65553134373027622</v>
      </c>
      <c r="Q164" s="114">
        <f t="shared" ca="1" si="87"/>
        <v>0.70016665947734091</v>
      </c>
      <c r="R164" s="114">
        <f t="shared" ca="1" si="87"/>
        <v>0.75562211533868917</v>
      </c>
      <c r="S164" s="114">
        <f t="shared" ca="1" si="87"/>
        <v>0.82582727870742656</v>
      </c>
    </row>
    <row r="165" spans="1:19">
      <c r="A165" s="5" t="s">
        <v>1476</v>
      </c>
      <c r="B165" s="3"/>
      <c r="C165" s="3"/>
      <c r="D165" s="141">
        <f t="shared" ref="D165:S165" ca="1" si="88">D81</f>
        <v>0</v>
      </c>
      <c r="E165" s="141">
        <f t="shared" ca="1" si="88"/>
        <v>0</v>
      </c>
      <c r="F165" s="141">
        <f t="shared" ca="1" si="88"/>
        <v>0</v>
      </c>
      <c r="G165" s="141">
        <f t="shared" ca="1" si="88"/>
        <v>12</v>
      </c>
      <c r="H165" s="141">
        <f t="shared" ca="1" si="88"/>
        <v>34.700000000000003</v>
      </c>
      <c r="I165" s="141">
        <f t="shared" ca="1" si="88"/>
        <v>83.471698113207552</v>
      </c>
      <c r="J165" s="141">
        <f t="shared" ca="1" si="88"/>
        <v>173.4</v>
      </c>
      <c r="K165" s="141">
        <f t="shared" ca="1" si="88"/>
        <v>162.01769911504425</v>
      </c>
      <c r="L165" s="141">
        <f t="shared" ca="1" si="88"/>
        <v>99.188034188034194</v>
      </c>
      <c r="M165" s="141">
        <f t="shared" ca="1" si="88"/>
        <v>138.31666666666666</v>
      </c>
      <c r="N165" s="141">
        <f t="shared" ca="1" si="88"/>
        <v>203</v>
      </c>
      <c r="O165" s="141">
        <f t="shared" ca="1" si="88"/>
        <v>308.046875</v>
      </c>
      <c r="P165" s="141">
        <f t="shared" ca="1" si="88"/>
        <v>340.18320610687022</v>
      </c>
      <c r="Q165" s="141">
        <f t="shared" ca="1" si="88"/>
        <v>330.8</v>
      </c>
      <c r="R165" s="141">
        <f t="shared" ca="1" si="88"/>
        <v>430.64028776978415</v>
      </c>
      <c r="S165" s="141">
        <f t="shared" ca="1" si="88"/>
        <v>547.15384615384619</v>
      </c>
    </row>
    <row r="166" spans="1:19">
      <c r="A166" s="5" t="s">
        <v>1477</v>
      </c>
      <c r="B166" s="3"/>
      <c r="C166" s="3"/>
      <c r="D166" s="29">
        <f t="shared" ref="D166:S166" si="89">D82</f>
        <v>0</v>
      </c>
      <c r="E166" s="29">
        <f t="shared" si="89"/>
        <v>0</v>
      </c>
      <c r="F166" s="29">
        <f t="shared" si="89"/>
        <v>0</v>
      </c>
      <c r="G166" s="29">
        <f t="shared" si="89"/>
        <v>0</v>
      </c>
      <c r="H166" s="29">
        <f t="shared" si="89"/>
        <v>0</v>
      </c>
      <c r="I166" s="29">
        <f t="shared" si="89"/>
        <v>0</v>
      </c>
      <c r="J166" s="29">
        <f t="shared" si="89"/>
        <v>0</v>
      </c>
      <c r="K166" s="29">
        <f t="shared" si="89"/>
        <v>0</v>
      </c>
      <c r="L166" s="29">
        <f t="shared" si="89"/>
        <v>0</v>
      </c>
      <c r="M166" s="29">
        <f t="shared" si="89"/>
        <v>0</v>
      </c>
      <c r="N166" s="29">
        <f t="shared" si="89"/>
        <v>0</v>
      </c>
      <c r="O166" s="29">
        <f t="shared" si="89"/>
        <v>0</v>
      </c>
      <c r="P166" s="29">
        <f t="shared" si="89"/>
        <v>0</v>
      </c>
      <c r="Q166" s="29">
        <f t="shared" si="89"/>
        <v>0</v>
      </c>
      <c r="R166" s="29">
        <f t="shared" si="89"/>
        <v>0</v>
      </c>
      <c r="S166" s="29">
        <f t="shared" si="89"/>
        <v>0</v>
      </c>
    </row>
    <row r="16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13" t="s">
        <v>1478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>
      <c r="A169" s="147" t="s">
        <v>1479</v>
      </c>
      <c r="B169" s="148"/>
      <c r="C169" s="148"/>
      <c r="D169" s="149">
        <f t="shared" ref="D169:S169" ca="1" si="90">(D69+D102)-D129</f>
        <v>0</v>
      </c>
      <c r="E169" s="149">
        <f t="shared" ca="1" si="90"/>
        <v>0</v>
      </c>
      <c r="F169" s="149">
        <f t="shared" ca="1" si="90"/>
        <v>0</v>
      </c>
      <c r="G169" s="149">
        <f t="shared" ca="1" si="90"/>
        <v>0</v>
      </c>
      <c r="H169" s="149">
        <f t="shared" ca="1" si="90"/>
        <v>0</v>
      </c>
      <c r="I169" s="149">
        <f t="shared" ca="1" si="90"/>
        <v>0</v>
      </c>
      <c r="J169" s="149">
        <f t="shared" ca="1" si="90"/>
        <v>0</v>
      </c>
      <c r="K169" s="149">
        <f t="shared" ca="1" si="90"/>
        <v>0</v>
      </c>
      <c r="L169" s="149">
        <f t="shared" ca="1" si="90"/>
        <v>0</v>
      </c>
      <c r="M169" s="149">
        <f t="shared" ca="1" si="90"/>
        <v>0</v>
      </c>
      <c r="N169" s="149">
        <f t="shared" ca="1" si="90"/>
        <v>0</v>
      </c>
      <c r="O169" s="149">
        <f t="shared" ca="1" si="90"/>
        <v>0</v>
      </c>
      <c r="P169" s="149">
        <f t="shared" ca="1" si="90"/>
        <v>0</v>
      </c>
      <c r="Q169" s="149">
        <f t="shared" ca="1" si="90"/>
        <v>0</v>
      </c>
      <c r="R169" s="149">
        <f t="shared" ca="1" si="90"/>
        <v>0</v>
      </c>
      <c r="S169" s="149">
        <f t="shared" ca="1" si="90"/>
        <v>0</v>
      </c>
    </row>
    <row r="170" spans="1:19">
      <c r="A170" s="150" t="s">
        <v>1480</v>
      </c>
      <c r="B170" s="150"/>
      <c r="C170" s="150"/>
      <c r="D170" s="151">
        <f t="shared" ref="D170:S170" ca="1" si="91">(D160+D159-D161)-D162</f>
        <v>0</v>
      </c>
      <c r="E170" s="151">
        <f t="shared" ca="1" si="91"/>
        <v>0</v>
      </c>
      <c r="F170" s="151">
        <f t="shared" ca="1" si="91"/>
        <v>0</v>
      </c>
      <c r="G170" s="151">
        <f t="shared" ca="1" si="91"/>
        <v>0</v>
      </c>
      <c r="H170" s="151">
        <f t="shared" ca="1" si="91"/>
        <v>0</v>
      </c>
      <c r="I170" s="151">
        <f t="shared" ca="1" si="91"/>
        <v>0</v>
      </c>
      <c r="J170" s="151">
        <f t="shared" ca="1" si="91"/>
        <v>0</v>
      </c>
      <c r="K170" s="151">
        <f t="shared" ca="1" si="91"/>
        <v>0</v>
      </c>
      <c r="L170" s="151">
        <f t="shared" ca="1" si="91"/>
        <v>0</v>
      </c>
      <c r="M170" s="151">
        <f t="shared" ca="1" si="91"/>
        <v>0</v>
      </c>
      <c r="N170" s="151">
        <f t="shared" ca="1" si="91"/>
        <v>0</v>
      </c>
      <c r="O170" s="151">
        <f t="shared" ca="1" si="91"/>
        <v>0</v>
      </c>
      <c r="P170" s="151">
        <f t="shared" ca="1" si="91"/>
        <v>0</v>
      </c>
      <c r="Q170" s="151">
        <f t="shared" ca="1" si="91"/>
        <v>0</v>
      </c>
      <c r="R170" s="151">
        <f t="shared" ca="1" si="91"/>
        <v>0</v>
      </c>
      <c r="S170" s="151">
        <f t="shared" ca="1" si="91"/>
        <v>0</v>
      </c>
    </row>
    <row r="171" spans="1:1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48" t="s">
        <v>1481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>
      <c r="A173" s="5" t="s">
        <v>1482</v>
      </c>
      <c r="B173" s="3"/>
      <c r="C173" s="3"/>
      <c r="D173" s="29">
        <f t="shared" ref="D173:S173" ca="1" si="92">D154</f>
        <v>0</v>
      </c>
      <c r="E173" s="29">
        <f t="shared" ca="1" si="92"/>
        <v>63.952327628662125</v>
      </c>
      <c r="F173" s="29">
        <f t="shared" ca="1" si="92"/>
        <v>292.01762944085687</v>
      </c>
      <c r="G173" s="29">
        <f t="shared" ca="1" si="92"/>
        <v>513.38593644767002</v>
      </c>
      <c r="H173" s="29">
        <f t="shared" ca="1" si="92"/>
        <v>970.57737053318056</v>
      </c>
      <c r="I173" s="29">
        <f t="shared" ca="1" si="92"/>
        <v>2107.8764756553796</v>
      </c>
      <c r="J173" s="29">
        <f t="shared" ca="1" si="92"/>
        <v>3974.5775377373034</v>
      </c>
      <c r="K173" s="29">
        <f t="shared" ca="1" si="92"/>
        <v>5406.2823908690389</v>
      </c>
      <c r="L173" s="29">
        <f t="shared" ca="1" si="92"/>
        <v>5502.2610534203186</v>
      </c>
      <c r="M173" s="29">
        <f t="shared" ca="1" si="92"/>
        <v>6785.2758608928452</v>
      </c>
      <c r="N173" s="29">
        <f t="shared" ca="1" si="92"/>
        <v>8924.429852262143</v>
      </c>
      <c r="O173" s="29">
        <f t="shared" ca="1" si="92"/>
        <v>12754.464653054307</v>
      </c>
      <c r="P173" s="29">
        <f t="shared" ca="1" si="92"/>
        <v>17027.024431935402</v>
      </c>
      <c r="Q173" s="29">
        <f t="shared" ca="1" si="92"/>
        <v>21050.887641541362</v>
      </c>
      <c r="R173" s="29">
        <f t="shared" ca="1" si="92"/>
        <v>27787.882454160437</v>
      </c>
      <c r="S173" s="29">
        <f t="shared" ca="1" si="92"/>
        <v>36500.790701012418</v>
      </c>
    </row>
    <row r="174" spans="1:19">
      <c r="A174" s="5" t="s">
        <v>1429</v>
      </c>
      <c r="B174" s="3"/>
      <c r="C174" s="3"/>
      <c r="D174" s="141">
        <f t="shared" ref="D174:S174" ca="1" si="93">D165</f>
        <v>0</v>
      </c>
      <c r="E174" s="141">
        <f t="shared" ca="1" si="93"/>
        <v>0</v>
      </c>
      <c r="F174" s="141">
        <f t="shared" ca="1" si="93"/>
        <v>0</v>
      </c>
      <c r="G174" s="141">
        <f t="shared" ca="1" si="93"/>
        <v>12</v>
      </c>
      <c r="H174" s="141">
        <f t="shared" ca="1" si="93"/>
        <v>34.700000000000003</v>
      </c>
      <c r="I174" s="141">
        <f t="shared" ca="1" si="93"/>
        <v>83.471698113207552</v>
      </c>
      <c r="J174" s="141">
        <f t="shared" ca="1" si="93"/>
        <v>173.4</v>
      </c>
      <c r="K174" s="141">
        <f t="shared" ca="1" si="93"/>
        <v>162.01769911504425</v>
      </c>
      <c r="L174" s="141">
        <f t="shared" ca="1" si="93"/>
        <v>99.188034188034194</v>
      </c>
      <c r="M174" s="141">
        <f t="shared" ca="1" si="93"/>
        <v>138.31666666666666</v>
      </c>
      <c r="N174" s="141">
        <f t="shared" ca="1" si="93"/>
        <v>203</v>
      </c>
      <c r="O174" s="141">
        <f t="shared" ca="1" si="93"/>
        <v>308.046875</v>
      </c>
      <c r="P174" s="141">
        <f t="shared" ca="1" si="93"/>
        <v>340.18320610687022</v>
      </c>
      <c r="Q174" s="141">
        <f t="shared" ca="1" si="93"/>
        <v>330.8</v>
      </c>
      <c r="R174" s="141">
        <f t="shared" ca="1" si="93"/>
        <v>430.64028776978415</v>
      </c>
      <c r="S174" s="141">
        <f t="shared" ca="1" si="93"/>
        <v>547.15384615384619</v>
      </c>
    </row>
    <row r="175" spans="1:19">
      <c r="A175" s="5" t="s">
        <v>1033</v>
      </c>
      <c r="B175" s="3"/>
      <c r="C175" s="3"/>
      <c r="D175" s="29">
        <f t="shared" ref="D175:S175" si="94">D166</f>
        <v>0</v>
      </c>
      <c r="E175" s="29">
        <f t="shared" si="94"/>
        <v>0</v>
      </c>
      <c r="F175" s="29">
        <f t="shared" si="94"/>
        <v>0</v>
      </c>
      <c r="G175" s="29">
        <f t="shared" si="94"/>
        <v>0</v>
      </c>
      <c r="H175" s="29">
        <f t="shared" si="94"/>
        <v>0</v>
      </c>
      <c r="I175" s="29">
        <f t="shared" si="94"/>
        <v>0</v>
      </c>
      <c r="J175" s="29">
        <f t="shared" si="94"/>
        <v>0</v>
      </c>
      <c r="K175" s="29">
        <f t="shared" si="94"/>
        <v>0</v>
      </c>
      <c r="L175" s="29">
        <f t="shared" si="94"/>
        <v>0</v>
      </c>
      <c r="M175" s="29">
        <f t="shared" si="94"/>
        <v>0</v>
      </c>
      <c r="N175" s="29">
        <f t="shared" si="94"/>
        <v>0</v>
      </c>
      <c r="O175" s="29">
        <f t="shared" si="94"/>
        <v>0</v>
      </c>
      <c r="P175" s="29">
        <f t="shared" si="94"/>
        <v>0</v>
      </c>
      <c r="Q175" s="29">
        <f t="shared" si="94"/>
        <v>0</v>
      </c>
      <c r="R175" s="29">
        <f t="shared" si="94"/>
        <v>0</v>
      </c>
      <c r="S175" s="29">
        <f t="shared" si="94"/>
        <v>0</v>
      </c>
    </row>
    <row r="176" spans="1:1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>
      <c r="A177" s="13" t="s">
        <v>1483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>
      <c r="A178" s="5" t="s">
        <v>1484</v>
      </c>
      <c r="B178" s="3"/>
      <c r="C178" s="3"/>
      <c r="D178" s="110">
        <f>MAX(Assumptions!$B$309, Assumptions!$B$308*(1+Assumptions!$B$310)^D$5)</f>
        <v>0.1</v>
      </c>
      <c r="E178" s="110">
        <f>MAX(Assumptions!$B$309, Assumptions!$B$308*(1+Assumptions!$B$310)^E$5)</f>
        <v>9.0000000000000011E-2</v>
      </c>
      <c r="F178" s="110">
        <f>MAX(Assumptions!$B$309, Assumptions!$B$308*(1+Assumptions!$B$310)^F$5)</f>
        <v>8.1000000000000016E-2</v>
      </c>
      <c r="G178" s="110">
        <f>MAX(Assumptions!$B$309, Assumptions!$B$308*(1+Assumptions!$B$310)^G$5)</f>
        <v>7.2900000000000006E-2</v>
      </c>
      <c r="H178" s="110">
        <f>MAX(Assumptions!$B$309, Assumptions!$B$308*(1+Assumptions!$B$310)^H$5)</f>
        <v>6.5610000000000016E-2</v>
      </c>
      <c r="I178" s="110">
        <f>MAX(Assumptions!$B$309, Assumptions!$B$308*(1+Assumptions!$B$310)^I$5)</f>
        <v>5.9049000000000018E-2</v>
      </c>
      <c r="J178" s="110">
        <f>MAX(Assumptions!$B$309, Assumptions!$B$308*(1+Assumptions!$B$310)^J$5)</f>
        <v>5.314410000000002E-2</v>
      </c>
      <c r="K178" s="110">
        <f>MAX(Assumptions!$B$309, Assumptions!$B$308*(1+Assumptions!$B$310)^K$5)</f>
        <v>0.05</v>
      </c>
      <c r="L178" s="110">
        <f>MAX(Assumptions!$B$309, Assumptions!$B$308*(1+Assumptions!$B$310)^L$5)</f>
        <v>0.05</v>
      </c>
      <c r="M178" s="110">
        <f>MAX(Assumptions!$B$309, Assumptions!$B$308*(1+Assumptions!$B$310)^M$5)</f>
        <v>0.05</v>
      </c>
      <c r="N178" s="110">
        <f>MAX(Assumptions!$B$309, Assumptions!$B$308*(1+Assumptions!$B$310)^N$5)</f>
        <v>0.05</v>
      </c>
      <c r="O178" s="110">
        <f>MAX(Assumptions!$B$309, Assumptions!$B$308*(1+Assumptions!$B$310)^O$5)</f>
        <v>0.05</v>
      </c>
      <c r="P178" s="110">
        <f>MAX(Assumptions!$B$309, Assumptions!$B$308*(1+Assumptions!$B$310)^P$5)</f>
        <v>0.05</v>
      </c>
      <c r="Q178" s="110">
        <f>MAX(Assumptions!$B$309, Assumptions!$B$308*(1+Assumptions!$B$310)^Q$5)</f>
        <v>0.05</v>
      </c>
      <c r="R178" s="110">
        <f>MAX(Assumptions!$B$309, Assumptions!$B$308*(1+Assumptions!$B$310)^R$5)</f>
        <v>0.05</v>
      </c>
      <c r="S178" s="110">
        <f>MAX(Assumptions!$B$309, Assumptions!$B$308*(1+Assumptions!$B$310)^S$5)</f>
        <v>0.05</v>
      </c>
    </row>
    <row r="179" spans="1:19">
      <c r="A179" s="5" t="s">
        <v>1485</v>
      </c>
      <c r="B179" s="3"/>
      <c r="C179" s="3"/>
      <c r="D179" s="29">
        <f t="shared" ref="D179:S179" ca="1" si="95">(D58+D95)*D178</f>
        <v>0</v>
      </c>
      <c r="E179" s="29">
        <f t="shared" ca="1" si="95"/>
        <v>204.17980793018805</v>
      </c>
      <c r="F179" s="29">
        <f t="shared" ca="1" si="95"/>
        <v>466.11095865622889</v>
      </c>
      <c r="G179" s="29">
        <f t="shared" ca="1" si="95"/>
        <v>110.66877778353054</v>
      </c>
      <c r="H179" s="29">
        <f t="shared" ca="1" si="95"/>
        <v>373.49891640844857</v>
      </c>
      <c r="I179" s="29">
        <f t="shared" ca="1" si="95"/>
        <v>914.2292859830319</v>
      </c>
      <c r="J179" s="29">
        <f t="shared" ca="1" si="95"/>
        <v>1460.4933840372087</v>
      </c>
      <c r="K179" s="29">
        <f t="shared" ca="1" si="95"/>
        <v>1603.7076489168567</v>
      </c>
      <c r="L179" s="29">
        <f t="shared" ca="1" si="95"/>
        <v>752.86215891053405</v>
      </c>
      <c r="M179" s="29">
        <f t="shared" ca="1" si="95"/>
        <v>1073.2260852258523</v>
      </c>
      <c r="N179" s="29">
        <f t="shared" ca="1" si="95"/>
        <v>1546.7779675622426</v>
      </c>
      <c r="O179" s="29">
        <f t="shared" ca="1" si="95"/>
        <v>2399.3500829734253</v>
      </c>
      <c r="P179" s="29">
        <f t="shared" ca="1" si="95"/>
        <v>2713.3502179175739</v>
      </c>
      <c r="Q179" s="29">
        <f t="shared" ca="1" si="95"/>
        <v>2556.1525833222768</v>
      </c>
      <c r="R179" s="29">
        <f t="shared" ca="1" si="95"/>
        <v>3311.7766056228497</v>
      </c>
      <c r="S179" s="29">
        <f t="shared" ca="1" si="95"/>
        <v>3950.5922656345538</v>
      </c>
    </row>
    <row r="180" spans="1:19">
      <c r="A180" s="5" t="s">
        <v>1486</v>
      </c>
      <c r="B180" s="3"/>
      <c r="C180" s="3"/>
      <c r="D180" s="152">
        <f ca="1">'Facilities Build'!D57 - (D47+D86)*Assumptions!$B$312</f>
        <v>0</v>
      </c>
      <c r="E180" s="152">
        <f ca="1">'Facilities Build'!E57 - (E47+E86)*Assumptions!$B$312</f>
        <v>0</v>
      </c>
      <c r="F180" s="152">
        <f ca="1">'Facilities Build'!F57 - (F47+F86)*Assumptions!$B$312</f>
        <v>0</v>
      </c>
      <c r="G180" s="152">
        <f ca="1">'Facilities Build'!G57 - (G47+G86)*Assumptions!$B$312</f>
        <v>0</v>
      </c>
      <c r="H180" s="152">
        <f ca="1">'Facilities Build'!H57 - (H47+H86)*Assumptions!$B$312</f>
        <v>0</v>
      </c>
      <c r="I180" s="152">
        <f ca="1">'Facilities Build'!I57 - (I47+I86)*Assumptions!$B$312</f>
        <v>0</v>
      </c>
      <c r="J180" s="152">
        <f ca="1">'Facilities Build'!J57 - (J47+J86)*Assumptions!$B$312</f>
        <v>0</v>
      </c>
      <c r="K180" s="152">
        <f ca="1">'Facilities Build'!K57 - (K47+K86)*Assumptions!$B$312</f>
        <v>0</v>
      </c>
      <c r="L180" s="152">
        <f ca="1">'Facilities Build'!L57 - (L47+L86)*Assumptions!$B$312</f>
        <v>0</v>
      </c>
      <c r="M180" s="152">
        <f ca="1">'Facilities Build'!M57 - (M47+M86)*Assumptions!$B$312</f>
        <v>0</v>
      </c>
      <c r="N180" s="152">
        <f ca="1">'Facilities Build'!N57 - (N47+N86)*Assumptions!$B$312</f>
        <v>0</v>
      </c>
      <c r="O180" s="152">
        <f ca="1">'Facilities Build'!O57 - (O47+O86)*Assumptions!$B$312</f>
        <v>0</v>
      </c>
      <c r="P180" s="152">
        <f ca="1">'Facilities Build'!P57 - (P47+P86)*Assumptions!$B$312</f>
        <v>0</v>
      </c>
      <c r="Q180" s="152">
        <f ca="1">'Facilities Build'!Q57 - (Q47+Q86)*Assumptions!$B$312</f>
        <v>0</v>
      </c>
      <c r="R180" s="152">
        <f ca="1">'Facilities Build'!R57 - (R47+R86)*Assumptions!$B$312</f>
        <v>0</v>
      </c>
      <c r="S180" s="152">
        <f ca="1">'Facilities Build'!S57 - (S47+S86)*Assumptions!$B$312</f>
        <v>0</v>
      </c>
    </row>
    <row r="181" spans="1:1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>
      <c r="A182" s="5" t="s">
        <v>1487</v>
      </c>
      <c r="B182" s="3"/>
      <c r="C182" s="3"/>
      <c r="D182" s="153">
        <f t="shared" ref="D182:S182" ca="1" si="96">IFERROR((D153-D154-D157-D158)/D143,0)</f>
        <v>0</v>
      </c>
      <c r="E182" s="153">
        <f t="shared" ca="1" si="96"/>
        <v>-1.5420126720997E-6</v>
      </c>
      <c r="F182" s="153">
        <f t="shared" ca="1" si="96"/>
        <v>5.1710281012802492E-7</v>
      </c>
      <c r="G182" s="153">
        <f t="shared" ca="1" si="96"/>
        <v>1.3355217122846659E-6</v>
      </c>
      <c r="H182" s="153">
        <f t="shared" ca="1" si="96"/>
        <v>1.3308159550070856E-6</v>
      </c>
      <c r="I182" s="153">
        <f t="shared" ca="1" si="96"/>
        <v>1.290836327059144E-6</v>
      </c>
      <c r="J182" s="153">
        <f t="shared" ca="1" si="96"/>
        <v>1.2919218767775816E-6</v>
      </c>
      <c r="K182" s="153">
        <f t="shared" ca="1" si="96"/>
        <v>1.1185621509747406E-6</v>
      </c>
      <c r="L182" s="153">
        <f t="shared" ca="1" si="96"/>
        <v>1.0352260267416343E-6</v>
      </c>
      <c r="M182" s="153">
        <f t="shared" ca="1" si="96"/>
        <v>9.7301821684988644E-7</v>
      </c>
      <c r="N182" s="153">
        <f t="shared" ca="1" si="96"/>
        <v>9.7133234023592633E-7</v>
      </c>
      <c r="O182" s="153">
        <f t="shared" ca="1" si="96"/>
        <v>1.0188445764505182E-6</v>
      </c>
      <c r="P182" s="153">
        <f t="shared" ca="1" si="96"/>
        <v>9.9694712070039754E-7</v>
      </c>
      <c r="Q182" s="153">
        <f t="shared" ca="1" si="96"/>
        <v>9.1954126793591257E-7</v>
      </c>
      <c r="R182" s="153">
        <f t="shared" ca="1" si="96"/>
        <v>8.6013705883381901E-7</v>
      </c>
      <c r="S182" s="153">
        <f t="shared" ca="1" si="96"/>
        <v>8.2331212174466123E-7</v>
      </c>
    </row>
    <row r="183" spans="1:19">
      <c r="A183" s="5" t="s">
        <v>1488</v>
      </c>
      <c r="B183" s="3"/>
      <c r="C183" s="3"/>
      <c r="D183" s="29">
        <f ca="1">SUM($D$205:D205)</f>
        <v>0</v>
      </c>
      <c r="E183" s="29">
        <f ca="1">SUM($D$205:E205)</f>
        <v>7257.5846605651886</v>
      </c>
      <c r="F183" s="29">
        <f ca="1">SUM($D$205:F205)</f>
        <v>25818.29282152441</v>
      </c>
      <c r="G183" s="29">
        <f ca="1">SUM($D$205:G205)</f>
        <v>33912.48175634152</v>
      </c>
      <c r="H183" s="29">
        <f ca="1">SUM($D$205:H205)</f>
        <v>52553.949762929842</v>
      </c>
      <c r="I183" s="29">
        <f ca="1">SUM($D$205:I205)</f>
        <v>95946.821609194085</v>
      </c>
      <c r="J183" s="29">
        <f ca="1">SUM($D$205:J205)</f>
        <v>166185.93305438361</v>
      </c>
      <c r="K183" s="29">
        <f ca="1">SUM($D$205:K205)</f>
        <v>257737.59733197623</v>
      </c>
      <c r="L183" s="29">
        <f ca="1">SUM($D$205:L205)</f>
        <v>298624.03274984972</v>
      </c>
      <c r="M183" s="29">
        <f ca="1">SUM($D$205:M205)</f>
        <v>356503.96112877433</v>
      </c>
      <c r="N183" s="29">
        <f ca="1">SUM($D$205:N205)</f>
        <v>438492.44166224712</v>
      </c>
      <c r="O183" s="29">
        <f ca="1">SUM($D$205:O205)</f>
        <v>570204.47493102541</v>
      </c>
      <c r="P183" s="29">
        <f ca="1">SUM($D$205:P205)</f>
        <v>730466.51925497362</v>
      </c>
      <c r="Q183" s="29">
        <f ca="1">SUM($D$205:Q205)</f>
        <v>883782.89695450524</v>
      </c>
      <c r="R183" s="29">
        <f ca="1">SUM($D$205:R205)</f>
        <v>1092084.6364394168</v>
      </c>
      <c r="S183" s="29">
        <f ca="1">SUM($D$205:S205)</f>
        <v>1336979.6278922656</v>
      </c>
    </row>
    <row r="184" spans="1:19">
      <c r="A184" s="5" t="s">
        <v>1489</v>
      </c>
      <c r="B184" s="3"/>
      <c r="C184" s="3"/>
      <c r="D184" s="153">
        <f t="shared" ref="D184:S184" ca="1" si="97">IFERROR(D183/D143,0)</f>
        <v>0</v>
      </c>
      <c r="E184" s="153">
        <f t="shared" ca="1" si="97"/>
        <v>1.0453175782667505E-5</v>
      </c>
      <c r="F184" s="153">
        <f t="shared" ca="1" si="97"/>
        <v>8.0675810550325049E-6</v>
      </c>
      <c r="G184" s="153">
        <f t="shared" ca="1" si="97"/>
        <v>7.9918628771011853E-6</v>
      </c>
      <c r="H184" s="153">
        <f t="shared" ca="1" si="97"/>
        <v>5.8494529930482162E-6</v>
      </c>
      <c r="I184" s="153">
        <f t="shared" ca="1" si="97"/>
        <v>3.6823933919276565E-6</v>
      </c>
      <c r="J184" s="153">
        <f t="shared" ca="1" si="97"/>
        <v>2.7396706495151455E-6</v>
      </c>
      <c r="K184" s="153">
        <f t="shared" ca="1" si="97"/>
        <v>2.3097907284806676E-6</v>
      </c>
      <c r="L184" s="153">
        <f t="shared" ca="1" si="97"/>
        <v>2.063818456898226E-6</v>
      </c>
      <c r="M184" s="153">
        <f t="shared" ca="1" si="97"/>
        <v>1.8502035004480972E-6</v>
      </c>
      <c r="N184" s="153">
        <f t="shared" ca="1" si="97"/>
        <v>1.6887544675797521E-6</v>
      </c>
      <c r="O184" s="153">
        <f t="shared" ca="1" si="97"/>
        <v>1.5878215678518344E-6</v>
      </c>
      <c r="P184" s="153">
        <f t="shared" ca="1" si="97"/>
        <v>1.4452067449109867E-6</v>
      </c>
      <c r="Q184" s="153">
        <f t="shared" ca="1" si="97"/>
        <v>1.2582531868800402E-6</v>
      </c>
      <c r="R184" s="153">
        <f t="shared" ca="1" si="97"/>
        <v>1.1006009591785951E-6</v>
      </c>
      <c r="S184" s="153">
        <f t="shared" ca="1" si="97"/>
        <v>9.7034152215685389E-7</v>
      </c>
    </row>
    <row r="185" spans="1:19">
      <c r="A185" s="5" t="s">
        <v>1490</v>
      </c>
      <c r="B185" s="3"/>
      <c r="C185" s="3"/>
      <c r="D185" s="152">
        <f ca="1">IFERROR((D46*D48*Assumptions!$B$20+D92*Assumptions!$B$21)/(D46*D48+D92),Assumptions!$B$21)</f>
        <v>15</v>
      </c>
      <c r="E185" s="152">
        <f ca="1">IFERROR((E46*E48*Assumptions!$B$20+E92*Assumptions!$B$21)/(E46*E48+E92),Assumptions!$B$21)</f>
        <v>15.000000000000002</v>
      </c>
      <c r="F185" s="152">
        <f ca="1">IFERROR((F46*F48*Assumptions!$B$20+F92*Assumptions!$B$21)/(F46*F48+F92),Assumptions!$B$21)</f>
        <v>15</v>
      </c>
      <c r="G185" s="152">
        <f ca="1">IFERROR((G46*G48*Assumptions!$B$20+G92*Assumptions!$B$21)/(G46*G48+G92),Assumptions!$B$21)</f>
        <v>12.927948799360113</v>
      </c>
      <c r="H185" s="152">
        <f ca="1">IFERROR((H46*H48*Assumptions!$B$20+H92*Assumptions!$B$21)/(H46*H48+H92),Assumptions!$B$21)</f>
        <v>9.468339654757731</v>
      </c>
      <c r="I185" s="152">
        <f ca="1">IFERROR((I46*I48*Assumptions!$B$20+I92*Assumptions!$B$21)/(I46*I48+I92),Assumptions!$B$21)</f>
        <v>7.3576244420010539</v>
      </c>
      <c r="J185" s="152">
        <f ca="1">IFERROR((J46*J48*Assumptions!$B$20+J92*Assumptions!$B$21)/(J46*J48+J92),Assumptions!$B$21)</f>
        <v>5.9215534408086388</v>
      </c>
      <c r="K185" s="152">
        <f ca="1">IFERROR((K46*K48*Assumptions!$B$20+K92*Assumptions!$B$21)/(K46*K48+K92),Assumptions!$B$21)</f>
        <v>6.3509590141322594</v>
      </c>
      <c r="L185" s="152">
        <f ca="1">IFERROR((L46*L48*Assumptions!$B$20+L92*Assumptions!$B$21)/(L46*L48+L92),Assumptions!$B$21)</f>
        <v>5.9480591708823258</v>
      </c>
      <c r="M185" s="152">
        <f ca="1">IFERROR((M46*M48*Assumptions!$B$20+M92*Assumptions!$B$21)/(M46*M48+M92),Assumptions!$B$21)</f>
        <v>5.7570701173296488</v>
      </c>
      <c r="N185" s="152">
        <f ca="1">IFERROR((N46*N48*Assumptions!$B$20+N92*Assumptions!$B$21)/(N46*N48+N92),Assumptions!$B$21)</f>
        <v>5.6482764841834081</v>
      </c>
      <c r="O185" s="152">
        <f ca="1">IFERROR((O46*O48*Assumptions!$B$20+O92*Assumptions!$B$21)/(O46*O48+O92),Assumptions!$B$21)</f>
        <v>5.7459211858236712</v>
      </c>
      <c r="P185" s="152">
        <f ca="1">IFERROR((P46*P48*Assumptions!$B$20+P92*Assumptions!$B$21)/(P46*P48+P92),Assumptions!$B$21)</f>
        <v>5.9535906715779223</v>
      </c>
      <c r="Q185" s="152">
        <f ca="1">IFERROR((Q46*Q48*Assumptions!$B$20+Q92*Assumptions!$B$21)/(Q46*Q48+Q92),Assumptions!$B$21)</f>
        <v>5.9763505808231114</v>
      </c>
      <c r="R185" s="152">
        <f ca="1">IFERROR((R46*R48*Assumptions!$B$20+R92*Assumptions!$B$21)/(R46*R48+R92),Assumptions!$B$21)</f>
        <v>6.0538285116754329</v>
      </c>
      <c r="S185" s="152">
        <f ca="1">IFERROR((S46*S48*Assumptions!$B$20+S92*Assumptions!$B$21)/(S46*S48+S92),Assumptions!$B$21)</f>
        <v>6.0184565372910859</v>
      </c>
    </row>
    <row r="186" spans="1:19">
      <c r="A186" s="5" t="s">
        <v>1491</v>
      </c>
      <c r="B186" s="3"/>
      <c r="C186" s="3"/>
      <c r="D186" s="77">
        <f ca="1">IF(D$4&lt;Assumptions!$B$353, 'Cash Allocation Engine'!D90+'Cash Allocation Engine'!D88, 'Cash Allocation Engine'!D90)</f>
        <v>0</v>
      </c>
      <c r="E186" s="77">
        <f ca="1">IF(E$4&lt;Assumptions!$B$353, 'Cash Allocation Engine'!E90+'Cash Allocation Engine'!E88, 'Cash Allocation Engine'!E90)</f>
        <v>3537.237836340877</v>
      </c>
      <c r="F186" s="77">
        <f ca="1">IF(F$4&lt;Assumptions!$B$353, 'Cash Allocation Engine'!F90+'Cash Allocation Engine'!F88, 'Cash Allocation Engine'!F90)</f>
        <v>15969.14945236436</v>
      </c>
      <c r="G186" s="77">
        <f ca="1">IF(G$4&lt;Assumptions!$B$353, 'Cash Allocation Engine'!G90+'Cash Allocation Engine'!G88, 'Cash Allocation Engine'!G90)</f>
        <v>0</v>
      </c>
      <c r="H186" s="77">
        <f ca="1">IF(H$4&lt;Assumptions!$B$353, 'Cash Allocation Engine'!H90+'Cash Allocation Engine'!H88, 'Cash Allocation Engine'!H90)</f>
        <v>1470.006575497524</v>
      </c>
      <c r="I186" s="77">
        <f ca="1">IF(I$4&lt;Assumptions!$B$353, 'Cash Allocation Engine'!I90+'Cash Allocation Engine'!I88, 'Cash Allocation Engine'!I90)</f>
        <v>6812.6058238842197</v>
      </c>
      <c r="J186" s="77">
        <f ca="1">IF(J$4&lt;Assumptions!$B$353, 'Cash Allocation Engine'!J90+'Cash Allocation Engine'!J88, 'Cash Allocation Engine'!J90)</f>
        <v>0</v>
      </c>
      <c r="K186" s="77">
        <f ca="1">IF(K$4&lt;Assumptions!$B$353, 'Cash Allocation Engine'!K90+'Cash Allocation Engine'!K88, 'Cash Allocation Engine'!K90)</f>
        <v>20001.285506256165</v>
      </c>
      <c r="L186" s="77">
        <f ca="1">IF(L$4&lt;Assumptions!$B$353, 'Cash Allocation Engine'!L90+'Cash Allocation Engine'!L88, 'Cash Allocation Engine'!L90)</f>
        <v>0</v>
      </c>
      <c r="M186" s="77">
        <f ca="1">IF(M$4&lt;Assumptions!$B$353, 'Cash Allocation Engine'!M90+'Cash Allocation Engine'!M88, 'Cash Allocation Engine'!M90)</f>
        <v>3708.8650771119283</v>
      </c>
      <c r="N186" s="77">
        <f ca="1">IF(N$4&lt;Assumptions!$B$353, 'Cash Allocation Engine'!N90+'Cash Allocation Engine'!N88, 'Cash Allocation Engine'!N90)</f>
        <v>7520.3877169611078</v>
      </c>
      <c r="O186" s="77">
        <f ca="1">IF(O$4&lt;Assumptions!$B$353, 'Cash Allocation Engine'!O90+'Cash Allocation Engine'!O88, 'Cash Allocation Engine'!O90)</f>
        <v>22276.702031525172</v>
      </c>
      <c r="P186" s="77">
        <f ca="1">IF(P$4&lt;Assumptions!$B$353, 'Cash Allocation Engine'!P90+'Cash Allocation Engine'!P88, 'Cash Allocation Engine'!P90)</f>
        <v>42588.933399645888</v>
      </c>
      <c r="Q186" s="77">
        <f ca="1">IF(Q$4&lt;Assumptions!$B$353, 'Cash Allocation Engine'!Q90+'Cash Allocation Engine'!Q88, 'Cash Allocation Engine'!Q90)</f>
        <v>40732.559156342984</v>
      </c>
      <c r="R186" s="77">
        <f ca="1">IF(R$4&lt;Assumptions!$B$353, 'Cash Allocation Engine'!R90+'Cash Allocation Engine'!R88, 'Cash Allocation Engine'!R90)</f>
        <v>64134.058056803078</v>
      </c>
      <c r="S186" s="77">
        <f ca="1">IF(S$4&lt;Assumptions!$B$353, 'Cash Allocation Engine'!S90+'Cash Allocation Engine'!S88, 'Cash Allocation Engine'!S90)</f>
        <v>63507.376592235159</v>
      </c>
    </row>
    <row r="187" spans="1:19">
      <c r="A187" s="13" t="s">
        <v>1492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>
      <c r="A188" s="5" t="s">
        <v>1493</v>
      </c>
      <c r="B188" s="3"/>
      <c r="C188" s="3"/>
      <c r="D188" s="101">
        <f>Assumptions!$B$345</f>
        <v>3</v>
      </c>
      <c r="E188" s="101">
        <f>Assumptions!$B$368/(1+(Assumptions!$B$368/$D$188-1)*EXP(-Assumptions!$B$369*E$5))</f>
        <v>4.0489693223369985</v>
      </c>
      <c r="F188" s="101">
        <f>Assumptions!$B$368/(1+(Assumptions!$B$368/$D$188-1)*EXP(-Assumptions!$B$369*F$5))</f>
        <v>5.464431081946139</v>
      </c>
      <c r="G188" s="101">
        <f>Assumptions!$B$368/(1+(Assumptions!$B$368/$D$188-1)*EXP(-Assumptions!$B$369*G$5))</f>
        <v>7.3741964477233992</v>
      </c>
      <c r="H188" s="101">
        <f>Assumptions!$B$368/(1+(Assumptions!$B$368/$D$188-1)*EXP(-Assumptions!$B$369*H$5))</f>
        <v>9.9504566726745427</v>
      </c>
      <c r="I188" s="101">
        <f>Assumptions!$B$368/(1+(Assumptions!$B$368/$D$188-1)*EXP(-Assumptions!$B$369*I$5))</f>
        <v>13.425035012012666</v>
      </c>
      <c r="J188" s="101">
        <f>Assumptions!$B$368/(1+(Assumptions!$B$368/$D$188-1)*EXP(-Assumptions!$B$369*J$5))</f>
        <v>18.109750455181484</v>
      </c>
      <c r="K188" s="101">
        <f>Assumptions!$B$368/(1+(Assumptions!$B$368/$D$188-1)*EXP(-Assumptions!$B$369*K$5))</f>
        <v>24.423499901921485</v>
      </c>
      <c r="L188" s="101">
        <f>Assumptions!$B$368/(1+(Assumptions!$B$368/$D$188-1)*EXP(-Assumptions!$B$369*L$5))</f>
        <v>32.928081725776096</v>
      </c>
      <c r="M188" s="101">
        <f>Assumptions!$B$368/(1+(Assumptions!$B$368/$D$188-1)*EXP(-Assumptions!$B$369*M$5))</f>
        <v>44.37523104513177</v>
      </c>
      <c r="N188" s="101">
        <f>Assumptions!$B$368/(1+(Assumptions!$B$368/$D$188-1)*EXP(-Assumptions!$B$369*N$5))</f>
        <v>59.767739597745184</v>
      </c>
      <c r="O188" s="101">
        <f>Assumptions!$B$368/(1+(Assumptions!$B$368/$D$188-1)*EXP(-Assumptions!$B$369*O$5))</f>
        <v>80.437727617597972</v>
      </c>
      <c r="P188" s="101">
        <f>Assumptions!$B$368/(1+(Assumptions!$B$368/$D$188-1)*EXP(-Assumptions!$B$369*P$5))</f>
        <v>108.14480443018897</v>
      </c>
      <c r="Q188" s="101">
        <f>Assumptions!$B$368/(1+(Assumptions!$B$368/$D$188-1)*EXP(-Assumptions!$B$369*Q$5))</f>
        <v>145.19542691868168</v>
      </c>
      <c r="R188" s="101">
        <f>Assumptions!$B$368/(1+(Assumptions!$B$368/$D$188-1)*EXP(-Assumptions!$B$369*R$5))</f>
        <v>194.5812801031098</v>
      </c>
      <c r="S188" s="101">
        <f>Assumptions!$B$368/(1+(Assumptions!$B$368/$D$188-1)*EXP(-Assumptions!$B$369*S$5))</f>
        <v>260.12747878697104</v>
      </c>
    </row>
    <row r="189" spans="1:19">
      <c r="A189" s="5" t="s">
        <v>1494</v>
      </c>
      <c r="B189" s="3"/>
      <c r="C189" s="3"/>
      <c r="D189" s="70">
        <f>D188*1000000*Assumptions!$B$268*Assumptions!$B$264*D23*Assumptions!$B$454</f>
        <v>4730400000</v>
      </c>
      <c r="E189" s="70">
        <f>E188*1000000*Assumptions!$B$268*Assumptions!$B$264*E23*Assumptions!$B$454</f>
        <v>7820908163.639698</v>
      </c>
      <c r="F189" s="70">
        <f>F188*1000000*Assumptions!$B$268*Assumptions!$B$264*F23*Assumptions!$B$454</f>
        <v>12493656648.518375</v>
      </c>
      <c r="G189" s="70">
        <f>G188*1000000*Assumptions!$B$268*Assumptions!$B$264*G23*Assumptions!$B$454</f>
        <v>19476285205.940178</v>
      </c>
      <c r="H189" s="70">
        <f>H188*1000000*Assumptions!$B$268*Assumptions!$B$264*H23*Assumptions!$B$454</f>
        <v>29810772154.799114</v>
      </c>
      <c r="I189" s="70">
        <f>I188*1000000*Assumptions!$B$268*Assumptions!$B$264*I23*Assumptions!$B$454</f>
        <v>44983264814.750832</v>
      </c>
      <c r="J189" s="70">
        <f>J188*1000000*Assumptions!$B$268*Assumptions!$B$264*J23*Assumptions!$B$454</f>
        <v>60680340850.176605</v>
      </c>
      <c r="K189" s="70">
        <f>K188*1000000*Assumptions!$B$268*Assumptions!$B$264*K23*Assumptions!$B$454</f>
        <v>81835821121.368317</v>
      </c>
      <c r="L189" s="70">
        <f>L188*1000000*Assumptions!$B$268*Assumptions!$B$264*L23*Assumptions!$B$454</f>
        <v>110332123438.55798</v>
      </c>
      <c r="M189" s="70">
        <f>M188*1000000*Assumptions!$B$268*Assumptions!$B$264*M23*Assumptions!$B$454</f>
        <v>148688086662.923</v>
      </c>
      <c r="N189" s="70">
        <f>N188*1000000*Assumptions!$B$268*Assumptions!$B$264*N23*Assumptions!$B$454</f>
        <v>200263765070.16476</v>
      </c>
      <c r="O189" s="70">
        <f>O188*1000000*Assumptions!$B$268*Assumptions!$B$264*O23*Assumptions!$B$454</f>
        <v>269522693928.28552</v>
      </c>
      <c r="P189" s="70">
        <f>P188*1000000*Assumptions!$B$268*Assumptions!$B$264*P23*Assumptions!$B$454</f>
        <v>362360796204.23413</v>
      </c>
      <c r="Q189" s="70">
        <f>Q188*1000000*Assumptions!$B$268*Assumptions!$B$264*Q23*Assumptions!$B$454</f>
        <v>486506316976.42676</v>
      </c>
      <c r="R189" s="70">
        <f>R188*1000000*Assumptions!$B$268*Assumptions!$B$264*R23*Assumptions!$B$454</f>
        <v>651983495241.48999</v>
      </c>
      <c r="S189" s="70">
        <f>S188*1000000*Assumptions!$B$268*Assumptions!$B$264*S23*Assumptions!$B$454</f>
        <v>871609143171.50366</v>
      </c>
    </row>
    <row r="190" spans="1:19">
      <c r="A190" s="78" t="s">
        <v>1495</v>
      </c>
      <c r="B190" s="78"/>
      <c r="C190" s="78"/>
      <c r="D190" s="81">
        <f t="shared" ref="D190:S190" si="98">D142+D189</f>
        <v>4810623675.29</v>
      </c>
      <c r="E190" s="81">
        <f t="shared" si="98"/>
        <v>7942572139.8760786</v>
      </c>
      <c r="F190" s="81">
        <f t="shared" si="98"/>
        <v>12680908884.204889</v>
      </c>
      <c r="G190" s="81">
        <f t="shared" si="98"/>
        <v>19769146306.952496</v>
      </c>
      <c r="H190" s="81">
        <f t="shared" si="98"/>
        <v>30276679274.464287</v>
      </c>
      <c r="I190" s="81">
        <f t="shared" si="98"/>
        <v>45737677501.066765</v>
      </c>
      <c r="J190" s="81">
        <f t="shared" si="98"/>
        <v>61923937833.46093</v>
      </c>
      <c r="K190" s="81">
        <f t="shared" si="98"/>
        <v>83922358073.238937</v>
      </c>
      <c r="L190" s="81">
        <f t="shared" si="98"/>
        <v>113893465265.00737</v>
      </c>
      <c r="M190" s="81">
        <f t="shared" si="98"/>
        <v>154866783749.6044</v>
      </c>
      <c r="N190" s="81">
        <f t="shared" si="98"/>
        <v>211149624014.30774</v>
      </c>
      <c r="O190" s="81">
        <f t="shared" si="98"/>
        <v>288979460803.91046</v>
      </c>
      <c r="P190" s="81">
        <f t="shared" si="98"/>
        <v>397604790420.59692</v>
      </c>
      <c r="Q190" s="81">
        <f t="shared" si="98"/>
        <v>551145553079.04211</v>
      </c>
      <c r="R190" s="81">
        <f t="shared" si="98"/>
        <v>771914299912.92188</v>
      </c>
      <c r="S190" s="81">
        <f t="shared" si="98"/>
        <v>1096542765178.0001</v>
      </c>
    </row>
    <row r="191" spans="1:19">
      <c r="A191" s="5" t="s">
        <v>1496</v>
      </c>
      <c r="B191" s="3"/>
      <c r="C191" s="3"/>
      <c r="D191" s="70">
        <f>D190*(1+Assumptions!$B$346)</f>
        <v>5532217226.5834999</v>
      </c>
      <c r="E191" s="70">
        <f>E190*(1+Assumptions!$B$346)</f>
        <v>9133957960.8574905</v>
      </c>
      <c r="F191" s="70">
        <f>F190*(1+Assumptions!$B$346)</f>
        <v>14583045216.835621</v>
      </c>
      <c r="G191" s="70">
        <f>G190*(1+Assumptions!$B$346)</f>
        <v>22734518252.995369</v>
      </c>
      <c r="H191" s="70">
        <f>H190*(1+Assumptions!$B$346)</f>
        <v>34818181165.633926</v>
      </c>
      <c r="I191" s="70">
        <f>I190*(1+Assumptions!$B$346)</f>
        <v>52598329126.226776</v>
      </c>
      <c r="J191" s="70">
        <f>J190*(1+Assumptions!$B$346)</f>
        <v>71212528508.480057</v>
      </c>
      <c r="K191" s="70">
        <f>K190*(1+Assumptions!$B$346)</f>
        <v>96510711784.224777</v>
      </c>
      <c r="L191" s="70">
        <f>L190*(1+Assumptions!$B$346)</f>
        <v>130977485054.75847</v>
      </c>
      <c r="M191" s="70">
        <f>M190*(1+Assumptions!$B$346)</f>
        <v>178096801312.04504</v>
      </c>
      <c r="N191" s="70">
        <f>N190*(1+Assumptions!$B$346)</f>
        <v>242822067616.45389</v>
      </c>
      <c r="O191" s="70">
        <f>O190*(1+Assumptions!$B$346)</f>
        <v>332326379924.49701</v>
      </c>
      <c r="P191" s="70">
        <f>P190*(1+Assumptions!$B$346)</f>
        <v>457245508983.6864</v>
      </c>
      <c r="Q191" s="70">
        <f>Q190*(1+Assumptions!$B$346)</f>
        <v>633817386040.89844</v>
      </c>
      <c r="R191" s="70">
        <f>R190*(1+Assumptions!$B$346)</f>
        <v>887701444899.86011</v>
      </c>
      <c r="S191" s="70">
        <f>S190*(1+Assumptions!$B$346)</f>
        <v>1261024179954.7</v>
      </c>
    </row>
    <row r="192" spans="1:19">
      <c r="A192" s="78" t="s">
        <v>1497</v>
      </c>
      <c r="B192" s="78"/>
      <c r="C192" s="78"/>
      <c r="D192" s="154" t="str">
        <f t="shared" ref="D192:S192" ca="1" si="99">IF(D191&gt;D143,"SHORT","OK")</f>
        <v>SHORT</v>
      </c>
      <c r="E192" s="154" t="str">
        <f t="shared" ca="1" si="99"/>
        <v>SHORT</v>
      </c>
      <c r="F192" s="154" t="str">
        <f t="shared" ca="1" si="99"/>
        <v>SHORT</v>
      </c>
      <c r="G192" s="154" t="str">
        <f t="shared" ca="1" si="99"/>
        <v>SHORT</v>
      </c>
      <c r="H192" s="154" t="str">
        <f t="shared" ca="1" si="99"/>
        <v>SHORT</v>
      </c>
      <c r="I192" s="154" t="str">
        <f t="shared" ca="1" si="99"/>
        <v>SHORT</v>
      </c>
      <c r="J192" s="154" t="str">
        <f t="shared" ca="1" si="99"/>
        <v>SHORT</v>
      </c>
      <c r="K192" s="154" t="str">
        <f t="shared" ca="1" si="99"/>
        <v>OK</v>
      </c>
      <c r="L192" s="154" t="str">
        <f t="shared" ca="1" si="99"/>
        <v>OK</v>
      </c>
      <c r="M192" s="154" t="str">
        <f t="shared" ca="1" si="99"/>
        <v>OK</v>
      </c>
      <c r="N192" s="154" t="str">
        <f t="shared" ca="1" si="99"/>
        <v>OK</v>
      </c>
      <c r="O192" s="154" t="str">
        <f t="shared" ca="1" si="99"/>
        <v>OK</v>
      </c>
      <c r="P192" s="154" t="str">
        <f t="shared" ca="1" si="99"/>
        <v>OK</v>
      </c>
      <c r="Q192" s="154" t="str">
        <f t="shared" ca="1" si="99"/>
        <v>OK</v>
      </c>
      <c r="R192" s="154" t="str">
        <f t="shared" ca="1" si="99"/>
        <v>OK</v>
      </c>
      <c r="S192" s="154" t="str">
        <f t="shared" ca="1" si="99"/>
        <v>OK</v>
      </c>
    </row>
    <row r="193" spans="1:19">
      <c r="A193" s="5" t="s">
        <v>1498</v>
      </c>
      <c r="B193" s="3"/>
      <c r="C193" s="3"/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29">
        <f ca="1">D85</f>
        <v>0</v>
      </c>
    </row>
    <row r="194" spans="1:19">
      <c r="A194" s="5" t="s">
        <v>1499</v>
      </c>
      <c r="B194" s="3"/>
      <c r="C194" s="3"/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29">
        <f ca="1">D86</f>
        <v>0</v>
      </c>
    </row>
    <row r="195" spans="1:19">
      <c r="A195" s="5" t="s">
        <v>1500</v>
      </c>
      <c r="B195" s="3"/>
      <c r="C195" s="3"/>
      <c r="D195" s="104">
        <v>0</v>
      </c>
      <c r="E195" s="104">
        <v>0</v>
      </c>
      <c r="F195" s="104">
        <v>0</v>
      </c>
      <c r="G195" s="104">
        <v>0</v>
      </c>
      <c r="H195" s="104">
        <v>0</v>
      </c>
      <c r="I195" s="104">
        <v>0</v>
      </c>
      <c r="J195" s="104">
        <v>0</v>
      </c>
      <c r="K195" s="104">
        <v>0</v>
      </c>
      <c r="L195" s="104">
        <v>0</v>
      </c>
      <c r="M195" s="104">
        <v>0</v>
      </c>
      <c r="N195" s="104">
        <v>0</v>
      </c>
      <c r="O195" s="104">
        <v>0</v>
      </c>
      <c r="P195" s="104">
        <v>0</v>
      </c>
      <c r="Q195" s="104">
        <v>0</v>
      </c>
      <c r="R195" s="104">
        <v>0</v>
      </c>
      <c r="S195" s="104">
        <v>0</v>
      </c>
    </row>
    <row r="196" spans="1:19">
      <c r="A196" s="5" t="s">
        <v>1501</v>
      </c>
      <c r="B196" s="3"/>
      <c r="C196" s="3"/>
      <c r="D196" s="29">
        <f t="shared" ref="D196:S196" ca="1" si="100">MAX(0, D201 - MAX(0, C89 - D193))</f>
        <v>1840.1076695468923</v>
      </c>
      <c r="E196" s="29">
        <f t="shared" ca="1" si="100"/>
        <v>2222.3002541386295</v>
      </c>
      <c r="F196" s="29">
        <f t="shared" ca="1" si="100"/>
        <v>2517.0145902730542</v>
      </c>
      <c r="G196" s="29">
        <f t="shared" ca="1" si="100"/>
        <v>2627.4370433551094</v>
      </c>
      <c r="H196" s="29">
        <f t="shared" ca="1" si="100"/>
        <v>3183.432238836036</v>
      </c>
      <c r="I196" s="29">
        <f t="shared" ca="1" si="100"/>
        <v>3511.3915497391267</v>
      </c>
      <c r="J196" s="29">
        <f t="shared" ca="1" si="100"/>
        <v>3104.2676776622184</v>
      </c>
      <c r="K196" s="29">
        <f t="shared" ca="1" si="100"/>
        <v>1684.8929876613258</v>
      </c>
      <c r="L196" s="29">
        <f t="shared" ca="1" si="100"/>
        <v>0</v>
      </c>
      <c r="M196" s="29">
        <f t="shared" ca="1" si="100"/>
        <v>286.58303224965834</v>
      </c>
      <c r="N196" s="29">
        <f t="shared" ca="1" si="100"/>
        <v>565.7596943737733</v>
      </c>
      <c r="O196" s="29">
        <f t="shared" ca="1" si="100"/>
        <v>948.2069609613518</v>
      </c>
      <c r="P196" s="29">
        <f t="shared" ca="1" si="100"/>
        <v>1227.175250485127</v>
      </c>
      <c r="Q196" s="29">
        <f t="shared" ca="1" si="100"/>
        <v>1182.4885285868445</v>
      </c>
      <c r="R196" s="29">
        <f t="shared" ca="1" si="100"/>
        <v>1685.7966304074798</v>
      </c>
      <c r="S196" s="29">
        <f t="shared" ca="1" si="100"/>
        <v>2352.2641604679557</v>
      </c>
    </row>
    <row r="197" spans="1:19">
      <c r="A197" s="5" t="s">
        <v>1502</v>
      </c>
      <c r="B197" s="3"/>
      <c r="C197" s="3"/>
      <c r="D197" s="29">
        <f t="shared" ref="D197:S197" ca="1" si="101">D202+D203</f>
        <v>105195.1550433404</v>
      </c>
      <c r="E197" s="29">
        <f t="shared" ca="1" si="101"/>
        <v>126614.88146798909</v>
      </c>
      <c r="F197" s="29">
        <f t="shared" ca="1" si="101"/>
        <v>141762.01138300617</v>
      </c>
      <c r="G197" s="29">
        <f t="shared" ca="1" si="101"/>
        <v>156993.55946301727</v>
      </c>
      <c r="H197" s="29">
        <f t="shared" ca="1" si="101"/>
        <v>182357.17298876296</v>
      </c>
      <c r="I197" s="29">
        <f t="shared" ca="1" si="101"/>
        <v>197900.31442926335</v>
      </c>
      <c r="J197" s="29">
        <f t="shared" ca="1" si="101"/>
        <v>180016.15624723939</v>
      </c>
      <c r="K197" s="29">
        <f t="shared" ca="1" si="101"/>
        <v>106575.87630019302</v>
      </c>
      <c r="L197" s="29">
        <f t="shared" ca="1" si="101"/>
        <v>36531.388542873487</v>
      </c>
      <c r="M197" s="29">
        <f t="shared" ca="1" si="101"/>
        <v>58853.301120796394</v>
      </c>
      <c r="N197" s="29">
        <f t="shared" ca="1" si="101"/>
        <v>91011.896980979713</v>
      </c>
      <c r="O197" s="29">
        <f t="shared" ca="1" si="101"/>
        <v>141095.95640653797</v>
      </c>
      <c r="P197" s="29">
        <f t="shared" ca="1" si="101"/>
        <v>160668.93322578201</v>
      </c>
      <c r="Q197" s="29">
        <f t="shared" ca="1" si="101"/>
        <v>155909.54435227823</v>
      </c>
      <c r="R197" s="29">
        <f t="shared" ca="1" si="101"/>
        <v>208822.03146653221</v>
      </c>
      <c r="S197" s="29">
        <f t="shared" ca="1" si="101"/>
        <v>285783.41128233407</v>
      </c>
    </row>
    <row r="198" spans="1:19">
      <c r="A198" s="5" t="s">
        <v>1503</v>
      </c>
      <c r="B198" s="3"/>
      <c r="C198" s="3"/>
      <c r="D198" s="104">
        <v>1</v>
      </c>
      <c r="E198" s="104">
        <v>1</v>
      </c>
      <c r="F198" s="104">
        <v>1</v>
      </c>
      <c r="G198" s="104">
        <v>1</v>
      </c>
      <c r="H198" s="104">
        <v>1</v>
      </c>
      <c r="I198" s="104">
        <v>1</v>
      </c>
      <c r="J198" s="104">
        <v>1</v>
      </c>
      <c r="K198" s="104">
        <v>1</v>
      </c>
      <c r="L198" s="104">
        <v>1</v>
      </c>
      <c r="M198" s="104">
        <v>1</v>
      </c>
      <c r="N198" s="104">
        <v>1</v>
      </c>
      <c r="O198" s="104">
        <v>1</v>
      </c>
      <c r="P198" s="104">
        <v>1</v>
      </c>
      <c r="Q198" s="104">
        <v>1</v>
      </c>
      <c r="R198" s="104">
        <v>1</v>
      </c>
      <c r="S198" s="104">
        <v>1</v>
      </c>
    </row>
    <row r="199" spans="1:19">
      <c r="A199" s="5" t="s">
        <v>1504</v>
      </c>
      <c r="B199" s="3"/>
      <c r="C199" s="3"/>
      <c r="D199" s="104">
        <v>0</v>
      </c>
      <c r="E199" s="104">
        <v>0</v>
      </c>
      <c r="F199" s="104">
        <v>0</v>
      </c>
      <c r="G199" s="104">
        <v>0</v>
      </c>
      <c r="H199" s="104">
        <v>0</v>
      </c>
      <c r="I199" s="104">
        <v>0</v>
      </c>
      <c r="J199" s="104">
        <v>0</v>
      </c>
      <c r="K199" s="104">
        <v>0</v>
      </c>
      <c r="L199" s="104">
        <v>0</v>
      </c>
      <c r="M199" s="104">
        <v>0</v>
      </c>
      <c r="N199" s="104">
        <v>0</v>
      </c>
      <c r="O199" s="104">
        <v>0</v>
      </c>
      <c r="P199" s="104">
        <v>0</v>
      </c>
      <c r="Q199" s="104">
        <v>0</v>
      </c>
      <c r="R199" s="104">
        <v>0</v>
      </c>
      <c r="S199" s="104">
        <v>0</v>
      </c>
    </row>
    <row r="200" spans="1:19">
      <c r="A200" s="5" t="s">
        <v>1505</v>
      </c>
      <c r="B200" s="3"/>
      <c r="C200" s="3"/>
      <c r="D200" s="29">
        <f ca="1">IFERROR(D46 + D210/IFERROR(D48,1), 0)</f>
        <v>13156.909309797136</v>
      </c>
      <c r="E200" s="29">
        <f t="shared" ref="E200:S200" ca="1" si="102">IFERROR(D46 + E210/IFERROR(E48,1), 0)</f>
        <v>15896.951216913239</v>
      </c>
      <c r="F200" s="29">
        <f t="shared" ca="1" si="102"/>
        <v>19226.376826610118</v>
      </c>
      <c r="G200" s="29">
        <f t="shared" ca="1" si="102"/>
        <v>23270.418871610775</v>
      </c>
      <c r="H200" s="29">
        <f t="shared" ca="1" si="102"/>
        <v>28184.046825724912</v>
      </c>
      <c r="I200" s="29">
        <f t="shared" ca="1" si="102"/>
        <v>33997.773315202736</v>
      </c>
      <c r="J200" s="29">
        <f t="shared" ca="1" si="102"/>
        <v>41309.203700596052</v>
      </c>
      <c r="K200" s="29">
        <f t="shared" ca="1" si="102"/>
        <v>50252.889294295623</v>
      </c>
      <c r="L200" s="29">
        <f t="shared" ca="1" si="102"/>
        <v>60957.293112278792</v>
      </c>
      <c r="M200" s="29">
        <f t="shared" ca="1" si="102"/>
        <v>74432.504171791341</v>
      </c>
      <c r="N200" s="29">
        <f t="shared" ca="1" si="102"/>
        <v>90756.454493301222</v>
      </c>
      <c r="O200" s="29">
        <f t="shared" ca="1" si="102"/>
        <v>111112.93450882105</v>
      </c>
      <c r="P200" s="29">
        <f t="shared" ca="1" si="102"/>
        <v>137368.82978119032</v>
      </c>
      <c r="Q200" s="29">
        <f t="shared" ca="1" si="102"/>
        <v>170421.97834518278</v>
      </c>
      <c r="R200" s="29">
        <f t="shared" ca="1" si="102"/>
        <v>213682.40541197726</v>
      </c>
      <c r="S200" s="29">
        <f t="shared" ca="1" si="102"/>
        <v>271818.09736101853</v>
      </c>
    </row>
    <row r="201" spans="1:19">
      <c r="A201" s="5" t="s">
        <v>1506</v>
      </c>
      <c r="B201" s="3"/>
      <c r="C201" s="3"/>
      <c r="D201" s="70">
        <f ca="1">IFERROR( MAX(0, D191 - (D46*D48)) / IFERROR(MAX(C92/C89,(1000000/D20)*(D21/Assumptions!$B$74)*Assumptions!$B$268*D23*Assumptions!$B$264),(1000000/D20)*(D21/Assumptions!$B$74)*Assumptions!$B$268*D23*Assumptions!$B$264), 0)</f>
        <v>1840.1076695468923</v>
      </c>
      <c r="E201" s="70">
        <f ca="1">IFERROR( MAX(0, E191 - (D46*E48)) / IFERROR(MAX(D92/D89,(1000000/E20)*(E21/Assumptions!$B$74)*Assumptions!$B$268*E23*Assumptions!$B$264),(1000000/E20)*(E21/Assumptions!$B$74)*Assumptions!$B$268*E23*Assumptions!$B$264), 0)</f>
        <v>2222.3002541386295</v>
      </c>
      <c r="F201" s="70">
        <f ca="1">IFERROR( MAX(0, F191 - (E46*F48)) / IFERROR(MAX(E92/E89,(1000000/F20)*(F21/Assumptions!$B$74)*Assumptions!$B$268*F23*Assumptions!$B$264),(1000000/F20)*(F21/Assumptions!$B$74)*Assumptions!$B$268*F23*Assumptions!$B$264), 0)</f>
        <v>2685.9371230496004</v>
      </c>
      <c r="G201" s="70">
        <f ca="1">IFERROR( MAX(0, G191 - (F46*G48)) / IFERROR(MAX(F92/F89,(1000000/G20)*(G21/Assumptions!$B$74)*Assumptions!$B$268*G23*Assumptions!$B$264),(1000000/G20)*(G21/Assumptions!$B$74)*Assumptions!$B$268*G23*Assumptions!$B$264), 0)</f>
        <v>3248.0474977743061</v>
      </c>
      <c r="H201" s="70">
        <f ca="1">IFERROR( MAX(0, H191 - (G46*H48)) / IFERROR(MAX(G92/G89,(1000000/H20)*(H21/Assumptions!$B$74)*Assumptions!$B$268*H23*Assumptions!$B$264),(1000000/H20)*(H21/Assumptions!$B$74)*Assumptions!$B$268*H23*Assumptions!$B$264), 0)</f>
        <v>3804.0426932552327</v>
      </c>
      <c r="I201" s="70">
        <f ca="1">IFERROR( MAX(0, I191 - (H46*I48)) / IFERROR(MAX(H92/H89,(1000000/I20)*(I21/Assumptions!$B$74)*Assumptions!$B$268*I23*Assumptions!$B$264),(1000000/I20)*(I21/Assumptions!$B$74)*Assumptions!$B$268*I23*Assumptions!$B$264), 0)</f>
        <v>4193.1669442951807</v>
      </c>
      <c r="J201" s="70">
        <f ca="1">IFERROR( MAX(0, J191 - (I46*J48)) / IFERROR(MAX(I92/I89,(1000000/J20)*(J21/Assumptions!$B$74)*Assumptions!$B$268*J23*Assumptions!$B$264),(1000000/J20)*(J21/Assumptions!$B$74)*Assumptions!$B$268*J23*Assumptions!$B$264), 0)</f>
        <v>3972.0428925301167</v>
      </c>
      <c r="K201" s="70">
        <f ca="1">IFERROR( MAX(0, K191 - (J46*K48)) / IFERROR(MAX(J92/J89,(1000000/K20)*(K21/Assumptions!$B$74)*Assumptions!$B$268*K23*Assumptions!$B$264),(1000000/K20)*(K21/Assumptions!$B$74)*Assumptions!$B$268*K23*Assumptions!$B$264), 0)</f>
        <v>2552.6682025292243</v>
      </c>
      <c r="L201" s="70">
        <f ca="1">IFERROR( MAX(0, L191 - (K46*L48)) / IFERROR(MAX(K92/K89,(1000000/L20)*(L21/Assumptions!$B$74)*Assumptions!$B$268*L23*Assumptions!$B$264),(1000000/L20)*(L21/Assumptions!$B$74)*Assumptions!$B$268*L23*Assumptions!$B$264), 0)</f>
        <v>1496.3459064501717</v>
      </c>
      <c r="M201" s="70">
        <f ca="1">IFERROR( MAX(0, M191 - (L46*M48)) / IFERROR(MAX(L92/L89,(1000000/M20)*(M21/Assumptions!$B$74)*Assumptions!$B$268*M23*Assumptions!$B$264),(1000000/M20)*(M21/Assumptions!$B$74)*Assumptions!$B$268*M23*Assumptions!$B$264), 0)</f>
        <v>1879.4636510419043</v>
      </c>
      <c r="N201" s="70">
        <f ca="1">IFERROR( MAX(0, N191 - (M46*N48)) / IFERROR(MAX(M92/M89,(1000000/N20)*(N21/Assumptions!$B$74)*Assumptions!$B$268*N23*Assumptions!$B$264),(1000000/N20)*(N21/Assumptions!$B$74)*Assumptions!$B$268*N23*Assumptions!$B$264), 0)</f>
        <v>2281.296908039219</v>
      </c>
      <c r="O201" s="70">
        <f ca="1">IFERROR( MAX(0, O191 - (N46*O48)) / IFERROR(MAX(N92/N89,(1000000/O20)*(O21/Assumptions!$B$74)*Assumptions!$B$268*O23*Assumptions!$B$264),(1000000/O20)*(O21/Assumptions!$B$74)*Assumptions!$B$268*O23*Assumptions!$B$264), 0)</f>
        <v>2849.5963869017801</v>
      </c>
      <c r="P201" s="70">
        <f ca="1">IFERROR( MAX(0, P191 - (O46*P48)) / IFERROR(MAX(O92/O89,(1000000/P20)*(P21/Assumptions!$B$74)*Assumptions!$B$268*P23*Assumptions!$B$264),(1000000/P20)*(P21/Assumptions!$B$74)*Assumptions!$B$268*P23*Assumptions!$B$264), 0)</f>
        <v>3665.3563130455309</v>
      </c>
      <c r="Q201" s="70">
        <f ca="1">IFERROR( MAX(0, Q191 - (P46*Q48)) / IFERROR(MAX(P92/P89,(1000000/Q20)*(Q21/Assumptions!$B$74)*Assumptions!$B$268*Q23*Assumptions!$B$264),(1000000/Q20)*(Q21/Assumptions!$B$74)*Assumptions!$B$268*Q23*Assumptions!$B$264), 0)</f>
        <v>4619.7462784917161</v>
      </c>
      <c r="R201" s="70">
        <f ca="1">IFERROR( MAX(0, R191 - (Q46*R48)) / IFERROR(MAX(Q92/Q89,(1000000/R20)*(R21/Assumptions!$B$74)*Assumptions!$B$268*R23*Assumptions!$B$264),(1000000/R20)*(R21/Assumptions!$B$74)*Assumptions!$B$268*R23*Assumptions!$B$264), 0)</f>
        <v>6051.9154256030624</v>
      </c>
      <c r="S201" s="70">
        <f ca="1">IFERROR( MAX(0, S191 - (R46*S48)) / IFERROR(MAX(R92/R89,(1000000/S20)*(S21/Assumptions!$B$74)*Assumptions!$B$268*S23*Assumptions!$B$264),(1000000/S20)*(S21/Assumptions!$B$74)*Assumptions!$B$268*S23*Assumptions!$B$264), 0)</f>
        <v>8138.1067892399051</v>
      </c>
    </row>
    <row r="202" spans="1:19">
      <c r="A202" s="5" t="s">
        <v>1507</v>
      </c>
      <c r="B202" s="3"/>
      <c r="C202" s="3"/>
      <c r="D202" s="29">
        <f t="shared" ref="D202:S202" ca="1" si="103">IFERROR(D32*(D38+D39)/1000000, 0)</f>
        <v>68393.00165240257</v>
      </c>
      <c r="E202" s="29">
        <f t="shared" ca="1" si="103"/>
        <v>80079.914146326191</v>
      </c>
      <c r="F202" s="29">
        <f t="shared" ca="1" si="103"/>
        <v>86578.530443233481</v>
      </c>
      <c r="G202" s="29">
        <f t="shared" ca="1" si="103"/>
        <v>96681.749860004347</v>
      </c>
      <c r="H202" s="29">
        <f t="shared" ca="1" si="103"/>
        <v>105848.2070146453</v>
      </c>
      <c r="I202" s="29">
        <f t="shared" ca="1" si="103"/>
        <v>109542.96816959322</v>
      </c>
      <c r="J202" s="29">
        <f t="shared" ca="1" si="103"/>
        <v>98231.986594926071</v>
      </c>
      <c r="K202" s="29">
        <f t="shared" ca="1" si="103"/>
        <v>60099.839145711732</v>
      </c>
      <c r="L202" s="29">
        <f t="shared" ca="1" si="103"/>
        <v>36531.388542873487</v>
      </c>
      <c r="M202" s="29">
        <f t="shared" ca="1" si="103"/>
        <v>50187.661893632096</v>
      </c>
      <c r="N202" s="29">
        <f t="shared" ca="1" si="103"/>
        <v>73100.526505718357</v>
      </c>
      <c r="O202" s="29">
        <f t="shared" ca="1" si="103"/>
        <v>109665.79340343134</v>
      </c>
      <c r="P202" s="29">
        <f t="shared" ca="1" si="103"/>
        <v>118079.9998261361</v>
      </c>
      <c r="Q202" s="29">
        <f t="shared" ca="1" si="103"/>
        <v>112942.66683995223</v>
      </c>
      <c r="R202" s="29">
        <f t="shared" ca="1" si="103"/>
        <v>144687.97340972914</v>
      </c>
      <c r="S202" s="29">
        <f t="shared" ca="1" si="103"/>
        <v>192088.43351557196</v>
      </c>
    </row>
    <row r="203" spans="1:19">
      <c r="A203" s="5" t="s">
        <v>1508</v>
      </c>
      <c r="B203" s="3"/>
      <c r="C203" s="3"/>
      <c r="D203" s="70">
        <f ca="1">IFERROR(D196*(Assumptions!$B$293*(1+Assumptions!$B$342)^D$5)/1000000, 0)</f>
        <v>36802.153390937841</v>
      </c>
      <c r="E203" s="70">
        <f ca="1">IFERROR(E196*(Assumptions!$B$293*(1+Assumptions!$B$342)^E$5)/1000000, 0)</f>
        <v>46534.967321662902</v>
      </c>
      <c r="F203" s="70">
        <f ca="1">IFERROR(F196*(Assumptions!$B$293*(1+Assumptions!$B$342)^F$5)/1000000, 0)</f>
        <v>55183.480939772686</v>
      </c>
      <c r="G203" s="70">
        <f ca="1">IFERROR(G196*(Assumptions!$B$293*(1+Assumptions!$B$342)^G$5)/1000000, 0)</f>
        <v>60311.809603012909</v>
      </c>
      <c r="H203" s="70">
        <f ca="1">IFERROR(H196*(Assumptions!$B$293*(1+Assumptions!$B$342)^H$5)/1000000, 0)</f>
        <v>76508.965974117673</v>
      </c>
      <c r="I203" s="70">
        <f ca="1">IFERROR(I196*(Assumptions!$B$293*(1+Assumptions!$B$342)^I$5)/1000000, 0)</f>
        <v>88357.346259670128</v>
      </c>
      <c r="J203" s="70">
        <f ca="1">IFERROR(J196*(Assumptions!$B$293*(1+Assumptions!$B$342)^J$5)/1000000, 0)</f>
        <v>81784.1696523133</v>
      </c>
      <c r="K203" s="70">
        <f ca="1">IFERROR(K196*(Assumptions!$B$293*(1+Assumptions!$B$342)^K$5)/1000000, 0)</f>
        <v>46476.037154481281</v>
      </c>
      <c r="L203" s="70">
        <f ca="1">IFERROR(L196*(Assumptions!$B$293*(1+Assumptions!$B$342)^L$5)/1000000, 0)</f>
        <v>0</v>
      </c>
      <c r="M203" s="70">
        <f ca="1">IFERROR(M196*(Assumptions!$B$293*(1+Assumptions!$B$342)^M$5)/1000000, 0)</f>
        <v>8665.6392271642999</v>
      </c>
      <c r="N203" s="70">
        <f ca="1">IFERROR(N196*(Assumptions!$B$293*(1+Assumptions!$B$342)^N$5)/1000000, 0)</f>
        <v>17911.370475261359</v>
      </c>
      <c r="O203" s="70">
        <f ca="1">IFERROR(O196*(Assumptions!$B$293*(1+Assumptions!$B$342)^O$5)/1000000, 0)</f>
        <v>31430.16300310662</v>
      </c>
      <c r="P203" s="70">
        <f ca="1">IFERROR(P196*(Assumptions!$B$293*(1+Assumptions!$B$342)^P$5)/1000000, 0)</f>
        <v>42588.933399645888</v>
      </c>
      <c r="Q203" s="70">
        <f ca="1">IFERROR(Q196*(Assumptions!$B$293*(1+Assumptions!$B$342)^Q$5)/1000000, 0)</f>
        <v>42966.877512325991</v>
      </c>
      <c r="R203" s="70">
        <f ca="1">IFERROR(R196*(Assumptions!$B$293*(1+Assumptions!$B$342)^R$5)/1000000, 0)</f>
        <v>64134.058056803078</v>
      </c>
      <c r="S203" s="70">
        <f ca="1">IFERROR(S196*(Assumptions!$B$293*(1+Assumptions!$B$342)^S$5)/1000000, 0)</f>
        <v>93694.977766762109</v>
      </c>
    </row>
    <row r="204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>
      <c r="A205" s="25" t="s">
        <v>1509</v>
      </c>
      <c r="B205" s="3"/>
      <c r="C205" s="3"/>
      <c r="D205" s="70">
        <f ca="1">D74+D107+D135+'Facilities Build'!D64</f>
        <v>0</v>
      </c>
      <c r="E205" s="70">
        <f ca="1">E74+E107+E135+'Facilities Build'!E64</f>
        <v>7257.5846605651886</v>
      </c>
      <c r="F205" s="70">
        <f ca="1">F74+F107+F135+'Facilities Build'!F64</f>
        <v>18560.708160959221</v>
      </c>
      <c r="G205" s="70">
        <f ca="1">G74+G107+G135+'Facilities Build'!G64</f>
        <v>8094.188934817108</v>
      </c>
      <c r="H205" s="70">
        <f ca="1">H74+H107+H135+'Facilities Build'!H64</f>
        <v>18641.468006588322</v>
      </c>
      <c r="I205" s="70">
        <f ca="1">I74+I107+I135+'Facilities Build'!I64</f>
        <v>43392.871846264243</v>
      </c>
      <c r="J205" s="70">
        <f ca="1">J74+J107+J135+'Facilities Build'!J64</f>
        <v>70239.111445189526</v>
      </c>
      <c r="K205" s="70">
        <f ca="1">K74+K107+K135+'Facilities Build'!K64</f>
        <v>91551.664277592601</v>
      </c>
      <c r="L205" s="70">
        <f ca="1">L74+L107+L135+'Facilities Build'!L64</f>
        <v>40886.435417873487</v>
      </c>
      <c r="M205" s="70">
        <f ca="1">M74+M107+M135+'Facilities Build'!M64</f>
        <v>57879.928378924604</v>
      </c>
      <c r="N205" s="70">
        <f ca="1">N74+N107+N135+'Facilities Build'!N64</f>
        <v>81988.480533472772</v>
      </c>
      <c r="O205" s="70">
        <f ca="1">O74+O107+O135+'Facilities Build'!O64</f>
        <v>131712.03326877826</v>
      </c>
      <c r="P205" s="70">
        <f ca="1">P74+P107+P135+'Facilities Build'!P64</f>
        <v>160262.04432394824</v>
      </c>
      <c r="Q205" s="70">
        <f ca="1">Q74+Q107+Q135+'Facilities Build'!Q64</f>
        <v>153316.37769953159</v>
      </c>
      <c r="R205" s="70">
        <f ca="1">R74+R107+R135+'Facilities Build'!R64</f>
        <v>208301.73948491155</v>
      </c>
      <c r="S205" s="70">
        <f ca="1">S74+S107+S135+'Facilities Build'!S64</f>
        <v>244894.99145284874</v>
      </c>
    </row>
    <row r="206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>
      <c r="A207" s="5" t="s">
        <v>1510</v>
      </c>
      <c r="B207" s="3"/>
      <c r="C207" s="3"/>
      <c r="D207" s="72">
        <f ca="1">IFERROR(MIN(1,(D190/MAX(D143,1))^Assumptions!$B$355),1)</f>
        <v>1</v>
      </c>
      <c r="E207" s="72">
        <f ca="1">IFERROR(MIN(1,(E190/MAX(E143,1))^Assumptions!$B$355),1)</f>
        <v>1</v>
      </c>
      <c r="F207" s="72">
        <f ca="1">IFERROR(MIN(1,(F190/MAX(F143,1))^Assumptions!$B$355),1)</f>
        <v>1</v>
      </c>
      <c r="G207" s="72">
        <f ca="1">IFERROR(MIN(1,(G190/MAX(G143,1))^Assumptions!$B$355),1)</f>
        <v>1</v>
      </c>
      <c r="H207" s="72">
        <f ca="1">IFERROR(MIN(1,(H190/MAX(H143,1))^Assumptions!$B$355),1)</f>
        <v>1</v>
      </c>
      <c r="I207" s="72">
        <f ca="1">IFERROR(MIN(1,(I190/MAX(I143,1))^Assumptions!$B$355),1)</f>
        <v>1</v>
      </c>
      <c r="J207" s="72">
        <f ca="1">IFERROR(MIN(1,(J190/MAX(J143,1))^Assumptions!$B$355),1)</f>
        <v>1</v>
      </c>
      <c r="K207" s="72">
        <f ca="1">IFERROR(MIN(1,(K190/MAX(K143,1))^Assumptions!$B$355),1)</f>
        <v>0.84287567762619764</v>
      </c>
      <c r="L207" s="72">
        <f ca="1">IFERROR(MIN(1,(L190/MAX(L143,1))^Assumptions!$B$355),1)</f>
        <v>0.86621824241953138</v>
      </c>
      <c r="M207" s="72">
        <f ca="1">IFERROR(MIN(1,(M190/MAX(M143,1))^Assumptions!$B$355),1)</f>
        <v>0.87713825119820032</v>
      </c>
      <c r="N207" s="72">
        <f ca="1">IFERROR(MIN(1,(N190/MAX(N143,1))^Assumptions!$B$355),1)</f>
        <v>0.88331748440522828</v>
      </c>
      <c r="O207" s="72">
        <f ca="1">IFERROR(MIN(1,(O190/MAX(O143,1))^Assumptions!$B$355),1)</f>
        <v>0.87777423931735177</v>
      </c>
      <c r="P207" s="72">
        <f ca="1">IFERROR(MIN(1,(P190/MAX(P143,1))^Assumptions!$B$355),1)</f>
        <v>0.86590204205089505</v>
      </c>
      <c r="Q207" s="72">
        <f ca="1">IFERROR(MIN(1,(Q190/MAX(Q143,1))^Assumptions!$B$355),1)</f>
        <v>0.86459606046673965</v>
      </c>
      <c r="R207" s="72">
        <f ca="1">IFERROR(MIN(1,(R190/MAX(R143,1))^Assumptions!$B$355),1)</f>
        <v>0.86013299082353878</v>
      </c>
      <c r="S207" s="72">
        <f ca="1">IFERROR(MIN(1,(S190/MAX(S143,1))^Assumptions!$B$355),1)</f>
        <v>0.87195734412258741</v>
      </c>
    </row>
    <row r="208" spans="1:19">
      <c r="A208" s="5" t="s">
        <v>1511</v>
      </c>
      <c r="B208" s="3"/>
      <c r="C208" s="3"/>
      <c r="D208" s="31">
        <f t="shared" ref="D208:S208" ca="1" si="104">D22*D207</f>
        <v>2</v>
      </c>
      <c r="E208" s="31">
        <f t="shared" ca="1" si="104"/>
        <v>1.9</v>
      </c>
      <c r="F208" s="31">
        <f t="shared" ca="1" si="104"/>
        <v>1.8049999999999999</v>
      </c>
      <c r="G208" s="31">
        <f t="shared" ca="1" si="104"/>
        <v>1.7147499999999998</v>
      </c>
      <c r="H208" s="31">
        <f t="shared" ca="1" si="104"/>
        <v>1.6290125</v>
      </c>
      <c r="I208" s="31">
        <f t="shared" ca="1" si="104"/>
        <v>1.547561875</v>
      </c>
      <c r="J208" s="31">
        <f t="shared" ca="1" si="104"/>
        <v>1.4701837812499998</v>
      </c>
      <c r="K208" s="31">
        <f t="shared" ca="1" si="104"/>
        <v>1.1772230433133322</v>
      </c>
      <c r="L208" s="31">
        <f t="shared" ca="1" si="104"/>
        <v>1.1493337599528384</v>
      </c>
      <c r="M208" s="31">
        <f t="shared" ca="1" si="104"/>
        <v>1.1056317301290837</v>
      </c>
      <c r="N208" s="31">
        <f t="shared" ca="1" si="104"/>
        <v>1.0577496139770617</v>
      </c>
      <c r="O208" s="31">
        <f t="shared" ca="1" si="104"/>
        <v>0.99855613664321818</v>
      </c>
      <c r="P208" s="31">
        <f t="shared" ca="1" si="104"/>
        <v>0.93579780669975587</v>
      </c>
      <c r="Q208" s="31">
        <f t="shared" ca="1" si="104"/>
        <v>0.88766708575049802</v>
      </c>
      <c r="R208" s="31">
        <f t="shared" ca="1" si="104"/>
        <v>0.83893067667289489</v>
      </c>
      <c r="S208" s="31">
        <f t="shared" ca="1" si="104"/>
        <v>0.80794038121076972</v>
      </c>
    </row>
    <row r="209" spans="1:19">
      <c r="A209" s="78" t="s">
        <v>1512</v>
      </c>
      <c r="B209" s="78"/>
      <c r="C209" s="78"/>
      <c r="D209" s="118">
        <f ca="1">D46*D48 + D91</f>
        <v>0</v>
      </c>
      <c r="E209" s="118">
        <f t="shared" ref="E209:S209" ca="1" si="105">D46*E48 + D91</f>
        <v>0</v>
      </c>
      <c r="F209" s="118">
        <f t="shared" ca="1" si="105"/>
        <v>161749.76962632959</v>
      </c>
      <c r="G209" s="118">
        <f t="shared" ca="1" si="105"/>
        <v>629871.68387650978</v>
      </c>
      <c r="H209" s="118">
        <f t="shared" ca="1" si="105"/>
        <v>1112402416.9092932</v>
      </c>
      <c r="I209" s="118">
        <f t="shared" ca="1" si="105"/>
        <v>6224559207.2790098</v>
      </c>
      <c r="J209" s="118">
        <f t="shared" ca="1" si="105"/>
        <v>22188757800.538227</v>
      </c>
      <c r="K209" s="118">
        <f t="shared" ca="1" si="105"/>
        <v>61350670097.358116</v>
      </c>
      <c r="L209" s="118">
        <f t="shared" ca="1" si="105"/>
        <v>107977780698.02133</v>
      </c>
      <c r="M209" s="118">
        <f t="shared" ca="1" si="105"/>
        <v>145856299738.4332</v>
      </c>
      <c r="N209" s="118">
        <f t="shared" ca="1" si="105"/>
        <v>199148446677.22379</v>
      </c>
      <c r="O209" s="118">
        <f t="shared" ca="1" si="105"/>
        <v>271444466962.61438</v>
      </c>
      <c r="P209" s="118">
        <f t="shared" ca="1" si="105"/>
        <v>369851113790.15918</v>
      </c>
      <c r="Q209" s="118">
        <f t="shared" ca="1" si="105"/>
        <v>510891114527.77618</v>
      </c>
      <c r="R209" s="118">
        <f t="shared" ca="1" si="105"/>
        <v>707986480122.25391</v>
      </c>
      <c r="S209" s="118">
        <f t="shared" ca="1" si="105"/>
        <v>991325628711.85999</v>
      </c>
    </row>
    <row r="210" spans="1:19">
      <c r="A210" s="78" t="s">
        <v>1513</v>
      </c>
      <c r="B210" s="78"/>
      <c r="C210" s="78"/>
      <c r="D210" s="118">
        <f t="shared" ref="D210:S210" ca="1" si="106">MAX(0, D191 - D209)</f>
        <v>5532217226.5834999</v>
      </c>
      <c r="E210" s="118">
        <f t="shared" ca="1" si="106"/>
        <v>9133957960.8574905</v>
      </c>
      <c r="F210" s="118">
        <f t="shared" ca="1" si="106"/>
        <v>14582883467.065994</v>
      </c>
      <c r="G210" s="118">
        <f t="shared" ca="1" si="106"/>
        <v>22733888381.311493</v>
      </c>
      <c r="H210" s="118">
        <f t="shared" ca="1" si="106"/>
        <v>33705778748.724632</v>
      </c>
      <c r="I210" s="118">
        <f t="shared" ca="1" si="106"/>
        <v>46373769918.947769</v>
      </c>
      <c r="J210" s="118">
        <f t="shared" ca="1" si="106"/>
        <v>49023770707.941833</v>
      </c>
      <c r="K210" s="118">
        <f t="shared" ca="1" si="106"/>
        <v>35160041686.866661</v>
      </c>
      <c r="L210" s="118">
        <f t="shared" ca="1" si="106"/>
        <v>22999704356.737137</v>
      </c>
      <c r="M210" s="118">
        <f t="shared" ca="1" si="106"/>
        <v>32240501573.611847</v>
      </c>
      <c r="N210" s="118">
        <f t="shared" ca="1" si="106"/>
        <v>43673620939.230103</v>
      </c>
      <c r="O210" s="118">
        <f t="shared" ca="1" si="106"/>
        <v>60881912961.882629</v>
      </c>
      <c r="P210" s="118">
        <f t="shared" ca="1" si="106"/>
        <v>87394395193.527222</v>
      </c>
      <c r="Q210" s="118">
        <f t="shared" ca="1" si="106"/>
        <v>122926271513.12225</v>
      </c>
      <c r="R210" s="118">
        <f t="shared" ca="1" si="106"/>
        <v>179714964777.6062</v>
      </c>
      <c r="S210" s="118">
        <f t="shared" ca="1" si="106"/>
        <v>269698551242.83997</v>
      </c>
    </row>
    <row r="211" spans="1:19">
      <c r="A211" s="5" t="s">
        <v>1514</v>
      </c>
      <c r="B211" s="3"/>
      <c r="C211" s="3"/>
      <c r="D211" s="155">
        <f>Assumptions!$B$370</f>
        <v>0.35</v>
      </c>
      <c r="E211" s="155">
        <f>Assumptions!$B$370</f>
        <v>0.35</v>
      </c>
      <c r="F211" s="155">
        <f>Assumptions!$B$370</f>
        <v>0.35</v>
      </c>
      <c r="G211" s="155">
        <f>Assumptions!$B$370</f>
        <v>0.35</v>
      </c>
      <c r="H211" s="155">
        <f>Assumptions!$B$370</f>
        <v>0.35</v>
      </c>
      <c r="I211" s="155">
        <f>Assumptions!$B$370</f>
        <v>0.35</v>
      </c>
      <c r="J211" s="155">
        <f>Assumptions!$B$370</f>
        <v>0.35</v>
      </c>
      <c r="K211" s="155">
        <f>Assumptions!$B$370</f>
        <v>0.35</v>
      </c>
      <c r="L211" s="155">
        <f>Assumptions!$B$370</f>
        <v>0.35</v>
      </c>
      <c r="M211" s="155">
        <f>Assumptions!$B$370</f>
        <v>0.35</v>
      </c>
      <c r="N211" s="155">
        <f>Assumptions!$B$370</f>
        <v>0.35</v>
      </c>
      <c r="O211" s="155">
        <f>Assumptions!$B$370</f>
        <v>0.35</v>
      </c>
      <c r="P211" s="155">
        <f>Assumptions!$B$370</f>
        <v>0.35</v>
      </c>
      <c r="Q211" s="155">
        <f>Assumptions!$B$370</f>
        <v>0.35</v>
      </c>
      <c r="R211" s="155">
        <f>Assumptions!$B$370</f>
        <v>0.35</v>
      </c>
      <c r="S211" s="155">
        <f>Assumptions!$B$370</f>
        <v>0.35</v>
      </c>
    </row>
    <row r="212" spans="1:19">
      <c r="A212" s="5" t="s">
        <v>1515</v>
      </c>
      <c r="B212" s="3"/>
      <c r="C212" s="3"/>
      <c r="D212" s="18">
        <v>0</v>
      </c>
      <c r="E212" s="70">
        <f ca="1">Assumptions!$B$370*D153</f>
        <v>169.07274999999998</v>
      </c>
      <c r="F212" s="70">
        <f ca="1">Assumptions!$B$370*E153</f>
        <v>634.41927099060467</v>
      </c>
      <c r="G212" s="70">
        <f ca="1">Assumptions!$B$370*F153</f>
        <v>2284.8637076708924</v>
      </c>
      <c r="H212" s="70">
        <f ca="1">Assumptions!$B$370*G153</f>
        <v>3068.9399082118243</v>
      </c>
      <c r="I212" s="70">
        <f ca="1">Assumptions!$B$370*H153</f>
        <v>6216.4411147298588</v>
      </c>
      <c r="J212" s="70">
        <f ca="1">Assumptions!$B$370*I153</f>
        <v>16511.513151180323</v>
      </c>
      <c r="K212" s="70">
        <f ca="1">Assumptions!$B$370*J153</f>
        <v>36523.821651975566</v>
      </c>
      <c r="L212" s="70">
        <f ca="1">Assumptions!$B$370*K153</f>
        <v>55838.886596649434</v>
      </c>
      <c r="M212" s="70">
        <f ca="1">Assumptions!$B$370*L153</f>
        <v>64553.544424786691</v>
      </c>
      <c r="N212" s="70">
        <f ca="1">Assumptions!$B$370*M153</f>
        <v>80527.837343172607</v>
      </c>
      <c r="O212" s="70">
        <f ca="1">Assumptions!$B$370*N153</f>
        <v>108206.24575708249</v>
      </c>
      <c r="P212" s="70">
        <f ca="1">Assumptions!$B$370*O153</f>
        <v>156946.91836972066</v>
      </c>
      <c r="Q212" s="70">
        <f ca="1">Assumptions!$B$370*P153</f>
        <v>215685.95456659637</v>
      </c>
      <c r="R212" s="70">
        <f ca="1">Assumptions!$B$370*Q153</f>
        <v>275661.7865046073</v>
      </c>
      <c r="S212" s="70">
        <f ca="1">Assumptions!$B$370*R153</f>
        <v>364180.69998835243</v>
      </c>
    </row>
    <row r="213" spans="1:19">
      <c r="A213" s="5" t="s">
        <v>1516</v>
      </c>
      <c r="B213" s="3"/>
      <c r="C213" s="3"/>
      <c r="D213" s="70">
        <f>MIN(SUM($D$212:D212),SUM($D$212:D212)/Assumptions!$B$21)</f>
        <v>0</v>
      </c>
      <c r="E213" s="70">
        <f ca="1">MIN(SUM($D$212:E212),SUM($D$212:E212)/Assumptions!$B$21)</f>
        <v>11.271516666666665</v>
      </c>
      <c r="F213" s="70">
        <f ca="1">MIN(SUM($D$212:F212),SUM($D$212:F212)/Assumptions!$B$21)</f>
        <v>53.566134732706978</v>
      </c>
      <c r="G213" s="70">
        <f ca="1">MIN(SUM($D$212:G212),SUM($D$212:G212)/Assumptions!$B$21)</f>
        <v>205.89038191076645</v>
      </c>
      <c r="H213" s="70">
        <f ca="1">MIN(SUM($D$212:H212),SUM($D$212:H212)/Assumptions!$B$21)</f>
        <v>410.48637579155474</v>
      </c>
      <c r="I213" s="70">
        <f ca="1">MIN(SUM($D$212:I212),SUM($D$212:I212)/Assumptions!$B$21)</f>
        <v>824.91578344021207</v>
      </c>
      <c r="J213" s="70">
        <f ca="1">MIN(SUM($D$212:J212),SUM($D$212:J212)/Assumptions!$B$21)</f>
        <v>1925.6833268522337</v>
      </c>
      <c r="K213" s="70">
        <f ca="1">MIN(SUM($D$212:K212),SUM($D$212:K212)/Assumptions!$B$21)</f>
        <v>4360.6047703172708</v>
      </c>
      <c r="L213" s="70">
        <f ca="1">MIN(SUM($D$212:L212),SUM($D$212:L212)/Assumptions!$B$21)</f>
        <v>8083.1972100939001</v>
      </c>
      <c r="M213" s="70">
        <f ca="1">MIN(SUM($D$212:M212),SUM($D$212:M212)/Assumptions!$B$21)</f>
        <v>12386.766838413014</v>
      </c>
      <c r="N213" s="70">
        <f ca="1">MIN(SUM($D$212:N212),SUM($D$212:N212)/Assumptions!$B$21)</f>
        <v>17755.289327957853</v>
      </c>
      <c r="O213" s="70">
        <f ca="1">MIN(SUM($D$212:O212),SUM($D$212:O212)/Assumptions!$B$21)</f>
        <v>24969.039045096684</v>
      </c>
      <c r="P213" s="70">
        <f ca="1">MIN(SUM($D$212:P212),SUM($D$212:P212)/Assumptions!$B$21)</f>
        <v>35432.166936411399</v>
      </c>
      <c r="Q213" s="70">
        <f ca="1">MIN(SUM($D$212:Q212),SUM($D$212:Q212)/Assumptions!$B$21)</f>
        <v>49811.230574184483</v>
      </c>
      <c r="R213" s="70">
        <f ca="1">MIN(SUM($D$212:R212),SUM($D$212:R212)/Assumptions!$B$21)</f>
        <v>68188.683007824977</v>
      </c>
      <c r="S213" s="70">
        <f ca="1">MIN(SUM($D$212:S212),SUM($D$212:S212)/Assumptions!$B$21)</f>
        <v>92467.396340381805</v>
      </c>
    </row>
    <row r="214" spans="1:1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>
      <c r="A215" s="5" t="s">
        <v>1517</v>
      </c>
      <c r="B215" s="3"/>
      <c r="C215" s="3"/>
      <c r="D215" s="70">
        <f>Assumptions!$B$266/D26*1000</f>
        <v>62.377287525146635</v>
      </c>
      <c r="E215" s="70">
        <f>Assumptions!$B$266/E26*1000</f>
        <v>65.002032143396804</v>
      </c>
      <c r="F215" s="70">
        <f>Assumptions!$B$266/F26*1000</f>
        <v>67.543618339286539</v>
      </c>
      <c r="G215" s="70">
        <f>Assumptions!$B$266/G26*1000</f>
        <v>70.026027901162792</v>
      </c>
      <c r="H215" s="70">
        <f>Assumptions!$B$266/H26*1000</f>
        <v>72.469160497664149</v>
      </c>
      <c r="I215" s="70">
        <f>Assumptions!$B$266/I26*1000</f>
        <v>74.889878332265098</v>
      </c>
      <c r="J215" s="70">
        <f>Assumptions!$B$266/J26*1000</f>
        <v>77.30277130829559</v>
      </c>
      <c r="K215" s="70">
        <f>Assumptions!$B$266/K26*1000</f>
        <v>79.720729212670051</v>
      </c>
      <c r="L215" s="70">
        <f>Assumptions!$B$266/L26*1000</f>
        <v>82.155378565519712</v>
      </c>
      <c r="M215" s="70">
        <f>Assumptions!$B$266/M26*1000</f>
        <v>84.617423393952564</v>
      </c>
      <c r="N215" s="70">
        <f>Assumptions!$B$266/N26*1000</f>
        <v>87.116917226970713</v>
      </c>
      <c r="O215" s="70">
        <f>Assumptions!$B$266/O26*1000</f>
        <v>89.663485688056667</v>
      </c>
      <c r="P215" s="70">
        <f>Assumptions!$B$266/P26*1000</f>
        <v>92.26651373873041</v>
      </c>
      <c r="Q215" s="70">
        <f>Assumptions!$B$266/Q26*1000</f>
        <v>94.935308008796</v>
      </c>
      <c r="R215" s="70">
        <f>Assumptions!$B$266/R26*1000</f>
        <v>97.679242175774945</v>
      </c>
      <c r="S215" s="70">
        <f>Assumptions!$B$266/S26*1000</f>
        <v>100.50789166835139</v>
      </c>
    </row>
    <row r="216" spans="1:19">
      <c r="A216" s="5" t="s">
        <v>1518</v>
      </c>
      <c r="B216" s="47"/>
      <c r="C216" s="47"/>
      <c r="D216" s="47">
        <f>Assumptions!$B$402*Assumptions!$B$400*0.00000005670374*(Assumptions!$B$398-Assumptions!$B$399)^4-Assumptions!$B$401</f>
        <v>1421.0545214353076</v>
      </c>
      <c r="E216" s="47">
        <f>Assumptions!$B$402*Assumptions!$B$400*0.00000005670374*(Assumptions!$B$398-Assumptions!$B$399)^4-Assumptions!$B$401</f>
        <v>1421.0545214353076</v>
      </c>
      <c r="F216" s="47">
        <f>Assumptions!$B$402*Assumptions!$B$400*0.00000005670374*(Assumptions!$B$398-Assumptions!$B$399)^4-Assumptions!$B$401</f>
        <v>1421.0545214353076</v>
      </c>
      <c r="G216" s="47">
        <f>Assumptions!$B$402*Assumptions!$B$400*0.00000005670374*(Assumptions!$B$398-Assumptions!$B$399)^4-Assumptions!$B$401</f>
        <v>1421.0545214353076</v>
      </c>
      <c r="H216" s="47">
        <f>Assumptions!$B$402*Assumptions!$B$400*0.00000005670374*(Assumptions!$B$398-Assumptions!$B$399)^4-Assumptions!$B$401</f>
        <v>1421.0545214353076</v>
      </c>
      <c r="I216" s="47">
        <f>Assumptions!$B$402*Assumptions!$B$400*0.00000005670374*(Assumptions!$B$398-Assumptions!$B$399)^4-Assumptions!$B$401</f>
        <v>1421.0545214353076</v>
      </c>
      <c r="J216" s="47">
        <f>Assumptions!$B$402*Assumptions!$B$400*0.00000005670374*(Assumptions!$B$398-Assumptions!$B$399)^4-Assumptions!$B$401</f>
        <v>1421.0545214353076</v>
      </c>
      <c r="K216" s="47">
        <f>Assumptions!$B$402*Assumptions!$B$400*0.00000005670374*(Assumptions!$B$398-Assumptions!$B$399)^4-Assumptions!$B$401</f>
        <v>1421.0545214353076</v>
      </c>
      <c r="L216" s="47">
        <f>Assumptions!$B$402*Assumptions!$B$400*0.00000005670374*(Assumptions!$B$398-Assumptions!$B$399)^4-Assumptions!$B$401</f>
        <v>1421.0545214353076</v>
      </c>
      <c r="M216" s="47">
        <f>Assumptions!$B$402*Assumptions!$B$400*0.00000005670374*(Assumptions!$B$398-Assumptions!$B$399)^4-Assumptions!$B$401</f>
        <v>1421.0545214353076</v>
      </c>
      <c r="N216" s="47">
        <f>Assumptions!$B$402*Assumptions!$B$400*0.00000005670374*(Assumptions!$B$398-Assumptions!$B$399)^4-Assumptions!$B$401</f>
        <v>1421.0545214353076</v>
      </c>
      <c r="O216" s="47">
        <f>Assumptions!$B$402*Assumptions!$B$400*0.00000005670374*(Assumptions!$B$398-Assumptions!$B$399)^4-Assumptions!$B$401</f>
        <v>1421.0545214353076</v>
      </c>
      <c r="P216" s="47">
        <f>Assumptions!$B$402*Assumptions!$B$400*0.00000005670374*(Assumptions!$B$398-Assumptions!$B$399)^4-Assumptions!$B$401</f>
        <v>1421.0545214353076</v>
      </c>
      <c r="Q216" s="47">
        <f>Assumptions!$B$402*Assumptions!$B$400*0.00000005670374*(Assumptions!$B$398-Assumptions!$B$399)^4-Assumptions!$B$401</f>
        <v>1421.0545214353076</v>
      </c>
      <c r="R216" s="47">
        <f>Assumptions!$B$402*Assumptions!$B$400*0.00000005670374*(Assumptions!$B$398-Assumptions!$B$399)^4-Assumptions!$B$401</f>
        <v>1421.0545214353076</v>
      </c>
      <c r="S216" s="47">
        <f>Assumptions!$B$402*Assumptions!$B$400*0.00000005670374*(Assumptions!$B$398-Assumptions!$B$399)^4-Assumptions!$B$401</f>
        <v>1421.0545214353076</v>
      </c>
    </row>
    <row r="217" spans="1:19">
      <c r="A217" s="5" t="s">
        <v>1519</v>
      </c>
      <c r="B217" s="47"/>
      <c r="C217" s="47"/>
      <c r="D217" s="47">
        <f>Assumptions!$B$266*1000/D216</f>
        <v>98.518387499021372</v>
      </c>
      <c r="E217" s="47">
        <f>Assumptions!$B$266*1000/E216</f>
        <v>98.518387499021372</v>
      </c>
      <c r="F217" s="47">
        <f>Assumptions!$B$266*1000/F216</f>
        <v>98.518387499021372</v>
      </c>
      <c r="G217" s="47">
        <f>Assumptions!$B$266*1000/G216</f>
        <v>98.518387499021372</v>
      </c>
      <c r="H217" s="47">
        <f>Assumptions!$B$266*1000/H216</f>
        <v>98.518387499021372</v>
      </c>
      <c r="I217" s="47">
        <f>Assumptions!$B$266*1000/I216</f>
        <v>98.518387499021372</v>
      </c>
      <c r="J217" s="47">
        <f>Assumptions!$B$266*1000/J216</f>
        <v>98.518387499021372</v>
      </c>
      <c r="K217" s="47">
        <f>Assumptions!$B$266*1000/K216</f>
        <v>98.518387499021372</v>
      </c>
      <c r="L217" s="47">
        <f>Assumptions!$B$266*1000/L216</f>
        <v>98.518387499021372</v>
      </c>
      <c r="M217" s="47">
        <f>Assumptions!$B$266*1000/M216</f>
        <v>98.518387499021372</v>
      </c>
      <c r="N217" s="47">
        <f>Assumptions!$B$266*1000/N216</f>
        <v>98.518387499021372</v>
      </c>
      <c r="O217" s="47">
        <f>Assumptions!$B$266*1000/O216</f>
        <v>98.518387499021372</v>
      </c>
      <c r="P217" s="47">
        <f>Assumptions!$B$266*1000/P216</f>
        <v>98.518387499021372</v>
      </c>
      <c r="Q217" s="47">
        <f>Assumptions!$B$266*1000/Q216</f>
        <v>98.518387499021372</v>
      </c>
      <c r="R217" s="47">
        <f>Assumptions!$B$266*1000/R216</f>
        <v>98.518387499021372</v>
      </c>
      <c r="S217" s="47">
        <f>Assumptions!$B$266*1000/S216</f>
        <v>98.518387499021372</v>
      </c>
    </row>
    <row r="218" spans="1:19">
      <c r="A218" s="5" t="s">
        <v>1520</v>
      </c>
      <c r="B218" s="47"/>
      <c r="C218" s="47"/>
      <c r="D218" s="47">
        <f>Assumptions!$B$403+(Assumptions!$B$404-Assumptions!$B$403)*MIN(1,D$5/(Assumptions!$B$380-2025))</f>
        <v>5.5</v>
      </c>
      <c r="E218" s="47">
        <f>Assumptions!$B$403+(Assumptions!$B$404-Assumptions!$B$403)*MIN(1,E$5/(Assumptions!$B$380-2025))</f>
        <v>5.3666666666666663</v>
      </c>
      <c r="F218" s="47">
        <f>Assumptions!$B$403+(Assumptions!$B$404-Assumptions!$B$403)*MIN(1,F$5/(Assumptions!$B$380-2025))</f>
        <v>5.2333333333333334</v>
      </c>
      <c r="G218" s="47">
        <f>Assumptions!$B$403+(Assumptions!$B$404-Assumptions!$B$403)*MIN(1,G$5/(Assumptions!$B$380-2025))</f>
        <v>5.0999999999999996</v>
      </c>
      <c r="H218" s="47">
        <f>Assumptions!$B$403+(Assumptions!$B$404-Assumptions!$B$403)*MIN(1,H$5/(Assumptions!$B$380-2025))</f>
        <v>4.9666666666666668</v>
      </c>
      <c r="I218" s="47">
        <f>Assumptions!$B$403+(Assumptions!$B$404-Assumptions!$B$403)*MIN(1,I$5/(Assumptions!$B$380-2025))</f>
        <v>4.833333333333333</v>
      </c>
      <c r="J218" s="47">
        <f>Assumptions!$B$403+(Assumptions!$B$404-Assumptions!$B$403)*MIN(1,J$5/(Assumptions!$B$380-2025))</f>
        <v>4.7</v>
      </c>
      <c r="K218" s="47">
        <f>Assumptions!$B$403+(Assumptions!$B$404-Assumptions!$B$403)*MIN(1,K$5/(Assumptions!$B$380-2025))</f>
        <v>4.5666666666666664</v>
      </c>
      <c r="L218" s="47">
        <f>Assumptions!$B$403+(Assumptions!$B$404-Assumptions!$B$403)*MIN(1,L$5/(Assumptions!$B$380-2025))</f>
        <v>4.4333333333333336</v>
      </c>
      <c r="M218" s="47">
        <f>Assumptions!$B$403+(Assumptions!$B$404-Assumptions!$B$403)*MIN(1,M$5/(Assumptions!$B$380-2025))</f>
        <v>4.3</v>
      </c>
      <c r="N218" s="47">
        <f>Assumptions!$B$403+(Assumptions!$B$404-Assumptions!$B$403)*MIN(1,N$5/(Assumptions!$B$380-2025))</f>
        <v>4.166666666666667</v>
      </c>
      <c r="O218" s="47">
        <f>Assumptions!$B$403+(Assumptions!$B$404-Assumptions!$B$403)*MIN(1,O$5/(Assumptions!$B$380-2025))</f>
        <v>4.0333333333333332</v>
      </c>
      <c r="P218" s="47">
        <f>Assumptions!$B$403+(Assumptions!$B$404-Assumptions!$B$403)*MIN(1,P$5/(Assumptions!$B$380-2025))</f>
        <v>3.9</v>
      </c>
      <c r="Q218" s="47">
        <f>Assumptions!$B$403+(Assumptions!$B$404-Assumptions!$B$403)*MIN(1,Q$5/(Assumptions!$B$380-2025))</f>
        <v>3.7666666666666666</v>
      </c>
      <c r="R218" s="47">
        <f>Assumptions!$B$403+(Assumptions!$B$404-Assumptions!$B$403)*MIN(1,R$5/(Assumptions!$B$380-2025))</f>
        <v>3.6333333333333333</v>
      </c>
      <c r="S218" s="47">
        <f>Assumptions!$B$403+(Assumptions!$B$404-Assumptions!$B$403)*MIN(1,S$5/(Assumptions!$B$380-2025))</f>
        <v>3.5</v>
      </c>
    </row>
    <row r="219" spans="1:19">
      <c r="A219" s="5" t="s">
        <v>1521</v>
      </c>
      <c r="B219" s="47"/>
      <c r="C219" s="47"/>
      <c r="D219" s="47">
        <f>Assumptions!$B$405+(Assumptions!$B$406-Assumptions!$B$405)*MIN(1,D$5/(Assumptions!$B$380-2025))</f>
        <v>2.5</v>
      </c>
      <c r="E219" s="47">
        <f>Assumptions!$B$405+(Assumptions!$B$406-Assumptions!$B$405)*MIN(1,E$5/(Assumptions!$B$380-2025))</f>
        <v>2.4</v>
      </c>
      <c r="F219" s="47">
        <f>Assumptions!$B$405+(Assumptions!$B$406-Assumptions!$B$405)*MIN(1,F$5/(Assumptions!$B$380-2025))</f>
        <v>2.2999999999999998</v>
      </c>
      <c r="G219" s="47">
        <f>Assumptions!$B$405+(Assumptions!$B$406-Assumptions!$B$405)*MIN(1,G$5/(Assumptions!$B$380-2025))</f>
        <v>2.2000000000000002</v>
      </c>
      <c r="H219" s="47">
        <f>Assumptions!$B$405+(Assumptions!$B$406-Assumptions!$B$405)*MIN(1,H$5/(Assumptions!$B$380-2025))</f>
        <v>2.1</v>
      </c>
      <c r="I219" s="47">
        <f>Assumptions!$B$405+(Assumptions!$B$406-Assumptions!$B$405)*MIN(1,I$5/(Assumptions!$B$380-2025))</f>
        <v>2</v>
      </c>
      <c r="J219" s="47">
        <f>Assumptions!$B$405+(Assumptions!$B$406-Assumptions!$B$405)*MIN(1,J$5/(Assumptions!$B$380-2025))</f>
        <v>1.9</v>
      </c>
      <c r="K219" s="47">
        <f>Assumptions!$B$405+(Assumptions!$B$406-Assumptions!$B$405)*MIN(1,K$5/(Assumptions!$B$380-2025))</f>
        <v>1.8</v>
      </c>
      <c r="L219" s="47">
        <f>Assumptions!$B$405+(Assumptions!$B$406-Assumptions!$B$405)*MIN(1,L$5/(Assumptions!$B$380-2025))</f>
        <v>1.7</v>
      </c>
      <c r="M219" s="47">
        <f>Assumptions!$B$405+(Assumptions!$B$406-Assumptions!$B$405)*MIN(1,M$5/(Assumptions!$B$380-2025))</f>
        <v>1.6</v>
      </c>
      <c r="N219" s="47">
        <f>Assumptions!$B$405+(Assumptions!$B$406-Assumptions!$B$405)*MIN(1,N$5/(Assumptions!$B$380-2025))</f>
        <v>1.5</v>
      </c>
      <c r="O219" s="47">
        <f>Assumptions!$B$405+(Assumptions!$B$406-Assumptions!$B$405)*MIN(1,O$5/(Assumptions!$B$380-2025))</f>
        <v>1.4000000000000001</v>
      </c>
      <c r="P219" s="47">
        <f>Assumptions!$B$405+(Assumptions!$B$406-Assumptions!$B$405)*MIN(1,P$5/(Assumptions!$B$380-2025))</f>
        <v>1.2999999999999998</v>
      </c>
      <c r="Q219" s="47">
        <f>Assumptions!$B$405+(Assumptions!$B$406-Assumptions!$B$405)*MIN(1,Q$5/(Assumptions!$B$380-2025))</f>
        <v>1.2</v>
      </c>
      <c r="R219" s="47">
        <f>Assumptions!$B$405+(Assumptions!$B$406-Assumptions!$B$405)*MIN(1,R$5/(Assumptions!$B$380-2025))</f>
        <v>1.1000000000000001</v>
      </c>
      <c r="S219" s="47">
        <f>Assumptions!$B$405+(Assumptions!$B$406-Assumptions!$B$405)*MIN(1,S$5/(Assumptions!$B$380-2025))</f>
        <v>1</v>
      </c>
    </row>
    <row r="220" spans="1:19">
      <c r="A220" s="5" t="s">
        <v>1522</v>
      </c>
      <c r="B220" s="47"/>
      <c r="C220" s="47"/>
      <c r="D220" s="47">
        <f>Assumptions!$B$408+(Assumptions!$B$409-Assumptions!$B$408)*MIN(1,D$5/(Assumptions!$B$380-2025))</f>
        <v>180</v>
      </c>
      <c r="E220" s="47">
        <f>Assumptions!$B$408+(Assumptions!$B$409-Assumptions!$B$408)*MIN(1,E$5/(Assumptions!$B$380-2025))</f>
        <v>196</v>
      </c>
      <c r="F220" s="47">
        <f>Assumptions!$B$408+(Assumptions!$B$409-Assumptions!$B$408)*MIN(1,F$5/(Assumptions!$B$380-2025))</f>
        <v>212</v>
      </c>
      <c r="G220" s="47">
        <f>Assumptions!$B$408+(Assumptions!$B$409-Assumptions!$B$408)*MIN(1,G$5/(Assumptions!$B$380-2025))</f>
        <v>228</v>
      </c>
      <c r="H220" s="47">
        <f>Assumptions!$B$408+(Assumptions!$B$409-Assumptions!$B$408)*MIN(1,H$5/(Assumptions!$B$380-2025))</f>
        <v>244</v>
      </c>
      <c r="I220" s="47">
        <f>Assumptions!$B$408+(Assumptions!$B$409-Assumptions!$B$408)*MIN(1,I$5/(Assumptions!$B$380-2025))</f>
        <v>260</v>
      </c>
      <c r="J220" s="47">
        <f>Assumptions!$B$408+(Assumptions!$B$409-Assumptions!$B$408)*MIN(1,J$5/(Assumptions!$B$380-2025))</f>
        <v>276</v>
      </c>
      <c r="K220" s="47">
        <f>Assumptions!$B$408+(Assumptions!$B$409-Assumptions!$B$408)*MIN(1,K$5/(Assumptions!$B$380-2025))</f>
        <v>292</v>
      </c>
      <c r="L220" s="47">
        <f>Assumptions!$B$408+(Assumptions!$B$409-Assumptions!$B$408)*MIN(1,L$5/(Assumptions!$B$380-2025))</f>
        <v>308</v>
      </c>
      <c r="M220" s="47">
        <f>Assumptions!$B$408+(Assumptions!$B$409-Assumptions!$B$408)*MIN(1,M$5/(Assumptions!$B$380-2025))</f>
        <v>324</v>
      </c>
      <c r="N220" s="47">
        <f>Assumptions!$B$408+(Assumptions!$B$409-Assumptions!$B$408)*MIN(1,N$5/(Assumptions!$B$380-2025))</f>
        <v>340</v>
      </c>
      <c r="O220" s="47">
        <f>Assumptions!$B$408+(Assumptions!$B$409-Assumptions!$B$408)*MIN(1,O$5/(Assumptions!$B$380-2025))</f>
        <v>356</v>
      </c>
      <c r="P220" s="47">
        <f>Assumptions!$B$408+(Assumptions!$B$409-Assumptions!$B$408)*MIN(1,P$5/(Assumptions!$B$380-2025))</f>
        <v>372</v>
      </c>
      <c r="Q220" s="47">
        <f>Assumptions!$B$408+(Assumptions!$B$409-Assumptions!$B$408)*MIN(1,Q$5/(Assumptions!$B$380-2025))</f>
        <v>388</v>
      </c>
      <c r="R220" s="47">
        <f>Assumptions!$B$408+(Assumptions!$B$409-Assumptions!$B$408)*MIN(1,R$5/(Assumptions!$B$380-2025))</f>
        <v>404</v>
      </c>
      <c r="S220" s="47">
        <f>Assumptions!$B$408+(Assumptions!$B$409-Assumptions!$B$408)*MIN(1,S$5/(Assumptions!$B$380-2025))</f>
        <v>420</v>
      </c>
    </row>
    <row r="221" spans="1:19">
      <c r="A221" s="5" t="s">
        <v>1523</v>
      </c>
      <c r="B221" s="47"/>
      <c r="C221" s="47"/>
      <c r="D221" s="47">
        <f>Assumptions!$B$266*1000/D220</f>
        <v>777.77777777777783</v>
      </c>
      <c r="E221" s="47">
        <f>Assumptions!$B$266*1000/E220</f>
        <v>714.28571428571433</v>
      </c>
      <c r="F221" s="47">
        <f>Assumptions!$B$266*1000/F220</f>
        <v>660.37735849056605</v>
      </c>
      <c r="G221" s="47">
        <f>Assumptions!$B$266*1000/G220</f>
        <v>614.03508771929819</v>
      </c>
      <c r="H221" s="47">
        <f>Assumptions!$B$266*1000/H220</f>
        <v>573.77049180327867</v>
      </c>
      <c r="I221" s="47">
        <f>Assumptions!$B$266*1000/I220</f>
        <v>538.46153846153845</v>
      </c>
      <c r="J221" s="47">
        <f>Assumptions!$B$266*1000/J220</f>
        <v>507.24637681159419</v>
      </c>
      <c r="K221" s="47">
        <f>Assumptions!$B$266*1000/K220</f>
        <v>479.45205479452056</v>
      </c>
      <c r="L221" s="47">
        <f>Assumptions!$B$266*1000/L220</f>
        <v>454.54545454545456</v>
      </c>
      <c r="M221" s="47">
        <f>Assumptions!$B$266*1000/M220</f>
        <v>432.09876543209879</v>
      </c>
      <c r="N221" s="47">
        <f>Assumptions!$B$266*1000/N220</f>
        <v>411.76470588235293</v>
      </c>
      <c r="O221" s="47">
        <f>Assumptions!$B$266*1000/O220</f>
        <v>393.25842696629212</v>
      </c>
      <c r="P221" s="47">
        <f>Assumptions!$B$266*1000/P220</f>
        <v>376.3440860215054</v>
      </c>
      <c r="Q221" s="47">
        <f>Assumptions!$B$266*1000/Q220</f>
        <v>360.82474226804123</v>
      </c>
      <c r="R221" s="47">
        <f>Assumptions!$B$266*1000/R220</f>
        <v>346.53465346534654</v>
      </c>
      <c r="S221" s="47">
        <f>Assumptions!$B$266*1000/S220</f>
        <v>333.33333333333331</v>
      </c>
    </row>
    <row r="222" spans="1:19">
      <c r="A222" s="5" t="s">
        <v>1524</v>
      </c>
      <c r="B222" s="47"/>
      <c r="C222" s="47"/>
      <c r="D222" s="47">
        <f>D221+Assumptions!$B$410</f>
        <v>1337.7777777777778</v>
      </c>
      <c r="E222" s="47">
        <f>E221+Assumptions!$B$410</f>
        <v>1274.2857142857142</v>
      </c>
      <c r="F222" s="47">
        <f>F221+Assumptions!$B$410</f>
        <v>1220.3773584905662</v>
      </c>
      <c r="G222" s="47">
        <f>G221+Assumptions!$B$410</f>
        <v>1174.0350877192982</v>
      </c>
      <c r="H222" s="47">
        <f>H221+Assumptions!$B$410</f>
        <v>1133.7704918032787</v>
      </c>
      <c r="I222" s="47">
        <f>I221+Assumptions!$B$410</f>
        <v>1098.4615384615386</v>
      </c>
      <c r="J222" s="47">
        <f>J221+Assumptions!$B$410</f>
        <v>1067.2463768115942</v>
      </c>
      <c r="K222" s="47">
        <f>K221+Assumptions!$B$410</f>
        <v>1039.4520547945206</v>
      </c>
      <c r="L222" s="47">
        <f>L221+Assumptions!$B$410</f>
        <v>1014.5454545454545</v>
      </c>
      <c r="M222" s="47">
        <f>M221+Assumptions!$B$410</f>
        <v>992.09876543209884</v>
      </c>
      <c r="N222" s="47">
        <f>N221+Assumptions!$B$410</f>
        <v>971.76470588235293</v>
      </c>
      <c r="O222" s="47">
        <f>O221+Assumptions!$B$410</f>
        <v>953.25842696629206</v>
      </c>
      <c r="P222" s="47">
        <f>P221+Assumptions!$B$410</f>
        <v>936.3440860215054</v>
      </c>
      <c r="Q222" s="47">
        <f>Q221+Assumptions!$B$410</f>
        <v>920.82474226804129</v>
      </c>
      <c r="R222" s="47">
        <f>R221+Assumptions!$B$410</f>
        <v>906.53465346534654</v>
      </c>
      <c r="S222" s="47">
        <f>S221+Assumptions!$B$410</f>
        <v>893.33333333333326</v>
      </c>
    </row>
    <row r="223" spans="1:19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</row>
    <row r="224" spans="1:19">
      <c r="A224" s="57" t="s">
        <v>1525</v>
      </c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</row>
    <row r="225" spans="1:19">
      <c r="A225" s="5" t="s">
        <v>1526</v>
      </c>
      <c r="B225" s="47"/>
      <c r="C225" s="47"/>
      <c r="D225" s="141">
        <f>Assumptions!$B$421</f>
        <v>100</v>
      </c>
      <c r="E225" s="141">
        <f>Assumptions!$B$421*(1+Assumptions!$B$422)^E$5</f>
        <v>122.10000000000001</v>
      </c>
      <c r="F225" s="141">
        <f>Assumptions!$B$421*(1+Assumptions!$B$422)^F$5</f>
        <v>149.08410000000003</v>
      </c>
      <c r="G225" s="141">
        <f>Assumptions!$B$421*(1+Assumptions!$B$422)^G$5</f>
        <v>182.03168610000006</v>
      </c>
      <c r="H225" s="141">
        <f>Assumptions!$B$421*(1+Assumptions!$B$422)^H$5</f>
        <v>222.26068872810009</v>
      </c>
      <c r="I225" s="141">
        <f>Assumptions!$B$421*(1+Assumptions!$B$422)^I$5</f>
        <v>271.38030093701025</v>
      </c>
      <c r="J225" s="141">
        <f>Assumptions!$B$421*(1+Assumptions!$B$422)^J$5</f>
        <v>331.35534744408955</v>
      </c>
      <c r="K225" s="141">
        <f>Assumptions!$B$421*(1+Assumptions!$B$422)^K$5</f>
        <v>404.58487922923337</v>
      </c>
      <c r="L225" s="141">
        <f>Assumptions!$B$421*(1+Assumptions!$B$422)^L$5</f>
        <v>493.99813753889401</v>
      </c>
      <c r="M225" s="141">
        <f>Assumptions!$B$421*(1+Assumptions!$B$422)^M$5</f>
        <v>603.17172593498958</v>
      </c>
      <c r="N225" s="141">
        <f>Assumptions!$B$421*(1+Assumptions!$B$422)^N$5</f>
        <v>736.47267736662241</v>
      </c>
      <c r="O225" s="141">
        <f>Assumptions!$B$421*(1+Assumptions!$B$422)^O$5</f>
        <v>899.23313906464591</v>
      </c>
      <c r="P225" s="141">
        <f>Assumptions!$B$421*(1+Assumptions!$B$422)^P$5</f>
        <v>1097.963662797933</v>
      </c>
      <c r="Q225" s="141">
        <f>Assumptions!$B$421*(1+Assumptions!$B$422)^Q$5</f>
        <v>1340.6136322762763</v>
      </c>
      <c r="R225" s="141">
        <f>Assumptions!$B$421*(1+Assumptions!$B$422)^R$5</f>
        <v>1636.8892450093338</v>
      </c>
      <c r="S225" s="141">
        <f>Assumptions!$B$421*(1+Assumptions!$B$422)^S$5</f>
        <v>1998.6417681563964</v>
      </c>
    </row>
    <row r="226" spans="1:19">
      <c r="A226" s="5" t="s">
        <v>1527</v>
      </c>
      <c r="B226" s="47"/>
      <c r="C226" s="47"/>
      <c r="D226" s="80">
        <f>Assumptions!$B$423</f>
        <v>0</v>
      </c>
      <c r="E226" s="80">
        <f>Assumptions!$B$423*(1+Assumptions!$B$424)^E$5</f>
        <v>0</v>
      </c>
      <c r="F226" s="80">
        <f>Assumptions!$B$423*(1+Assumptions!$B$424)^F$5</f>
        <v>0</v>
      </c>
      <c r="G226" s="80">
        <f>Assumptions!$B$423*(1+Assumptions!$B$424)^G$5</f>
        <v>0</v>
      </c>
      <c r="H226" s="80">
        <f>Assumptions!$B$423*(1+Assumptions!$B$424)^H$5</f>
        <v>0</v>
      </c>
      <c r="I226" s="80">
        <f>Assumptions!$B$423*(1+Assumptions!$B$424)^I$5</f>
        <v>0</v>
      </c>
      <c r="J226" s="80">
        <f>Assumptions!$B$423*(1+Assumptions!$B$424)^J$5</f>
        <v>0</v>
      </c>
      <c r="K226" s="80">
        <f>Assumptions!$B$423*(1+Assumptions!$B$424)^K$5</f>
        <v>0</v>
      </c>
      <c r="L226" s="80">
        <f>Assumptions!$B$423*(1+Assumptions!$B$424)^L$5</f>
        <v>0</v>
      </c>
      <c r="M226" s="80">
        <f>Assumptions!$B$423*(1+Assumptions!$B$424)^M$5</f>
        <v>0</v>
      </c>
      <c r="N226" s="80">
        <f>Assumptions!$B$423*(1+Assumptions!$B$424)^N$5</f>
        <v>0</v>
      </c>
      <c r="O226" s="80">
        <f>Assumptions!$B$423*(1+Assumptions!$B$424)^O$5</f>
        <v>0</v>
      </c>
      <c r="P226" s="80">
        <f>Assumptions!$B$423*(1+Assumptions!$B$424)^P$5</f>
        <v>0</v>
      </c>
      <c r="Q226" s="80">
        <f>Assumptions!$B$423*(1+Assumptions!$B$424)^Q$5</f>
        <v>0</v>
      </c>
      <c r="R226" s="80">
        <f>Assumptions!$B$423*(1+Assumptions!$B$424)^R$5</f>
        <v>0</v>
      </c>
      <c r="S226" s="80">
        <f>Assumptions!$B$423*(1+Assumptions!$B$424)^S$5</f>
        <v>0</v>
      </c>
    </row>
    <row r="227" spans="1:19">
      <c r="A227" s="5" t="s">
        <v>1528</v>
      </c>
      <c r="B227" s="47"/>
      <c r="C227" s="47"/>
      <c r="D227" s="141">
        <f>Assumptions!$B$425</f>
        <v>2</v>
      </c>
      <c r="E227" s="141">
        <f>Assumptions!$B$425*(1+Assumptions!$B$426)^E$5</f>
        <v>2.1</v>
      </c>
      <c r="F227" s="141">
        <f>Assumptions!$B$425*(1+Assumptions!$B$426)^F$5</f>
        <v>2.2050000000000001</v>
      </c>
      <c r="G227" s="141">
        <f>Assumptions!$B$425*(1+Assumptions!$B$426)^G$5</f>
        <v>2.3152500000000003</v>
      </c>
      <c r="H227" s="141">
        <f>Assumptions!$B$425*(1+Assumptions!$B$426)^H$5</f>
        <v>2.4310125</v>
      </c>
      <c r="I227" s="141">
        <f>Assumptions!$B$425*(1+Assumptions!$B$426)^I$5</f>
        <v>2.5525631250000003</v>
      </c>
      <c r="J227" s="141">
        <f>Assumptions!$B$425*(1+Assumptions!$B$426)^J$5</f>
        <v>2.6801912812499999</v>
      </c>
      <c r="K227" s="141">
        <f>Assumptions!$B$425*(1+Assumptions!$B$426)^K$5</f>
        <v>2.8142008453125005</v>
      </c>
      <c r="L227" s="141">
        <f>Assumptions!$B$425*(1+Assumptions!$B$426)^L$5</f>
        <v>2.9549108875781251</v>
      </c>
      <c r="M227" s="141">
        <f>Assumptions!$B$425*(1+Assumptions!$B$426)^M$5</f>
        <v>3.1026564319570316</v>
      </c>
      <c r="N227" s="141">
        <f>Assumptions!$B$425*(1+Assumptions!$B$426)^N$5</f>
        <v>3.2577892535548831</v>
      </c>
      <c r="O227" s="141">
        <f>Assumptions!$B$425*(1+Assumptions!$B$426)^O$5</f>
        <v>3.4206787162326275</v>
      </c>
      <c r="P227" s="141">
        <f>Assumptions!$B$425*(1+Assumptions!$B$426)^P$5</f>
        <v>3.5917126520442584</v>
      </c>
      <c r="Q227" s="141">
        <f>Assumptions!$B$425*(1+Assumptions!$B$426)^Q$5</f>
        <v>3.771298284646472</v>
      </c>
      <c r="R227" s="141">
        <f>Assumptions!$B$425*(1+Assumptions!$B$426)^R$5</f>
        <v>3.9598631988787947</v>
      </c>
      <c r="S227" s="141">
        <f>Assumptions!$B$425*(1+Assumptions!$B$426)^S$5</f>
        <v>4.1578563588227357</v>
      </c>
    </row>
    <row r="228" spans="1:19">
      <c r="A228" s="5" t="s">
        <v>1529</v>
      </c>
      <c r="B228" s="47"/>
      <c r="C228" s="47"/>
      <c r="D228" s="29">
        <f t="shared" ref="D228:S228" si="107">D225*D226</f>
        <v>0</v>
      </c>
      <c r="E228" s="29">
        <f t="shared" si="107"/>
        <v>0</v>
      </c>
      <c r="F228" s="29">
        <f t="shared" si="107"/>
        <v>0</v>
      </c>
      <c r="G228" s="29">
        <f t="shared" si="107"/>
        <v>0</v>
      </c>
      <c r="H228" s="29">
        <f t="shared" si="107"/>
        <v>0</v>
      </c>
      <c r="I228" s="29">
        <f t="shared" si="107"/>
        <v>0</v>
      </c>
      <c r="J228" s="29">
        <f t="shared" si="107"/>
        <v>0</v>
      </c>
      <c r="K228" s="29">
        <f t="shared" si="107"/>
        <v>0</v>
      </c>
      <c r="L228" s="29">
        <f t="shared" si="107"/>
        <v>0</v>
      </c>
      <c r="M228" s="29">
        <f t="shared" si="107"/>
        <v>0</v>
      </c>
      <c r="N228" s="29">
        <f t="shared" si="107"/>
        <v>0</v>
      </c>
      <c r="O228" s="29">
        <f t="shared" si="107"/>
        <v>0</v>
      </c>
      <c r="P228" s="29">
        <f t="shared" si="107"/>
        <v>0</v>
      </c>
      <c r="Q228" s="29">
        <f t="shared" si="107"/>
        <v>0</v>
      </c>
      <c r="R228" s="29">
        <f t="shared" si="107"/>
        <v>0</v>
      </c>
      <c r="S228" s="29">
        <f t="shared" si="107"/>
        <v>0</v>
      </c>
    </row>
    <row r="229" spans="1:19">
      <c r="A229" s="5" t="s">
        <v>1530</v>
      </c>
      <c r="B229" s="47"/>
      <c r="C229" s="47"/>
      <c r="D229" s="29">
        <f t="shared" ref="D229:S229" si="108">D225*D227</f>
        <v>200</v>
      </c>
      <c r="E229" s="29">
        <f t="shared" si="108"/>
        <v>256.41000000000003</v>
      </c>
      <c r="F229" s="29">
        <f t="shared" si="108"/>
        <v>328.7304405000001</v>
      </c>
      <c r="G229" s="29">
        <f t="shared" si="108"/>
        <v>421.44886124302519</v>
      </c>
      <c r="H229" s="29">
        <f t="shared" si="108"/>
        <v>540.31851255662048</v>
      </c>
      <c r="I229" s="29">
        <f t="shared" si="108"/>
        <v>692.71534902321537</v>
      </c>
      <c r="J229" s="29">
        <f t="shared" si="108"/>
        <v>888.09571321521321</v>
      </c>
      <c r="K229" s="29">
        <f t="shared" si="108"/>
        <v>1138.5831091275645</v>
      </c>
      <c r="L229" s="29">
        <f t="shared" si="108"/>
        <v>1459.720475056994</v>
      </c>
      <c r="M229" s="29">
        <f t="shared" si="108"/>
        <v>1871.4346350468193</v>
      </c>
      <c r="N229" s="29">
        <f t="shared" si="108"/>
        <v>2399.272773861775</v>
      </c>
      <c r="O229" s="29">
        <f t="shared" si="108"/>
        <v>3075.9876597294888</v>
      </c>
      <c r="P229" s="29">
        <f t="shared" si="108"/>
        <v>3943.5699791561919</v>
      </c>
      <c r="Q229" s="29">
        <f t="shared" si="108"/>
        <v>5055.8538917771975</v>
      </c>
      <c r="R229" s="29">
        <f t="shared" si="108"/>
        <v>6481.8574819529558</v>
      </c>
      <c r="S229" s="29">
        <f t="shared" si="108"/>
        <v>8310.0653847377889</v>
      </c>
    </row>
    <row r="230" spans="1:19">
      <c r="A230" s="5" t="s">
        <v>1531</v>
      </c>
      <c r="B230" s="47"/>
      <c r="C230" s="47"/>
      <c r="D230" s="141">
        <f>Assumptions!$B$427</f>
        <v>0.85</v>
      </c>
      <c r="E230" s="141">
        <f>Assumptions!$B$427*(1+Assumptions!$B$428)^E$5</f>
        <v>1.2486499999999998</v>
      </c>
      <c r="F230" s="141">
        <f>Assumptions!$B$427*(1+Assumptions!$B$428)^F$5</f>
        <v>1.8342668499999997</v>
      </c>
      <c r="G230" s="141">
        <f>Assumptions!$B$427*(1+Assumptions!$B$428)^G$5</f>
        <v>2.6945380026499994</v>
      </c>
      <c r="H230" s="141">
        <f>Assumptions!$B$427*(1+Assumptions!$B$428)^H$5</f>
        <v>3.9582763258928493</v>
      </c>
      <c r="I230" s="141">
        <f>Assumptions!$B$427*(1+Assumptions!$B$428)^I$5</f>
        <v>5.814707922736595</v>
      </c>
      <c r="J230" s="141">
        <f>Assumptions!$B$427*(1+Assumptions!$B$428)^J$5</f>
        <v>8.5418059385000582</v>
      </c>
      <c r="K230" s="141">
        <f>Assumptions!$B$427*(1+Assumptions!$B$428)^K$5</f>
        <v>12.547912923656584</v>
      </c>
      <c r="L230" s="141">
        <f>Assumptions!$B$427*(1+Assumptions!$B$428)^L$5</f>
        <v>18.432884084851523</v>
      </c>
      <c r="M230" s="141">
        <f>Assumptions!$B$427*(1+Assumptions!$B$428)^M$5</f>
        <v>27.07790672064688</v>
      </c>
      <c r="N230" s="141">
        <f>Assumptions!$B$427*(1+Assumptions!$B$428)^N$5</f>
        <v>39.777444972630271</v>
      </c>
      <c r="O230" s="141">
        <f>Assumptions!$B$427*(1+Assumptions!$B$428)^O$5</f>
        <v>58.433066664793863</v>
      </c>
      <c r="P230" s="141">
        <f>Assumptions!$B$427*(1+Assumptions!$B$428)^P$5</f>
        <v>85.838174930582184</v>
      </c>
      <c r="Q230" s="141">
        <f>Assumptions!$B$427*(1+Assumptions!$B$428)^Q$5</f>
        <v>126.09627897302522</v>
      </c>
      <c r="R230" s="141">
        <f>Assumptions!$B$427*(1+Assumptions!$B$428)^R$5</f>
        <v>185.23543381137404</v>
      </c>
      <c r="S230" s="141">
        <f>Assumptions!$B$427*(1+Assumptions!$B$428)^S$5</f>
        <v>272.11085226890845</v>
      </c>
    </row>
    <row r="231" spans="1:19">
      <c r="A231" s="5" t="s">
        <v>1532</v>
      </c>
      <c r="B231" s="47"/>
      <c r="C231" s="47"/>
      <c r="D231" s="80">
        <f>Assumptions!$B$429</f>
        <v>300</v>
      </c>
      <c r="E231" s="80">
        <f>Assumptions!$B$429*(1+Assumptions!$B$430)^E$5</f>
        <v>300</v>
      </c>
      <c r="F231" s="80">
        <f>Assumptions!$B$429*(1+Assumptions!$B$430)^F$5</f>
        <v>300</v>
      </c>
      <c r="G231" s="80">
        <f>Assumptions!$B$429*(1+Assumptions!$B$430)^G$5</f>
        <v>300</v>
      </c>
      <c r="H231" s="80">
        <f>Assumptions!$B$429*(1+Assumptions!$B$430)^H$5</f>
        <v>300</v>
      </c>
      <c r="I231" s="80">
        <f>Assumptions!$B$429*(1+Assumptions!$B$430)^I$5</f>
        <v>300</v>
      </c>
      <c r="J231" s="80">
        <f>Assumptions!$B$429*(1+Assumptions!$B$430)^J$5</f>
        <v>300</v>
      </c>
      <c r="K231" s="80">
        <f>Assumptions!$B$429*(1+Assumptions!$B$430)^K$5</f>
        <v>300</v>
      </c>
      <c r="L231" s="80">
        <f>Assumptions!$B$429*(1+Assumptions!$B$430)^L$5</f>
        <v>300</v>
      </c>
      <c r="M231" s="80">
        <f>Assumptions!$B$429*(1+Assumptions!$B$430)^M$5</f>
        <v>300</v>
      </c>
      <c r="N231" s="80">
        <f>Assumptions!$B$429*(1+Assumptions!$B$430)^N$5</f>
        <v>300</v>
      </c>
      <c r="O231" s="80">
        <f>Assumptions!$B$429*(1+Assumptions!$B$430)^O$5</f>
        <v>300</v>
      </c>
      <c r="P231" s="80">
        <f>Assumptions!$B$429*(1+Assumptions!$B$430)^P$5</f>
        <v>300</v>
      </c>
      <c r="Q231" s="80">
        <f>Assumptions!$B$429*(1+Assumptions!$B$430)^Q$5</f>
        <v>300</v>
      </c>
      <c r="R231" s="80">
        <f>Assumptions!$B$429*(1+Assumptions!$B$430)^R$5</f>
        <v>300</v>
      </c>
      <c r="S231" s="80">
        <f>Assumptions!$B$429*(1+Assumptions!$B$430)^S$5</f>
        <v>300</v>
      </c>
    </row>
    <row r="232" spans="1:19">
      <c r="A232" s="5" t="s">
        <v>1533</v>
      </c>
      <c r="B232" s="47"/>
      <c r="C232" s="47"/>
      <c r="D232" s="141">
        <f>Assumptions!$B$431</f>
        <v>35</v>
      </c>
      <c r="E232" s="141">
        <f>Assumptions!$B$431*(1+Assumptions!$B$432)^E$5</f>
        <v>38.150000000000006</v>
      </c>
      <c r="F232" s="141">
        <f>Assumptions!$B$431*(1+Assumptions!$B$432)^F$5</f>
        <v>41.583500000000008</v>
      </c>
      <c r="G232" s="141">
        <f>Assumptions!$B$431*(1+Assumptions!$B$432)^G$5</f>
        <v>45.326015000000005</v>
      </c>
      <c r="H232" s="141">
        <f>Assumptions!$B$431*(1+Assumptions!$B$432)^H$5</f>
        <v>49.405356350000012</v>
      </c>
      <c r="I232" s="141">
        <f>Assumptions!$B$431*(1+Assumptions!$B$432)^I$5</f>
        <v>53.85183842150002</v>
      </c>
      <c r="J232" s="141">
        <f>Assumptions!$B$431*(1+Assumptions!$B$432)^J$5</f>
        <v>58.698503879435023</v>
      </c>
      <c r="K232" s="141">
        <f>Assumptions!$B$431*(1+Assumptions!$B$432)^K$5</f>
        <v>63.981369228584171</v>
      </c>
      <c r="L232" s="141">
        <f>Assumptions!$B$431*(1+Assumptions!$B$432)^L$5</f>
        <v>69.739692459156757</v>
      </c>
      <c r="M232" s="141">
        <f>Assumptions!$B$431*(1+Assumptions!$B$432)^M$5</f>
        <v>76.016264780480867</v>
      </c>
      <c r="N232" s="141">
        <f>Assumptions!$B$431*(1+Assumptions!$B$432)^N$5</f>
        <v>82.857728610724152</v>
      </c>
      <c r="O232" s="141">
        <f>Assumptions!$B$431*(1+Assumptions!$B$432)^O$5</f>
        <v>90.314924185689321</v>
      </c>
      <c r="P232" s="141">
        <f>Assumptions!$B$431*(1+Assumptions!$B$432)^P$5</f>
        <v>98.443267362401357</v>
      </c>
      <c r="Q232" s="141">
        <f>Assumptions!$B$431*(1+Assumptions!$B$432)^Q$5</f>
        <v>107.30316142501751</v>
      </c>
      <c r="R232" s="141">
        <f>Assumptions!$B$431*(1+Assumptions!$B$432)^R$5</f>
        <v>116.96044595326909</v>
      </c>
      <c r="S232" s="141">
        <f>Assumptions!$B$431*(1+Assumptions!$B$432)^S$5</f>
        <v>127.4868860890633</v>
      </c>
    </row>
    <row r="233" spans="1:19">
      <c r="A233" s="5" t="s">
        <v>1534</v>
      </c>
      <c r="B233" s="47"/>
      <c r="C233" s="47"/>
      <c r="D233" s="29">
        <f t="shared" ref="D233:S233" si="109">D230*D231</f>
        <v>255</v>
      </c>
      <c r="E233" s="29">
        <f t="shared" si="109"/>
        <v>374.59499999999997</v>
      </c>
      <c r="F233" s="29">
        <f t="shared" si="109"/>
        <v>550.28005499999995</v>
      </c>
      <c r="G233" s="29">
        <f t="shared" si="109"/>
        <v>808.36140079499978</v>
      </c>
      <c r="H233" s="29">
        <f t="shared" si="109"/>
        <v>1187.4828977678549</v>
      </c>
      <c r="I233" s="29">
        <f t="shared" si="109"/>
        <v>1744.4123768209786</v>
      </c>
      <c r="J233" s="29">
        <f t="shared" si="109"/>
        <v>2562.5417815500173</v>
      </c>
      <c r="K233" s="29">
        <f t="shared" si="109"/>
        <v>3764.3738770969753</v>
      </c>
      <c r="L233" s="29">
        <f t="shared" si="109"/>
        <v>5529.8652254554572</v>
      </c>
      <c r="M233" s="29">
        <f t="shared" si="109"/>
        <v>8123.3720161940637</v>
      </c>
      <c r="N233" s="29">
        <f t="shared" si="109"/>
        <v>11933.23349178908</v>
      </c>
      <c r="O233" s="29">
        <f t="shared" si="109"/>
        <v>17529.91999943816</v>
      </c>
      <c r="P233" s="29">
        <f t="shared" si="109"/>
        <v>25751.452479174655</v>
      </c>
      <c r="Q233" s="29">
        <f t="shared" si="109"/>
        <v>37828.883691907569</v>
      </c>
      <c r="R233" s="29">
        <f t="shared" si="109"/>
        <v>55570.630143412214</v>
      </c>
      <c r="S233" s="29">
        <f t="shared" si="109"/>
        <v>81633.255680672533</v>
      </c>
    </row>
    <row r="234" spans="1:19">
      <c r="A234" s="5" t="s">
        <v>1535</v>
      </c>
      <c r="B234" s="47"/>
      <c r="C234" s="47"/>
      <c r="D234" s="29">
        <f t="shared" ref="D234:S234" si="110">D230*D232</f>
        <v>29.75</v>
      </c>
      <c r="E234" s="29">
        <f t="shared" si="110"/>
        <v>47.635997500000002</v>
      </c>
      <c r="F234" s="29">
        <f t="shared" si="110"/>
        <v>76.275235556975005</v>
      </c>
      <c r="G234" s="29">
        <f t="shared" si="110"/>
        <v>122.13266992618392</v>
      </c>
      <c r="H234" s="29">
        <f t="shared" si="110"/>
        <v>195.560052412505</v>
      </c>
      <c r="I234" s="29">
        <f t="shared" si="110"/>
        <v>313.13271152342713</v>
      </c>
      <c r="J234" s="29">
        <f t="shared" si="110"/>
        <v>501.39122901842677</v>
      </c>
      <c r="K234" s="29">
        <f t="shared" si="110"/>
        <v>802.83264981659499</v>
      </c>
      <c r="L234" s="29">
        <f t="shared" si="110"/>
        <v>1285.5036672128304</v>
      </c>
      <c r="M234" s="29">
        <f t="shared" si="110"/>
        <v>2058.3613269778557</v>
      </c>
      <c r="N234" s="29">
        <f t="shared" si="110"/>
        <v>3295.8687403702129</v>
      </c>
      <c r="O234" s="29">
        <f t="shared" si="110"/>
        <v>5277.3779857681875</v>
      </c>
      <c r="P234" s="29">
        <f t="shared" si="110"/>
        <v>8450.19040459188</v>
      </c>
      <c r="Q234" s="29">
        <f t="shared" si="110"/>
        <v>13530.529377736566</v>
      </c>
      <c r="R234" s="29">
        <f t="shared" si="110"/>
        <v>21665.218944925567</v>
      </c>
      <c r="S234" s="29">
        <f t="shared" si="110"/>
        <v>34690.565226804261</v>
      </c>
    </row>
    <row r="235" spans="1:19">
      <c r="A235" s="5" t="s">
        <v>1536</v>
      </c>
      <c r="B235" s="47"/>
      <c r="C235" s="47"/>
      <c r="D235" s="141">
        <f>Assumptions!$B$433</f>
        <v>0.16</v>
      </c>
      <c r="E235" s="141">
        <f>Assumptions!$B$433*(1+Assumptions!$B$434)^E$5</f>
        <v>0.23440000000000003</v>
      </c>
      <c r="F235" s="141">
        <f>Assumptions!$B$433*(1+Assumptions!$B$434)^F$5</f>
        <v>0.34339600000000003</v>
      </c>
      <c r="G235" s="141">
        <f>Assumptions!$B$433*(1+Assumptions!$B$434)^G$5</f>
        <v>0.50307514000000009</v>
      </c>
      <c r="H235" s="141">
        <f>Assumptions!$B$433*(1+Assumptions!$B$434)^H$5</f>
        <v>0.73700508010000021</v>
      </c>
      <c r="I235" s="141">
        <f>Assumptions!$B$433*(1+Assumptions!$B$434)^I$5</f>
        <v>1.0797124423465005</v>
      </c>
      <c r="J235" s="141">
        <f>Assumptions!$B$433*(1+Assumptions!$B$434)^J$5</f>
        <v>1.5817787280376232</v>
      </c>
      <c r="K235" s="141">
        <f>Assumptions!$B$433*(1+Assumptions!$B$434)^K$5</f>
        <v>2.3173058365751182</v>
      </c>
      <c r="L235" s="141">
        <f>Assumptions!$B$433*(1+Assumptions!$B$434)^L$5</f>
        <v>3.3948530505825483</v>
      </c>
      <c r="M235" s="141">
        <f>Assumptions!$B$433*(1+Assumptions!$B$434)^M$5</f>
        <v>4.9734597191034338</v>
      </c>
      <c r="N235" s="141">
        <f>Assumptions!$B$433*(1+Assumptions!$B$434)^N$5</f>
        <v>7.2861184884865304</v>
      </c>
      <c r="O235" s="141">
        <f>Assumptions!$B$433*(1+Assumptions!$B$434)^O$5</f>
        <v>10.674163585632769</v>
      </c>
      <c r="P235" s="141">
        <f>Assumptions!$B$433*(1+Assumptions!$B$434)^P$5</f>
        <v>15.637649652952007</v>
      </c>
      <c r="Q235" s="141">
        <f>Assumptions!$B$433*(1+Assumptions!$B$434)^Q$5</f>
        <v>22.909156741574694</v>
      </c>
      <c r="R235" s="141">
        <f>Assumptions!$B$433*(1+Assumptions!$B$434)^R$5</f>
        <v>33.561914626406924</v>
      </c>
      <c r="S235" s="141">
        <f>Assumptions!$B$433*(1+Assumptions!$B$434)^S$5</f>
        <v>49.168204927686155</v>
      </c>
    </row>
    <row r="236" spans="1:19">
      <c r="A236" s="5" t="s">
        <v>1537</v>
      </c>
      <c r="B236" s="47"/>
      <c r="C236" s="47"/>
      <c r="D236" s="80">
        <f>Assumptions!$B$435</f>
        <v>368</v>
      </c>
      <c r="E236" s="80">
        <f>Assumptions!$B$435*(1+Assumptions!$B$436)^E$5</f>
        <v>368</v>
      </c>
      <c r="F236" s="80">
        <f>Assumptions!$B$435*(1+Assumptions!$B$436)^F$5</f>
        <v>368</v>
      </c>
      <c r="G236" s="80">
        <f>Assumptions!$B$435*(1+Assumptions!$B$436)^G$5</f>
        <v>368</v>
      </c>
      <c r="H236" s="80">
        <f>Assumptions!$B$435*(1+Assumptions!$B$436)^H$5</f>
        <v>368</v>
      </c>
      <c r="I236" s="80">
        <f>Assumptions!$B$435*(1+Assumptions!$B$436)^I$5</f>
        <v>368</v>
      </c>
      <c r="J236" s="80">
        <f>Assumptions!$B$435*(1+Assumptions!$B$436)^J$5</f>
        <v>368</v>
      </c>
      <c r="K236" s="80">
        <f>Assumptions!$B$435*(1+Assumptions!$B$436)^K$5</f>
        <v>368</v>
      </c>
      <c r="L236" s="80">
        <f>Assumptions!$B$435*(1+Assumptions!$B$436)^L$5</f>
        <v>368</v>
      </c>
      <c r="M236" s="80">
        <f>Assumptions!$B$435*(1+Assumptions!$B$436)^M$5</f>
        <v>368</v>
      </c>
      <c r="N236" s="80">
        <f>Assumptions!$B$435*(1+Assumptions!$B$436)^N$5</f>
        <v>368</v>
      </c>
      <c r="O236" s="80">
        <f>Assumptions!$B$435*(1+Assumptions!$B$436)^O$5</f>
        <v>368</v>
      </c>
      <c r="P236" s="80">
        <f>Assumptions!$B$435*(1+Assumptions!$B$436)^P$5</f>
        <v>368</v>
      </c>
      <c r="Q236" s="80">
        <f>Assumptions!$B$435*(1+Assumptions!$B$436)^Q$5</f>
        <v>368</v>
      </c>
      <c r="R236" s="80">
        <f>Assumptions!$B$435*(1+Assumptions!$B$436)^R$5</f>
        <v>368</v>
      </c>
      <c r="S236" s="80">
        <f>Assumptions!$B$435*(1+Assumptions!$B$436)^S$5</f>
        <v>368</v>
      </c>
    </row>
    <row r="237" spans="1:19">
      <c r="A237" s="5" t="s">
        <v>1538</v>
      </c>
      <c r="B237" s="47"/>
      <c r="C237" s="47"/>
      <c r="D237" s="141">
        <f>Assumptions!$B$437</f>
        <v>285</v>
      </c>
      <c r="E237" s="141">
        <f>Assumptions!$B$437*(1+Assumptions!$B$438)^E$5</f>
        <v>313.5</v>
      </c>
      <c r="F237" s="141">
        <f>Assumptions!$B$437*(1+Assumptions!$B$438)^F$5</f>
        <v>344.85000000000008</v>
      </c>
      <c r="G237" s="141">
        <f>Assumptions!$B$437*(1+Assumptions!$B$438)^G$5</f>
        <v>379.33500000000009</v>
      </c>
      <c r="H237" s="141">
        <f>Assumptions!$B$437*(1+Assumptions!$B$438)^H$5</f>
        <v>417.26850000000013</v>
      </c>
      <c r="I237" s="141">
        <f>Assumptions!$B$437*(1+Assumptions!$B$438)^I$5</f>
        <v>458.99535000000014</v>
      </c>
      <c r="J237" s="141">
        <f>Assumptions!$B$437*(1+Assumptions!$B$438)^J$5</f>
        <v>504.89488500000022</v>
      </c>
      <c r="K237" s="141">
        <f>Assumptions!$B$437*(1+Assumptions!$B$438)^K$5</f>
        <v>555.38437350000038</v>
      </c>
      <c r="L237" s="141">
        <f>Assumptions!$B$437*(1+Assumptions!$B$438)^L$5</f>
        <v>610.92281085000036</v>
      </c>
      <c r="M237" s="141">
        <f>Assumptions!$B$437*(1+Assumptions!$B$438)^M$5</f>
        <v>672.01509193500044</v>
      </c>
      <c r="N237" s="141">
        <f>Assumptions!$B$437*(1+Assumptions!$B$438)^N$5</f>
        <v>739.21660112850054</v>
      </c>
      <c r="O237" s="141">
        <f>Assumptions!$B$437*(1+Assumptions!$B$438)^O$5</f>
        <v>813.13826124135073</v>
      </c>
      <c r="P237" s="141">
        <f>Assumptions!$B$437*(1+Assumptions!$B$438)^P$5</f>
        <v>894.4520873654858</v>
      </c>
      <c r="Q237" s="141">
        <f>Assumptions!$B$437*(1+Assumptions!$B$438)^Q$5</f>
        <v>983.89729610203437</v>
      </c>
      <c r="R237" s="141">
        <f>Assumptions!$B$437*(1+Assumptions!$B$438)^R$5</f>
        <v>1082.2870257122379</v>
      </c>
      <c r="S237" s="141">
        <f>Assumptions!$B$437*(1+Assumptions!$B$438)^S$5</f>
        <v>1190.5157282834618</v>
      </c>
    </row>
    <row r="238" spans="1:19">
      <c r="A238" s="5" t="s">
        <v>1539</v>
      </c>
      <c r="B238" s="47"/>
      <c r="C238" s="47"/>
      <c r="D238" s="29">
        <f t="shared" ref="D238:S238" si="111">D235*D236</f>
        <v>58.88</v>
      </c>
      <c r="E238" s="29">
        <f t="shared" si="111"/>
        <v>86.259200000000007</v>
      </c>
      <c r="F238" s="29">
        <f t="shared" si="111"/>
        <v>126.36972800000001</v>
      </c>
      <c r="G238" s="29">
        <f t="shared" si="111"/>
        <v>185.13165152000002</v>
      </c>
      <c r="H238" s="29">
        <f t="shared" si="111"/>
        <v>271.2178694768001</v>
      </c>
      <c r="I238" s="29">
        <f t="shared" si="111"/>
        <v>397.33417878351219</v>
      </c>
      <c r="J238" s="29">
        <f t="shared" si="111"/>
        <v>582.09457191784531</v>
      </c>
      <c r="K238" s="29">
        <f t="shared" si="111"/>
        <v>852.76854785964349</v>
      </c>
      <c r="L238" s="29">
        <f t="shared" si="111"/>
        <v>1249.3059226143778</v>
      </c>
      <c r="M238" s="29">
        <f t="shared" si="111"/>
        <v>1830.2331766300636</v>
      </c>
      <c r="N238" s="29">
        <f t="shared" si="111"/>
        <v>2681.291603763043</v>
      </c>
      <c r="O238" s="29">
        <f t="shared" si="111"/>
        <v>3928.0921995128592</v>
      </c>
      <c r="P238" s="29">
        <f t="shared" si="111"/>
        <v>5754.6550722863385</v>
      </c>
      <c r="Q238" s="29">
        <f t="shared" si="111"/>
        <v>8430.5696808994871</v>
      </c>
      <c r="R238" s="29">
        <f t="shared" si="111"/>
        <v>12350.784582517748</v>
      </c>
      <c r="S238" s="29">
        <f t="shared" si="111"/>
        <v>18093.899413388506</v>
      </c>
    </row>
    <row r="239" spans="1:19">
      <c r="A239" s="5" t="s">
        <v>1540</v>
      </c>
      <c r="B239" s="47"/>
      <c r="C239" s="47"/>
      <c r="D239" s="29">
        <f t="shared" ref="D239:S239" si="112">D235*D237</f>
        <v>45.6</v>
      </c>
      <c r="E239" s="29">
        <f t="shared" si="112"/>
        <v>73.484400000000008</v>
      </c>
      <c r="F239" s="29">
        <f t="shared" si="112"/>
        <v>118.42011060000004</v>
      </c>
      <c r="G239" s="29">
        <f t="shared" si="112"/>
        <v>190.83400823190007</v>
      </c>
      <c r="H239" s="29">
        <f t="shared" si="112"/>
        <v>307.52900426570704</v>
      </c>
      <c r="I239" s="29">
        <f t="shared" si="112"/>
        <v>495.58299037418698</v>
      </c>
      <c r="J239" s="29">
        <f t="shared" si="112"/>
        <v>798.63198898800238</v>
      </c>
      <c r="K239" s="29">
        <f t="shared" si="112"/>
        <v>1286.9954502541664</v>
      </c>
      <c r="L239" s="29">
        <f t="shared" si="112"/>
        <v>2073.9931680845889</v>
      </c>
      <c r="M239" s="29">
        <f t="shared" si="112"/>
        <v>3342.2399903683154</v>
      </c>
      <c r="N239" s="29">
        <f t="shared" si="112"/>
        <v>5386.0197444785408</v>
      </c>
      <c r="O239" s="29">
        <f t="shared" si="112"/>
        <v>8679.5708182271719</v>
      </c>
      <c r="P239" s="29">
        <f t="shared" si="112"/>
        <v>13987.128373573087</v>
      </c>
      <c r="Q239" s="29">
        <f t="shared" si="112"/>
        <v>22540.257374013036</v>
      </c>
      <c r="R239" s="29">
        <f t="shared" si="112"/>
        <v>36323.624758222002</v>
      </c>
      <c r="S239" s="29">
        <f t="shared" si="112"/>
        <v>58535.52129787478</v>
      </c>
    </row>
    <row r="240" spans="1:19">
      <c r="A240" s="5" t="s">
        <v>1541</v>
      </c>
      <c r="B240" s="47"/>
      <c r="C240" s="47"/>
      <c r="D240" s="141">
        <f>Assumptions!$B$439</f>
        <v>0.06</v>
      </c>
      <c r="E240" s="141">
        <f>Assumptions!$B$439*(1+Assumptions!$B$440)^E$5</f>
        <v>9.5879999999999993E-2</v>
      </c>
      <c r="F240" s="141">
        <f>Assumptions!$B$439*(1+Assumptions!$B$440)^F$5</f>
        <v>0.15321623999999998</v>
      </c>
      <c r="G240" s="141">
        <f>Assumptions!$B$439*(1+Assumptions!$B$440)^G$5</f>
        <v>0.24483955151999992</v>
      </c>
      <c r="H240" s="141">
        <f>Assumptions!$B$439*(1+Assumptions!$B$440)^H$5</f>
        <v>0.39125360332895981</v>
      </c>
      <c r="I240" s="141">
        <f>Assumptions!$B$439*(1+Assumptions!$B$440)^I$5</f>
        <v>0.62522325811967772</v>
      </c>
      <c r="J240" s="141">
        <f>Assumptions!$B$439*(1+Assumptions!$B$440)^J$5</f>
        <v>0.99910676647524488</v>
      </c>
      <c r="K240" s="141">
        <f>Assumptions!$B$439*(1+Assumptions!$B$440)^K$5</f>
        <v>1.5965726128274413</v>
      </c>
      <c r="L240" s="141">
        <f>Assumptions!$B$439*(1+Assumptions!$B$440)^L$5</f>
        <v>2.551323035298251</v>
      </c>
      <c r="M240" s="141">
        <f>Assumptions!$B$439*(1+Assumptions!$B$440)^M$5</f>
        <v>4.0770142104066043</v>
      </c>
      <c r="N240" s="141">
        <f>Assumptions!$B$439*(1+Assumptions!$B$440)^N$5</f>
        <v>6.5150687082297534</v>
      </c>
      <c r="O240" s="141">
        <f>Assumptions!$B$439*(1+Assumptions!$B$440)^O$5</f>
        <v>10.411079795751146</v>
      </c>
      <c r="P240" s="141">
        <f>Assumptions!$B$439*(1+Assumptions!$B$440)^P$5</f>
        <v>16.636905513610326</v>
      </c>
      <c r="Q240" s="141">
        <f>Assumptions!$B$439*(1+Assumptions!$B$440)^Q$5</f>
        <v>26.585775010749298</v>
      </c>
      <c r="R240" s="141">
        <f>Assumptions!$B$439*(1+Assumptions!$B$440)^R$5</f>
        <v>42.484068467177373</v>
      </c>
      <c r="S240" s="141">
        <f>Assumptions!$B$439*(1+Assumptions!$B$440)^S$5</f>
        <v>67.889541410549441</v>
      </c>
    </row>
    <row r="241" spans="1:19">
      <c r="A241" s="5" t="s">
        <v>1542</v>
      </c>
      <c r="B241" s="47"/>
      <c r="C241" s="47"/>
      <c r="D241" s="80">
        <f>Assumptions!$B$441</f>
        <v>535</v>
      </c>
      <c r="E241" s="80">
        <f>Assumptions!$B$441*(1+Assumptions!$B$442)^E$5</f>
        <v>535</v>
      </c>
      <c r="F241" s="80">
        <f>Assumptions!$B$441*(1+Assumptions!$B$442)^F$5</f>
        <v>535</v>
      </c>
      <c r="G241" s="80">
        <f>Assumptions!$B$441*(1+Assumptions!$B$442)^G$5</f>
        <v>535</v>
      </c>
      <c r="H241" s="80">
        <f>Assumptions!$B$441*(1+Assumptions!$B$442)^H$5</f>
        <v>535</v>
      </c>
      <c r="I241" s="80">
        <f>Assumptions!$B$441*(1+Assumptions!$B$442)^I$5</f>
        <v>535</v>
      </c>
      <c r="J241" s="80">
        <f>Assumptions!$B$441*(1+Assumptions!$B$442)^J$5</f>
        <v>535</v>
      </c>
      <c r="K241" s="80">
        <f>Assumptions!$B$441*(1+Assumptions!$B$442)^K$5</f>
        <v>535</v>
      </c>
      <c r="L241" s="80">
        <f>Assumptions!$B$441*(1+Assumptions!$B$442)^L$5</f>
        <v>535</v>
      </c>
      <c r="M241" s="80">
        <f>Assumptions!$B$441*(1+Assumptions!$B$442)^M$5</f>
        <v>535</v>
      </c>
      <c r="N241" s="80">
        <f>Assumptions!$B$441*(1+Assumptions!$B$442)^N$5</f>
        <v>535</v>
      </c>
      <c r="O241" s="80">
        <f>Assumptions!$B$441*(1+Assumptions!$B$442)^O$5</f>
        <v>535</v>
      </c>
      <c r="P241" s="80">
        <f>Assumptions!$B$441*(1+Assumptions!$B$442)^P$5</f>
        <v>535</v>
      </c>
      <c r="Q241" s="80">
        <f>Assumptions!$B$441*(1+Assumptions!$B$442)^Q$5</f>
        <v>535</v>
      </c>
      <c r="R241" s="80">
        <f>Assumptions!$B$441*(1+Assumptions!$B$442)^R$5</f>
        <v>535</v>
      </c>
      <c r="S241" s="80">
        <f>Assumptions!$B$441*(1+Assumptions!$B$442)^S$5</f>
        <v>535</v>
      </c>
    </row>
    <row r="242" spans="1:19">
      <c r="A242" s="5" t="s">
        <v>1543</v>
      </c>
      <c r="B242" s="47"/>
      <c r="C242" s="47"/>
      <c r="D242" s="141">
        <f>Assumptions!$B$443</f>
        <v>166</v>
      </c>
      <c r="E242" s="141">
        <f>Assumptions!$B$443*(1+Assumptions!$B$444)^E$5</f>
        <v>182.60000000000002</v>
      </c>
      <c r="F242" s="141">
        <f>Assumptions!$B$443*(1+Assumptions!$B$444)^F$5</f>
        <v>200.86000000000004</v>
      </c>
      <c r="G242" s="141">
        <f>Assumptions!$B$443*(1+Assumptions!$B$444)^G$5</f>
        <v>220.94600000000005</v>
      </c>
      <c r="H242" s="141">
        <f>Assumptions!$B$443*(1+Assumptions!$B$444)^H$5</f>
        <v>243.04060000000007</v>
      </c>
      <c r="I242" s="141">
        <f>Assumptions!$B$443*(1+Assumptions!$B$444)^I$5</f>
        <v>267.34466000000009</v>
      </c>
      <c r="J242" s="141">
        <f>Assumptions!$B$443*(1+Assumptions!$B$444)^J$5</f>
        <v>294.07912600000014</v>
      </c>
      <c r="K242" s="141">
        <f>Assumptions!$B$443*(1+Assumptions!$B$444)^K$5</f>
        <v>323.48703860000018</v>
      </c>
      <c r="L242" s="141">
        <f>Assumptions!$B$443*(1+Assumptions!$B$444)^L$5</f>
        <v>355.83574246000018</v>
      </c>
      <c r="M242" s="141">
        <f>Assumptions!$B$443*(1+Assumptions!$B$444)^M$5</f>
        <v>391.41931670600025</v>
      </c>
      <c r="N242" s="141">
        <f>Assumptions!$B$443*(1+Assumptions!$B$444)^N$5</f>
        <v>430.5612483766003</v>
      </c>
      <c r="O242" s="141">
        <f>Assumptions!$B$443*(1+Assumptions!$B$444)^O$5</f>
        <v>473.6173732142604</v>
      </c>
      <c r="P242" s="141">
        <f>Assumptions!$B$443*(1+Assumptions!$B$444)^P$5</f>
        <v>520.97911053568646</v>
      </c>
      <c r="Q242" s="141">
        <f>Assumptions!$B$443*(1+Assumptions!$B$444)^Q$5</f>
        <v>573.07702158925508</v>
      </c>
      <c r="R242" s="141">
        <f>Assumptions!$B$443*(1+Assumptions!$B$444)^R$5</f>
        <v>630.3847237481807</v>
      </c>
      <c r="S242" s="141">
        <f>Assumptions!$B$443*(1+Assumptions!$B$444)^S$5</f>
        <v>693.42319612299877</v>
      </c>
    </row>
    <row r="243" spans="1:19">
      <c r="A243" s="5" t="s">
        <v>1544</v>
      </c>
      <c r="B243" s="47"/>
      <c r="C243" s="47"/>
      <c r="D243" s="29">
        <f t="shared" ref="D243:S243" si="113">D240*D241</f>
        <v>32.1</v>
      </c>
      <c r="E243" s="29">
        <f t="shared" si="113"/>
        <v>51.295799999999993</v>
      </c>
      <c r="F243" s="29">
        <f t="shared" si="113"/>
        <v>81.970688399999986</v>
      </c>
      <c r="G243" s="29">
        <f t="shared" si="113"/>
        <v>130.98916006319996</v>
      </c>
      <c r="H243" s="29">
        <f t="shared" si="113"/>
        <v>209.32067778099349</v>
      </c>
      <c r="I243" s="29">
        <f t="shared" si="113"/>
        <v>334.49444309402759</v>
      </c>
      <c r="J243" s="29">
        <f t="shared" si="113"/>
        <v>534.522120064256</v>
      </c>
      <c r="K243" s="29">
        <f t="shared" si="113"/>
        <v>854.16634786268116</v>
      </c>
      <c r="L243" s="29">
        <f t="shared" si="113"/>
        <v>1364.9578238845643</v>
      </c>
      <c r="M243" s="29">
        <f t="shared" si="113"/>
        <v>2181.2026025675332</v>
      </c>
      <c r="N243" s="29">
        <f t="shared" si="113"/>
        <v>3485.561758902918</v>
      </c>
      <c r="O243" s="29">
        <f t="shared" si="113"/>
        <v>5569.9276907268631</v>
      </c>
      <c r="P243" s="29">
        <f t="shared" si="113"/>
        <v>8900.744449781525</v>
      </c>
      <c r="Q243" s="29">
        <f t="shared" si="113"/>
        <v>14223.389630750875</v>
      </c>
      <c r="R243" s="29">
        <f t="shared" si="113"/>
        <v>22728.976629939894</v>
      </c>
      <c r="S243" s="29">
        <f t="shared" si="113"/>
        <v>36320.904654643949</v>
      </c>
    </row>
    <row r="244" spans="1:19">
      <c r="A244" s="5" t="s">
        <v>1545</v>
      </c>
      <c r="B244" s="47"/>
      <c r="C244" s="47"/>
      <c r="D244" s="29">
        <f t="shared" ref="D244:S244" si="114">D240*D242</f>
        <v>9.9599999999999991</v>
      </c>
      <c r="E244" s="29">
        <f t="shared" si="114"/>
        <v>17.507688000000002</v>
      </c>
      <c r="F244" s="29">
        <f t="shared" si="114"/>
        <v>30.775013966400003</v>
      </c>
      <c r="G244" s="29">
        <f t="shared" si="114"/>
        <v>54.096319550137913</v>
      </c>
      <c r="H244" s="29">
        <f t="shared" si="114"/>
        <v>95.090510505232416</v>
      </c>
      <c r="I244" s="29">
        <f t="shared" si="114"/>
        <v>167.15009936609752</v>
      </c>
      <c r="J244" s="29">
        <f t="shared" si="114"/>
        <v>293.81644466572624</v>
      </c>
      <c r="K244" s="29">
        <f t="shared" si="114"/>
        <v>516.47054643341369</v>
      </c>
      <c r="L244" s="29">
        <f t="shared" si="114"/>
        <v>907.85192652065439</v>
      </c>
      <c r="M244" s="29">
        <f t="shared" si="114"/>
        <v>1595.8221164380061</v>
      </c>
      <c r="N244" s="29">
        <f t="shared" si="114"/>
        <v>2805.1361162747276</v>
      </c>
      <c r="O244" s="29">
        <f t="shared" si="114"/>
        <v>4930.8682651877161</v>
      </c>
      <c r="P244" s="29">
        <f t="shared" si="114"/>
        <v>8667.4802365469659</v>
      </c>
      <c r="Q244" s="29">
        <f t="shared" si="114"/>
        <v>15235.696759802255</v>
      </c>
      <c r="R244" s="29">
        <f t="shared" si="114"/>
        <v>26781.307764380403</v>
      </c>
      <c r="S244" s="29">
        <f t="shared" si="114"/>
        <v>47076.182788227874</v>
      </c>
    </row>
    <row r="245" spans="1:19">
      <c r="A245" s="5" t="s">
        <v>1546</v>
      </c>
      <c r="B245" s="47"/>
      <c r="C245" s="47"/>
      <c r="D245" s="141">
        <f>Assumptions!$B$445</f>
        <v>1.4999999999999999E-2</v>
      </c>
      <c r="E245" s="141">
        <f>Assumptions!$B$445*(1+Assumptions!$B$446)^E$5</f>
        <v>2.6009999999999998E-2</v>
      </c>
      <c r="F245" s="141">
        <f>Assumptions!$B$445*(1+Assumptions!$B$446)^F$5</f>
        <v>4.5101339999999997E-2</v>
      </c>
      <c r="G245" s="141">
        <f>Assumptions!$B$445*(1+Assumptions!$B$446)^G$5</f>
        <v>7.8205723559999996E-2</v>
      </c>
      <c r="H245" s="141">
        <f>Assumptions!$B$445*(1+Assumptions!$B$446)^H$5</f>
        <v>0.13560872465303997</v>
      </c>
      <c r="I245" s="141">
        <f>Assumptions!$B$445*(1+Assumptions!$B$446)^I$5</f>
        <v>0.23514552854837134</v>
      </c>
      <c r="J245" s="141">
        <f>Assumptions!$B$445*(1+Assumptions!$B$446)^J$5</f>
        <v>0.40774234650287589</v>
      </c>
      <c r="K245" s="141">
        <f>Assumptions!$B$445*(1+Assumptions!$B$446)^K$5</f>
        <v>0.70702522883598673</v>
      </c>
      <c r="L245" s="141">
        <f>Assumptions!$B$445*(1+Assumptions!$B$446)^L$5</f>
        <v>1.225981746801601</v>
      </c>
      <c r="M245" s="141">
        <f>Assumptions!$B$445*(1+Assumptions!$B$446)^M$5</f>
        <v>2.1258523489539765</v>
      </c>
      <c r="N245" s="141">
        <f>Assumptions!$B$445*(1+Assumptions!$B$446)^N$5</f>
        <v>3.6862279730861944</v>
      </c>
      <c r="O245" s="141">
        <f>Assumptions!$B$445*(1+Assumptions!$B$446)^O$5</f>
        <v>6.3919193053314611</v>
      </c>
      <c r="P245" s="141">
        <f>Assumptions!$B$445*(1+Assumptions!$B$446)^P$5</f>
        <v>11.083588075444753</v>
      </c>
      <c r="Q245" s="141">
        <f>Assumptions!$B$445*(1+Assumptions!$B$446)^Q$5</f>
        <v>19.218941722821203</v>
      </c>
      <c r="R245" s="141">
        <f>Assumptions!$B$445*(1+Assumptions!$B$446)^R$5</f>
        <v>33.32564494737197</v>
      </c>
      <c r="S245" s="141">
        <f>Assumptions!$B$445*(1+Assumptions!$B$446)^S$5</f>
        <v>57.786668338742977</v>
      </c>
    </row>
    <row r="246" spans="1:19">
      <c r="A246" s="5" t="s">
        <v>1547</v>
      </c>
      <c r="B246" s="47"/>
      <c r="C246" s="47"/>
      <c r="D246" s="80">
        <f>Assumptions!$B$447</f>
        <v>2400</v>
      </c>
      <c r="E246" s="80">
        <f>Assumptions!$B$447*(1+Assumptions!$B$448)^E$5</f>
        <v>2400</v>
      </c>
      <c r="F246" s="80">
        <f>Assumptions!$B$447*(1+Assumptions!$B$448)^F$5</f>
        <v>2400</v>
      </c>
      <c r="G246" s="80">
        <f>Assumptions!$B$447*(1+Assumptions!$B$448)^G$5</f>
        <v>2400</v>
      </c>
      <c r="H246" s="80">
        <f>Assumptions!$B$447*(1+Assumptions!$B$448)^H$5</f>
        <v>2400</v>
      </c>
      <c r="I246" s="80">
        <f>Assumptions!$B$447*(1+Assumptions!$B$448)^I$5</f>
        <v>2400</v>
      </c>
      <c r="J246" s="80">
        <f>Assumptions!$B$447*(1+Assumptions!$B$448)^J$5</f>
        <v>2400</v>
      </c>
      <c r="K246" s="80">
        <f>Assumptions!$B$447*(1+Assumptions!$B$448)^K$5</f>
        <v>2400</v>
      </c>
      <c r="L246" s="80">
        <f>Assumptions!$B$447*(1+Assumptions!$B$448)^L$5</f>
        <v>2400</v>
      </c>
      <c r="M246" s="80">
        <f>Assumptions!$B$447*(1+Assumptions!$B$448)^M$5</f>
        <v>2400</v>
      </c>
      <c r="N246" s="80">
        <f>Assumptions!$B$447*(1+Assumptions!$B$448)^N$5</f>
        <v>2400</v>
      </c>
      <c r="O246" s="80">
        <f>Assumptions!$B$447*(1+Assumptions!$B$448)^O$5</f>
        <v>2400</v>
      </c>
      <c r="P246" s="80">
        <f>Assumptions!$B$447*(1+Assumptions!$B$448)^P$5</f>
        <v>2400</v>
      </c>
      <c r="Q246" s="80">
        <f>Assumptions!$B$447*(1+Assumptions!$B$448)^Q$5</f>
        <v>2400</v>
      </c>
      <c r="R246" s="80">
        <f>Assumptions!$B$447*(1+Assumptions!$B$448)^R$5</f>
        <v>2400</v>
      </c>
      <c r="S246" s="80">
        <f>Assumptions!$B$447*(1+Assumptions!$B$448)^S$5</f>
        <v>2400</v>
      </c>
    </row>
    <row r="247" spans="1:19">
      <c r="A247" s="5" t="s">
        <v>1548</v>
      </c>
      <c r="B247" s="47"/>
      <c r="C247" s="47"/>
      <c r="D247" s="141">
        <f>Assumptions!$B$449</f>
        <v>233</v>
      </c>
      <c r="E247" s="141">
        <f>Assumptions!$B$449*(1+Assumptions!$B$450)^E$5</f>
        <v>260.96000000000004</v>
      </c>
      <c r="F247" s="141">
        <f>Assumptions!$B$449*(1+Assumptions!$B$450)^F$5</f>
        <v>292.27520000000004</v>
      </c>
      <c r="G247" s="141">
        <f>Assumptions!$B$449*(1+Assumptions!$B$450)^G$5</f>
        <v>327.34822400000007</v>
      </c>
      <c r="H247" s="141">
        <f>Assumptions!$B$449*(1+Assumptions!$B$450)^H$5</f>
        <v>366.6300108800001</v>
      </c>
      <c r="I247" s="141">
        <f>Assumptions!$B$449*(1+Assumptions!$B$450)^I$5</f>
        <v>410.62561218560012</v>
      </c>
      <c r="J247" s="141">
        <f>Assumptions!$B$449*(1+Assumptions!$B$450)^J$5</f>
        <v>459.90068564787219</v>
      </c>
      <c r="K247" s="141">
        <f>Assumptions!$B$449*(1+Assumptions!$B$450)^K$5</f>
        <v>515.08876792561682</v>
      </c>
      <c r="L247" s="141">
        <f>Assumptions!$B$449*(1+Assumptions!$B$450)^L$5</f>
        <v>576.89942007669094</v>
      </c>
      <c r="M247" s="141">
        <f>Assumptions!$B$449*(1+Assumptions!$B$450)^M$5</f>
        <v>646.12735048589388</v>
      </c>
      <c r="N247" s="141">
        <f>Assumptions!$B$449*(1+Assumptions!$B$450)^N$5</f>
        <v>723.66263254420119</v>
      </c>
      <c r="O247" s="141">
        <f>Assumptions!$B$449*(1+Assumptions!$B$450)^O$5</f>
        <v>810.50214844950551</v>
      </c>
      <c r="P247" s="141">
        <f>Assumptions!$B$449*(1+Assumptions!$B$450)^P$5</f>
        <v>907.76240626344611</v>
      </c>
      <c r="Q247" s="141">
        <f>Assumptions!$B$449*(1+Assumptions!$B$450)^Q$5</f>
        <v>1016.6938950150598</v>
      </c>
      <c r="R247" s="141">
        <f>Assumptions!$B$449*(1+Assumptions!$B$450)^R$5</f>
        <v>1138.6971624168671</v>
      </c>
      <c r="S247" s="141">
        <f>Assumptions!$B$449*(1+Assumptions!$B$450)^S$5</f>
        <v>1275.3408219068911</v>
      </c>
    </row>
    <row r="248" spans="1:19">
      <c r="A248" s="5" t="s">
        <v>1549</v>
      </c>
      <c r="B248" s="47"/>
      <c r="C248" s="47"/>
      <c r="D248" s="29">
        <f t="shared" ref="D248:S248" si="115">D245*D246</f>
        <v>36</v>
      </c>
      <c r="E248" s="29">
        <f t="shared" si="115"/>
        <v>62.423999999999999</v>
      </c>
      <c r="F248" s="29">
        <f t="shared" si="115"/>
        <v>108.24321599999999</v>
      </c>
      <c r="G248" s="29">
        <f t="shared" si="115"/>
        <v>187.69373654399999</v>
      </c>
      <c r="H248" s="29">
        <f t="shared" si="115"/>
        <v>325.46093916729592</v>
      </c>
      <c r="I248" s="29">
        <f t="shared" si="115"/>
        <v>564.34926851609123</v>
      </c>
      <c r="J248" s="29">
        <f t="shared" si="115"/>
        <v>978.58163160690208</v>
      </c>
      <c r="K248" s="29">
        <f t="shared" si="115"/>
        <v>1696.8605492063682</v>
      </c>
      <c r="L248" s="29">
        <f t="shared" si="115"/>
        <v>2942.3561923238422</v>
      </c>
      <c r="M248" s="29">
        <f t="shared" si="115"/>
        <v>5102.0456374895439</v>
      </c>
      <c r="N248" s="29">
        <f t="shared" si="115"/>
        <v>8846.9471354068664</v>
      </c>
      <c r="O248" s="29">
        <f t="shared" si="115"/>
        <v>15340.606332795507</v>
      </c>
      <c r="P248" s="29">
        <f t="shared" si="115"/>
        <v>26600.611381067407</v>
      </c>
      <c r="Q248" s="29">
        <f t="shared" si="115"/>
        <v>46125.460134770889</v>
      </c>
      <c r="R248" s="29">
        <f t="shared" si="115"/>
        <v>79981.547873692733</v>
      </c>
      <c r="S248" s="29">
        <f t="shared" si="115"/>
        <v>138688.00401298315</v>
      </c>
    </row>
    <row r="249" spans="1:19">
      <c r="A249" s="5" t="s">
        <v>1550</v>
      </c>
      <c r="B249" s="47"/>
      <c r="C249" s="47"/>
      <c r="D249" s="29">
        <f t="shared" ref="D249:S249" si="116">D245*D247</f>
        <v>3.4949999999999997</v>
      </c>
      <c r="E249" s="29">
        <f t="shared" si="116"/>
        <v>6.7875696000000003</v>
      </c>
      <c r="F249" s="29">
        <f t="shared" si="116"/>
        <v>13.182003168768</v>
      </c>
      <c r="G249" s="29">
        <f t="shared" si="116"/>
        <v>25.600504714000962</v>
      </c>
      <c r="H249" s="29">
        <f t="shared" si="116"/>
        <v>49.718228194966983</v>
      </c>
      <c r="I249" s="29">
        <f t="shared" si="116"/>
        <v>96.556776612881492</v>
      </c>
      <c r="J249" s="29">
        <f t="shared" si="116"/>
        <v>187.52098472434491</v>
      </c>
      <c r="K249" s="29">
        <f t="shared" si="116"/>
        <v>364.18075401345567</v>
      </c>
      <c r="L249" s="29">
        <f t="shared" si="116"/>
        <v>707.2681587544522</v>
      </c>
      <c r="M249" s="29">
        <f t="shared" si="116"/>
        <v>1373.5713457538468</v>
      </c>
      <c r="N249" s="29">
        <f t="shared" si="116"/>
        <v>2667.5854391616303</v>
      </c>
      <c r="O249" s="29">
        <f t="shared" si="116"/>
        <v>5180.6643296870197</v>
      </c>
      <c r="P249" s="29">
        <f t="shared" si="116"/>
        <v>10061.264581398567</v>
      </c>
      <c r="Q249" s="29">
        <f t="shared" si="116"/>
        <v>19539.780718242531</v>
      </c>
      <c r="R249" s="29">
        <f t="shared" si="116"/>
        <v>37947.817337284469</v>
      </c>
      <c r="S249" s="29">
        <f t="shared" si="116"/>
        <v>73697.697094393385</v>
      </c>
    </row>
    <row r="250" spans="1:19">
      <c r="A250" s="5" t="s">
        <v>1551</v>
      </c>
      <c r="B250" s="47"/>
      <c r="C250" s="47"/>
      <c r="D250" s="141">
        <f t="shared" ref="D250:S250" si="117">D225+D230+D235+D240+D245</f>
        <v>101.08499999999999</v>
      </c>
      <c r="E250" s="141">
        <f t="shared" si="117"/>
        <v>123.70493999999999</v>
      </c>
      <c r="F250" s="141">
        <f t="shared" si="117"/>
        <v>151.46008043000006</v>
      </c>
      <c r="G250" s="141">
        <f t="shared" si="117"/>
        <v>185.55234451773003</v>
      </c>
      <c r="H250" s="141">
        <f t="shared" si="117"/>
        <v>227.48283246207495</v>
      </c>
      <c r="I250" s="141">
        <f t="shared" si="117"/>
        <v>279.13509008876133</v>
      </c>
      <c r="J250" s="141">
        <f t="shared" si="117"/>
        <v>342.88578122360531</v>
      </c>
      <c r="K250" s="141">
        <f t="shared" si="117"/>
        <v>421.75369583112854</v>
      </c>
      <c r="L250" s="141">
        <f t="shared" si="117"/>
        <v>519.60317945642794</v>
      </c>
      <c r="M250" s="141">
        <f t="shared" si="117"/>
        <v>641.42595893410044</v>
      </c>
      <c r="N250" s="141">
        <f t="shared" si="117"/>
        <v>793.73753750905507</v>
      </c>
      <c r="O250" s="141">
        <f t="shared" si="117"/>
        <v>985.14336841615511</v>
      </c>
      <c r="P250" s="141">
        <f t="shared" si="117"/>
        <v>1227.1599809705224</v>
      </c>
      <c r="Q250" s="141">
        <f t="shared" si="117"/>
        <v>1535.4237847244467</v>
      </c>
      <c r="R250" s="141">
        <f t="shared" si="117"/>
        <v>1931.4963068616639</v>
      </c>
      <c r="S250" s="141">
        <f t="shared" si="117"/>
        <v>2445.5970351022834</v>
      </c>
    </row>
    <row r="251" spans="1:19">
      <c r="A251" s="5" t="s">
        <v>1552</v>
      </c>
      <c r="B251" s="47"/>
      <c r="C251" s="47"/>
      <c r="D251" s="80">
        <f>Assumptions!$B$451</f>
        <v>1</v>
      </c>
      <c r="E251" s="80">
        <f>Assumptions!$B$451*(1+Assumptions!$B$452)^E$5</f>
        <v>1.2130000000000001</v>
      </c>
      <c r="F251" s="80">
        <f>Assumptions!$B$451*(1+Assumptions!$B$452)^F$5</f>
        <v>1.4713690000000001</v>
      </c>
      <c r="G251" s="80">
        <f>Assumptions!$B$451*(1+Assumptions!$B$452)^G$5</f>
        <v>1.7847705970000003</v>
      </c>
      <c r="H251" s="80">
        <f>Assumptions!$B$451*(1+Assumptions!$B$452)^H$5</f>
        <v>2.1649267341610003</v>
      </c>
      <c r="I251" s="80">
        <f>Assumptions!$B$451*(1+Assumptions!$B$452)^I$5</f>
        <v>2.6260561285372934</v>
      </c>
      <c r="J251" s="80">
        <f>Assumptions!$B$451*(1+Assumptions!$B$452)^J$5</f>
        <v>3.1854060839157374</v>
      </c>
      <c r="K251" s="80">
        <f>Assumptions!$B$451*(1+Assumptions!$B$452)^K$5</f>
        <v>3.8638975797897896</v>
      </c>
      <c r="L251" s="80">
        <f>Assumptions!$B$451*(1+Assumptions!$B$452)^L$5</f>
        <v>4.6869077642850145</v>
      </c>
      <c r="M251" s="80">
        <f>Assumptions!$B$451*(1+Assumptions!$B$452)^M$5</f>
        <v>5.6852191180777227</v>
      </c>
      <c r="N251" s="80">
        <f>Assumptions!$B$451*(1+Assumptions!$B$452)^N$5</f>
        <v>6.8961707902282781</v>
      </c>
      <c r="O251" s="80">
        <f>Assumptions!$B$451*(1+Assumptions!$B$452)^O$5</f>
        <v>8.3650551685469026</v>
      </c>
      <c r="P251" s="80">
        <f>Assumptions!$B$451*(1+Assumptions!$B$452)^P$5</f>
        <v>10.146811919447392</v>
      </c>
      <c r="Q251" s="80">
        <f>Assumptions!$B$451*(1+Assumptions!$B$452)^Q$5</f>
        <v>12.308082858289687</v>
      </c>
      <c r="R251" s="80">
        <f>Assumptions!$B$451*(1+Assumptions!$B$452)^R$5</f>
        <v>14.929704507105392</v>
      </c>
      <c r="S251" s="80">
        <f>Assumptions!$B$451*(1+Assumptions!$B$452)^S$5</f>
        <v>18.109731567118843</v>
      </c>
    </row>
    <row r="252" spans="1:19">
      <c r="A252" s="5" t="s">
        <v>1553</v>
      </c>
      <c r="B252" s="47"/>
      <c r="C252" s="47"/>
      <c r="D252" s="29">
        <f t="shared" ref="D252:S252" si="118">D250*D251</f>
        <v>101.08499999999999</v>
      </c>
      <c r="E252" s="29">
        <f t="shared" si="118"/>
        <v>150.05409222</v>
      </c>
      <c r="F252" s="29">
        <f t="shared" si="118"/>
        <v>222.85366708220877</v>
      </c>
      <c r="G252" s="29">
        <f t="shared" si="118"/>
        <v>331.16836869965874</v>
      </c>
      <c r="H252" s="29">
        <f t="shared" si="118"/>
        <v>492.48366555981391</v>
      </c>
      <c r="I252" s="29">
        <f t="shared" si="118"/>
        <v>733.02441401740123</v>
      </c>
      <c r="J252" s="29">
        <f t="shared" si="118"/>
        <v>1092.2304535978728</v>
      </c>
      <c r="K252" s="29">
        <f t="shared" si="118"/>
        <v>1629.6130845892967</v>
      </c>
      <c r="L252" s="29">
        <f t="shared" si="118"/>
        <v>2435.3321761415118</v>
      </c>
      <c r="M252" s="29">
        <f t="shared" si="118"/>
        <v>3646.6471245634839</v>
      </c>
      <c r="N252" s="29">
        <f t="shared" si="118"/>
        <v>5473.7496212776678</v>
      </c>
      <c r="O252" s="29">
        <f t="shared" si="118"/>
        <v>8240.7786257292646</v>
      </c>
      <c r="P252" s="29">
        <f t="shared" si="118"/>
        <v>12451.761521980532</v>
      </c>
      <c r="Q252" s="29">
        <f t="shared" si="118"/>
        <v>18898.123164977238</v>
      </c>
      <c r="R252" s="29">
        <f t="shared" si="118"/>
        <v>28836.669118010002</v>
      </c>
      <c r="S252" s="29">
        <f t="shared" si="118"/>
        <v>44289.10582704407</v>
      </c>
    </row>
    <row r="253" spans="1:19">
      <c r="A253" s="82" t="s">
        <v>1554</v>
      </c>
      <c r="B253" s="47"/>
      <c r="C253" s="47"/>
      <c r="D253" s="156">
        <f t="shared" ref="D253:S253" si="119">D230+D235+D240+D245</f>
        <v>1.085</v>
      </c>
      <c r="E253" s="156">
        <f t="shared" si="119"/>
        <v>1.6049399999999998</v>
      </c>
      <c r="F253" s="156">
        <f t="shared" si="119"/>
        <v>2.3759804299999998</v>
      </c>
      <c r="G253" s="156">
        <f t="shared" si="119"/>
        <v>3.5206584177299991</v>
      </c>
      <c r="H253" s="156">
        <f t="shared" si="119"/>
        <v>5.2221437339748498</v>
      </c>
      <c r="I253" s="156">
        <f t="shared" si="119"/>
        <v>7.7547891517511447</v>
      </c>
      <c r="J253" s="156">
        <f t="shared" si="119"/>
        <v>11.530433779515802</v>
      </c>
      <c r="K253" s="156">
        <f t="shared" si="119"/>
        <v>17.168816601895131</v>
      </c>
      <c r="L253" s="156">
        <f t="shared" si="119"/>
        <v>25.605041917533921</v>
      </c>
      <c r="M253" s="156">
        <f t="shared" si="119"/>
        <v>38.25423299911089</v>
      </c>
      <c r="N253" s="156">
        <f t="shared" si="119"/>
        <v>57.264860142432752</v>
      </c>
      <c r="O253" s="156">
        <f t="shared" si="119"/>
        <v>85.91022935150923</v>
      </c>
      <c r="P253" s="156">
        <f t="shared" si="119"/>
        <v>129.19631817258929</v>
      </c>
      <c r="Q253" s="156">
        <f t="shared" si="119"/>
        <v>194.81015244817041</v>
      </c>
      <c r="R253" s="156">
        <f t="shared" si="119"/>
        <v>294.60706185233033</v>
      </c>
      <c r="S253" s="156">
        <f t="shared" si="119"/>
        <v>446.95526694588699</v>
      </c>
    </row>
    <row r="254" spans="1:19">
      <c r="A254" s="98" t="s">
        <v>1555</v>
      </c>
      <c r="B254" s="54"/>
      <c r="C254" s="54"/>
      <c r="D254" s="81">
        <f t="shared" ref="D254:S254" si="120">D228+D233+D238+D243+D248+D252</f>
        <v>483.065</v>
      </c>
      <c r="E254" s="81">
        <f t="shared" si="120"/>
        <v>724.62809221999998</v>
      </c>
      <c r="F254" s="81">
        <f t="shared" si="120"/>
        <v>1089.7173544822087</v>
      </c>
      <c r="G254" s="81">
        <f t="shared" si="120"/>
        <v>1643.3443176218582</v>
      </c>
      <c r="H254" s="81">
        <f t="shared" si="120"/>
        <v>2485.9660497527584</v>
      </c>
      <c r="I254" s="81">
        <f t="shared" si="120"/>
        <v>3773.6146812320112</v>
      </c>
      <c r="J254" s="81">
        <f t="shared" si="120"/>
        <v>5749.9705587368935</v>
      </c>
      <c r="K254" s="81">
        <f t="shared" si="120"/>
        <v>8797.782406614966</v>
      </c>
      <c r="L254" s="81">
        <f t="shared" si="120"/>
        <v>13521.817340419753</v>
      </c>
      <c r="M254" s="81">
        <f t="shared" si="120"/>
        <v>20883.500557444684</v>
      </c>
      <c r="N254" s="81">
        <f t="shared" si="120"/>
        <v>32420.783611139574</v>
      </c>
      <c r="O254" s="81">
        <f t="shared" si="120"/>
        <v>50609.324848202654</v>
      </c>
      <c r="P254" s="81">
        <f t="shared" si="120"/>
        <v>79459.224904290459</v>
      </c>
      <c r="Q254" s="81">
        <f t="shared" si="120"/>
        <v>125506.42630330606</v>
      </c>
      <c r="R254" s="81">
        <f t="shared" si="120"/>
        <v>199468.60834757259</v>
      </c>
      <c r="S254" s="81">
        <f t="shared" si="120"/>
        <v>319025.16958873224</v>
      </c>
    </row>
    <row r="255" spans="1:19">
      <c r="A255" s="98" t="s">
        <v>1556</v>
      </c>
      <c r="B255" s="54"/>
      <c r="C255" s="54"/>
      <c r="D255" s="81">
        <f t="shared" ref="D255:S255" si="121">D229+D234+D239+D244+D249</f>
        <v>288.80500000000001</v>
      </c>
      <c r="E255" s="81">
        <f t="shared" si="121"/>
        <v>401.82565509999995</v>
      </c>
      <c r="F255" s="81">
        <f t="shared" si="121"/>
        <v>567.38280379214314</v>
      </c>
      <c r="G255" s="81">
        <f t="shared" si="121"/>
        <v>814.11236366524804</v>
      </c>
      <c r="H255" s="81">
        <f t="shared" si="121"/>
        <v>1188.2163079350319</v>
      </c>
      <c r="I255" s="81">
        <f t="shared" si="121"/>
        <v>1765.1379268998085</v>
      </c>
      <c r="J255" s="81">
        <f t="shared" si="121"/>
        <v>2669.4563606117135</v>
      </c>
      <c r="K255" s="81">
        <f t="shared" si="121"/>
        <v>4109.0625096451959</v>
      </c>
      <c r="L255" s="81">
        <f t="shared" si="121"/>
        <v>6434.33739562952</v>
      </c>
      <c r="M255" s="81">
        <f t="shared" si="121"/>
        <v>10241.429414584843</v>
      </c>
      <c r="N255" s="81">
        <f t="shared" si="121"/>
        <v>16553.882814146884</v>
      </c>
      <c r="O255" s="81">
        <f t="shared" si="121"/>
        <v>27144.469058599589</v>
      </c>
      <c r="P255" s="81">
        <f t="shared" si="121"/>
        <v>45109.633575266686</v>
      </c>
      <c r="Q255" s="81">
        <f t="shared" si="121"/>
        <v>75902.118121571577</v>
      </c>
      <c r="R255" s="81">
        <f t="shared" si="121"/>
        <v>129199.8262867654</v>
      </c>
      <c r="S255" s="81">
        <f t="shared" si="121"/>
        <v>222310.03179203806</v>
      </c>
    </row>
    <row r="258" spans="1:29">
      <c r="A258" s="82" t="s">
        <v>1557</v>
      </c>
    </row>
    <row r="259" spans="1:29">
      <c r="A259" s="157" t="s">
        <v>1558</v>
      </c>
    </row>
    <row r="260" spans="1:29">
      <c r="A260" s="82" t="s">
        <v>1559</v>
      </c>
      <c r="D260" s="158">
        <f>IF($D$5=0,Assumptions!$B$507,0)</f>
        <v>3201</v>
      </c>
      <c r="E260" s="158">
        <v>0</v>
      </c>
      <c r="F260" s="158">
        <v>0</v>
      </c>
      <c r="G260" s="158">
        <v>0</v>
      </c>
      <c r="H260" s="158">
        <v>0</v>
      </c>
      <c r="I260" s="158">
        <v>0</v>
      </c>
      <c r="J260" s="158">
        <v>0</v>
      </c>
      <c r="K260" s="158">
        <v>0</v>
      </c>
      <c r="L260" s="158">
        <v>0</v>
      </c>
      <c r="M260" s="158">
        <v>0</v>
      </c>
      <c r="N260" s="158">
        <v>0</v>
      </c>
      <c r="O260" s="158">
        <v>0</v>
      </c>
      <c r="P260" s="158">
        <v>0</v>
      </c>
      <c r="Q260" s="158">
        <v>0</v>
      </c>
      <c r="R260" s="158">
        <v>0</v>
      </c>
      <c r="S260" s="158">
        <v>0</v>
      </c>
      <c r="T260" s="158">
        <v>0</v>
      </c>
      <c r="U260" s="158">
        <v>0</v>
      </c>
      <c r="V260" s="158">
        <v>0</v>
      </c>
      <c r="W260" s="158">
        <v>0</v>
      </c>
      <c r="X260" s="158">
        <v>0</v>
      </c>
      <c r="Y260" s="158">
        <v>0</v>
      </c>
      <c r="Z260" s="158">
        <v>0</v>
      </c>
      <c r="AA260" s="158">
        <v>0</v>
      </c>
      <c r="AB260" s="158">
        <v>0</v>
      </c>
      <c r="AC260" s="158">
        <v>0</v>
      </c>
    </row>
    <row r="261" spans="1:29">
      <c r="A261" s="82" t="s">
        <v>1560</v>
      </c>
      <c r="D261" s="158">
        <f>IF($D$5=0,Assumptions!$B$508,0)</f>
        <v>2178</v>
      </c>
      <c r="E261" s="158">
        <v>0</v>
      </c>
      <c r="F261" s="158">
        <v>0</v>
      </c>
      <c r="G261" s="158">
        <v>0</v>
      </c>
      <c r="H261" s="158">
        <v>0</v>
      </c>
      <c r="I261" s="158">
        <v>0</v>
      </c>
      <c r="J261" s="158">
        <v>0</v>
      </c>
      <c r="K261" s="158">
        <v>0</v>
      </c>
      <c r="L261" s="158">
        <v>0</v>
      </c>
      <c r="M261" s="158">
        <v>0</v>
      </c>
      <c r="N261" s="158">
        <v>0</v>
      </c>
      <c r="O261" s="158">
        <v>0</v>
      </c>
      <c r="P261" s="158">
        <v>0</v>
      </c>
      <c r="Q261" s="158">
        <v>0</v>
      </c>
      <c r="R261" s="158">
        <v>0</v>
      </c>
      <c r="S261" s="158">
        <v>0</v>
      </c>
      <c r="T261" s="158">
        <v>0</v>
      </c>
      <c r="U261" s="158">
        <v>0</v>
      </c>
      <c r="V261" s="158">
        <v>0</v>
      </c>
      <c r="W261" s="158">
        <v>0</v>
      </c>
      <c r="X261" s="158">
        <v>0</v>
      </c>
      <c r="Y261" s="158">
        <v>0</v>
      </c>
      <c r="Z261" s="158">
        <v>0</v>
      </c>
      <c r="AA261" s="158">
        <v>0</v>
      </c>
      <c r="AB261" s="158">
        <v>0</v>
      </c>
      <c r="AC261" s="158">
        <v>0</v>
      </c>
    </row>
    <row r="262" spans="1:29">
      <c r="A262" s="82" t="s">
        <v>1561</v>
      </c>
      <c r="D262" s="158">
        <f>IF($D$5=0,Assumptions!$B$509,0)</f>
        <v>5064</v>
      </c>
      <c r="E262" s="158">
        <v>0</v>
      </c>
      <c r="F262" s="158">
        <v>0</v>
      </c>
      <c r="G262" s="158">
        <v>0</v>
      </c>
      <c r="H262" s="158">
        <v>0</v>
      </c>
      <c r="I262" s="158">
        <v>0</v>
      </c>
      <c r="J262" s="158">
        <v>0</v>
      </c>
      <c r="K262" s="158">
        <v>0</v>
      </c>
      <c r="L262" s="158">
        <v>0</v>
      </c>
      <c r="M262" s="158">
        <v>0</v>
      </c>
      <c r="N262" s="158">
        <v>0</v>
      </c>
      <c r="O262" s="158">
        <v>0</v>
      </c>
      <c r="P262" s="158">
        <v>0</v>
      </c>
      <c r="Q262" s="158">
        <v>0</v>
      </c>
      <c r="R262" s="158">
        <v>0</v>
      </c>
      <c r="S262" s="158">
        <v>0</v>
      </c>
      <c r="T262" s="158">
        <v>0</v>
      </c>
      <c r="U262" s="158">
        <v>0</v>
      </c>
      <c r="V262" s="158">
        <v>0</v>
      </c>
      <c r="W262" s="158">
        <v>0</v>
      </c>
      <c r="X262" s="158">
        <v>0</v>
      </c>
      <c r="Y262" s="158">
        <v>0</v>
      </c>
      <c r="Z262" s="158">
        <v>0</v>
      </c>
      <c r="AA262" s="158">
        <v>0</v>
      </c>
      <c r="AB262" s="158">
        <v>0</v>
      </c>
      <c r="AC262" s="158">
        <v>0</v>
      </c>
    </row>
    <row r="263" spans="1:29">
      <c r="A263" s="82" t="s">
        <v>1562</v>
      </c>
      <c r="D263" s="158">
        <f>IF($D$5=0,Assumptions!$B$510,0)</f>
        <v>1827</v>
      </c>
      <c r="E263" s="158">
        <v>0</v>
      </c>
      <c r="F263" s="158">
        <v>0</v>
      </c>
      <c r="G263" s="158">
        <v>0</v>
      </c>
      <c r="H263" s="158">
        <v>0</v>
      </c>
      <c r="I263" s="158">
        <v>0</v>
      </c>
      <c r="J263" s="158">
        <v>0</v>
      </c>
      <c r="K263" s="158">
        <v>0</v>
      </c>
      <c r="L263" s="158">
        <v>0</v>
      </c>
      <c r="M263" s="158">
        <v>0</v>
      </c>
      <c r="N263" s="158">
        <v>0</v>
      </c>
      <c r="O263" s="158">
        <v>0</v>
      </c>
      <c r="P263" s="158">
        <v>0</v>
      </c>
      <c r="Q263" s="158">
        <v>0</v>
      </c>
      <c r="R263" s="158">
        <v>0</v>
      </c>
      <c r="S263" s="158">
        <v>0</v>
      </c>
      <c r="T263" s="158">
        <v>0</v>
      </c>
      <c r="U263" s="158">
        <v>0</v>
      </c>
      <c r="V263" s="158">
        <v>0</v>
      </c>
      <c r="W263" s="158">
        <v>0</v>
      </c>
      <c r="X263" s="158">
        <v>0</v>
      </c>
      <c r="Y263" s="158">
        <v>0</v>
      </c>
      <c r="Z263" s="158">
        <v>0</v>
      </c>
      <c r="AA263" s="158">
        <v>0</v>
      </c>
      <c r="AB263" s="158">
        <v>0</v>
      </c>
      <c r="AC263" s="158">
        <v>0</v>
      </c>
    </row>
    <row r="264" spans="1:29">
      <c r="A264" s="82" t="s">
        <v>1563</v>
      </c>
      <c r="D264" s="158">
        <f>IF($D$5=0,Assumptions!$B$511,0)</f>
        <v>487</v>
      </c>
      <c r="E264" s="158">
        <v>0</v>
      </c>
      <c r="F264" s="158">
        <v>0</v>
      </c>
      <c r="G264" s="158">
        <v>0</v>
      </c>
      <c r="H264" s="158">
        <v>0</v>
      </c>
      <c r="I264" s="158">
        <v>0</v>
      </c>
      <c r="J264" s="158">
        <v>0</v>
      </c>
      <c r="K264" s="158">
        <v>0</v>
      </c>
      <c r="L264" s="158">
        <v>0</v>
      </c>
      <c r="M264" s="158">
        <v>0</v>
      </c>
      <c r="N264" s="158">
        <v>0</v>
      </c>
      <c r="O264" s="158">
        <v>0</v>
      </c>
      <c r="P264" s="158">
        <v>0</v>
      </c>
      <c r="Q264" s="158">
        <v>0</v>
      </c>
      <c r="R264" s="158">
        <v>0</v>
      </c>
      <c r="S264" s="158">
        <v>0</v>
      </c>
      <c r="T264" s="158">
        <v>0</v>
      </c>
      <c r="U264" s="158">
        <v>0</v>
      </c>
      <c r="V264" s="158">
        <v>0</v>
      </c>
      <c r="W264" s="158">
        <v>0</v>
      </c>
      <c r="X264" s="158">
        <v>0</v>
      </c>
      <c r="Y264" s="158">
        <v>0</v>
      </c>
      <c r="Z264" s="158">
        <v>0</v>
      </c>
      <c r="AA264" s="158">
        <v>0</v>
      </c>
      <c r="AB264" s="158">
        <v>0</v>
      </c>
      <c r="AC264" s="158">
        <v>0</v>
      </c>
    </row>
    <row r="265" spans="1:29">
      <c r="A265" s="82" t="s">
        <v>1564</v>
      </c>
      <c r="D265" s="158">
        <f>IF($D$5=0,D260-D261-D262-D263-D264,0)</f>
        <v>-6355</v>
      </c>
      <c r="E265" s="158">
        <v>0</v>
      </c>
      <c r="F265" s="158">
        <v>0</v>
      </c>
      <c r="G265" s="158">
        <v>0</v>
      </c>
      <c r="H265" s="158">
        <v>0</v>
      </c>
      <c r="I265" s="158">
        <v>0</v>
      </c>
      <c r="J265" s="158">
        <v>0</v>
      </c>
      <c r="K265" s="158">
        <v>0</v>
      </c>
      <c r="L265" s="158">
        <v>0</v>
      </c>
      <c r="M265" s="158">
        <v>0</v>
      </c>
      <c r="N265" s="158">
        <v>0</v>
      </c>
      <c r="O265" s="158">
        <v>0</v>
      </c>
      <c r="P265" s="158">
        <v>0</v>
      </c>
      <c r="Q265" s="158">
        <v>0</v>
      </c>
      <c r="R265" s="158">
        <v>0</v>
      </c>
      <c r="S265" s="158">
        <v>0</v>
      </c>
      <c r="T265" s="158">
        <v>0</v>
      </c>
      <c r="U265" s="158">
        <v>0</v>
      </c>
      <c r="V265" s="158">
        <v>0</v>
      </c>
      <c r="W265" s="158">
        <v>0</v>
      </c>
      <c r="X265" s="158">
        <v>0</v>
      </c>
      <c r="Y265" s="158">
        <v>0</v>
      </c>
      <c r="Z265" s="158">
        <v>0</v>
      </c>
      <c r="AA265" s="158">
        <v>0</v>
      </c>
      <c r="AB265" s="158">
        <v>0</v>
      </c>
      <c r="AC265" s="158">
        <v>0</v>
      </c>
    </row>
    <row r="266" spans="1:29">
      <c r="A266" s="159" t="s">
        <v>1565</v>
      </c>
      <c r="D266" s="158">
        <f>IF($D$5=0,Assumptions!$B$514,0)</f>
        <v>3568</v>
      </c>
      <c r="E266" s="158">
        <v>0</v>
      </c>
      <c r="F266" s="158">
        <v>0</v>
      </c>
      <c r="G266" s="158">
        <v>0</v>
      </c>
      <c r="H266" s="158">
        <v>0</v>
      </c>
      <c r="I266" s="158">
        <v>0</v>
      </c>
      <c r="J266" s="158">
        <v>0</v>
      </c>
      <c r="K266" s="158">
        <v>0</v>
      </c>
      <c r="L266" s="158">
        <v>0</v>
      </c>
      <c r="M266" s="158">
        <v>0</v>
      </c>
      <c r="N266" s="158">
        <v>0</v>
      </c>
      <c r="O266" s="158">
        <v>0</v>
      </c>
      <c r="P266" s="158">
        <v>0</v>
      </c>
      <c r="Q266" s="158">
        <v>0</v>
      </c>
      <c r="R266" s="158">
        <v>0</v>
      </c>
      <c r="S266" s="158">
        <v>0</v>
      </c>
      <c r="T266" s="158">
        <v>0</v>
      </c>
      <c r="U266" s="158">
        <v>0</v>
      </c>
      <c r="V266" s="158">
        <v>0</v>
      </c>
      <c r="W266" s="158">
        <v>0</v>
      </c>
      <c r="X266" s="158">
        <v>0</v>
      </c>
      <c r="Y266" s="158">
        <v>0</v>
      </c>
      <c r="Z266" s="158">
        <v>0</v>
      </c>
      <c r="AA266" s="158">
        <v>0</v>
      </c>
      <c r="AB266" s="158">
        <v>0</v>
      </c>
      <c r="AC266" s="158">
        <v>0</v>
      </c>
    </row>
    <row r="267" spans="1:29">
      <c r="A267" s="159" t="s">
        <v>1566</v>
      </c>
      <c r="D267" s="158">
        <f>IF($D$5=0,Assumptions!$B$515,0)</f>
        <v>1063</v>
      </c>
      <c r="E267" s="158">
        <v>0</v>
      </c>
      <c r="F267" s="158">
        <v>0</v>
      </c>
      <c r="G267" s="158">
        <v>0</v>
      </c>
      <c r="H267" s="158">
        <v>0</v>
      </c>
      <c r="I267" s="158">
        <v>0</v>
      </c>
      <c r="J267" s="158">
        <v>0</v>
      </c>
      <c r="K267" s="158">
        <v>0</v>
      </c>
      <c r="L267" s="158">
        <v>0</v>
      </c>
      <c r="M267" s="158">
        <v>0</v>
      </c>
      <c r="N267" s="158">
        <v>0</v>
      </c>
      <c r="O267" s="158">
        <v>0</v>
      </c>
      <c r="P267" s="158">
        <v>0</v>
      </c>
      <c r="Q267" s="158">
        <v>0</v>
      </c>
      <c r="R267" s="158">
        <v>0</v>
      </c>
      <c r="S267" s="158">
        <v>0</v>
      </c>
      <c r="T267" s="158">
        <v>0</v>
      </c>
      <c r="U267" s="158">
        <v>0</v>
      </c>
      <c r="V267" s="158">
        <v>0</v>
      </c>
      <c r="W267" s="158">
        <v>0</v>
      </c>
      <c r="X267" s="158">
        <v>0</v>
      </c>
      <c r="Y267" s="158">
        <v>0</v>
      </c>
      <c r="Z267" s="158">
        <v>0</v>
      </c>
      <c r="AA267" s="158">
        <v>0</v>
      </c>
      <c r="AB267" s="158">
        <v>0</v>
      </c>
      <c r="AC267" s="158">
        <v>0</v>
      </c>
    </row>
    <row r="268" spans="1:29">
      <c r="A268" s="82" t="s">
        <v>1567</v>
      </c>
      <c r="D268" s="158">
        <f>IF($D$5=0,Assumptions!$B$516,0)</f>
        <v>12727</v>
      </c>
      <c r="E268" s="158">
        <v>0</v>
      </c>
      <c r="F268" s="158">
        <v>0</v>
      </c>
      <c r="G268" s="158">
        <v>0</v>
      </c>
      <c r="H268" s="158">
        <v>0</v>
      </c>
      <c r="I268" s="158">
        <v>0</v>
      </c>
      <c r="J268" s="158">
        <v>0</v>
      </c>
      <c r="K268" s="158">
        <v>0</v>
      </c>
      <c r="L268" s="158">
        <v>0</v>
      </c>
      <c r="M268" s="158">
        <v>0</v>
      </c>
      <c r="N268" s="158">
        <v>0</v>
      </c>
      <c r="O268" s="158">
        <v>0</v>
      </c>
      <c r="P268" s="158">
        <v>0</v>
      </c>
      <c r="Q268" s="158">
        <v>0</v>
      </c>
      <c r="R268" s="158">
        <v>0</v>
      </c>
      <c r="S268" s="158">
        <v>0</v>
      </c>
      <c r="T268" s="158">
        <v>0</v>
      </c>
      <c r="U268" s="158">
        <v>0</v>
      </c>
      <c r="V268" s="158">
        <v>0</v>
      </c>
      <c r="W268" s="158">
        <v>0</v>
      </c>
      <c r="X268" s="158">
        <v>0</v>
      </c>
      <c r="Y268" s="158">
        <v>0</v>
      </c>
      <c r="Z268" s="158">
        <v>0</v>
      </c>
      <c r="AA268" s="158">
        <v>0</v>
      </c>
      <c r="AB268" s="158">
        <v>0</v>
      </c>
      <c r="AC268" s="158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20"/>
  <sheetViews>
    <sheetView showGridLines="0" zoomScale="80" zoomScaleNormal="80" workbookViewId="0">
      <selection activeCell="D28" sqref="D28"/>
    </sheetView>
  </sheetViews>
  <sheetFormatPr baseColWidth="10" defaultColWidth="10.6640625" defaultRowHeight="16"/>
  <cols>
    <col min="1" max="1" width="56.6640625" customWidth="1"/>
  </cols>
  <sheetData>
    <row r="1" spans="1:29" ht="21.75" customHeight="1">
      <c r="A1" s="1" t="s">
        <v>1568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2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  <c r="T4" s="65"/>
      <c r="U4" s="65"/>
      <c r="V4" s="65"/>
      <c r="W4" s="65"/>
      <c r="X4" s="65"/>
      <c r="Y4" s="65"/>
      <c r="Z4" s="65"/>
      <c r="AA4" s="65"/>
      <c r="AB4" s="65"/>
      <c r="AC4" s="65"/>
    </row>
    <row r="5" spans="1:2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  <c r="T5" s="67"/>
      <c r="U5" s="67"/>
      <c r="V5" s="67"/>
      <c r="W5" s="67"/>
      <c r="X5" s="67"/>
      <c r="Y5" s="67"/>
      <c r="Z5" s="67"/>
      <c r="AA5" s="67"/>
      <c r="AB5" s="67"/>
      <c r="AC5" s="67"/>
    </row>
    <row r="6" spans="1:2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13" t="s">
        <v>1569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>
      <c r="A8" s="78" t="s">
        <v>1570</v>
      </c>
      <c r="B8" s="78"/>
      <c r="C8" s="78"/>
      <c r="D8" s="109">
        <f>INDEX(Assumptions!$B:$B, MATCH("Lunar/Mars carve-out % of prior-year Group FCF", Assumptions!$A$1:$A$257, 0))</f>
        <v>0.15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</row>
    <row r="9" spans="1:29">
      <c r="A9" s="5" t="s">
        <v>1571</v>
      </c>
      <c r="B9" s="3"/>
      <c r="C9" s="3"/>
      <c r="D9" s="70">
        <f>INDEX(Assumptions!$B:$B, MATCH("Lunar/Mars carve-out floor ($mm/yr)", Assumptions!$A$1:$A$257, 0))</f>
        <v>1000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 s="5" t="s">
        <v>1572</v>
      </c>
      <c r="B10" s="3"/>
      <c r="C10" s="3"/>
      <c r="D10" s="70">
        <f>Assumptions!$B$14</f>
        <v>750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>
      <c r="A11" s="5" t="s">
        <v>139</v>
      </c>
      <c r="B11" s="3"/>
      <c r="C11" s="3"/>
      <c r="D11" s="108">
        <f>INDEX(Assumptions!$B:$B, MATCH("First mission year (Lunar Mars)", Assumptions!$A$1:$A$257, 0))</f>
        <v>2030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>
      <c r="A12" s="5" t="s">
        <v>1573</v>
      </c>
      <c r="B12" s="3"/>
      <c r="C12" s="3"/>
      <c r="D12" s="152">
        <f>INDEX(Assumptions!$B:$B, MATCH("Capital lifetime: BV straight-line depreciation (years)", Assumptions!$A$1:$A$257, 0))</f>
        <v>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>
      <c r="A13" s="5" t="s">
        <v>1574</v>
      </c>
      <c r="B13" s="3"/>
      <c r="C13" s="3"/>
      <c r="D13" s="110">
        <f>INDEX(Assumptions!$B:$B, MATCH("Module operating cost: Lunar (% of Lunar CapEx)", Assumptions!$A$1:$A$257, 0))</f>
        <v>0.05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>
      <c r="A14" s="5" t="s">
        <v>1575</v>
      </c>
      <c r="B14" s="3"/>
      <c r="C14" s="3"/>
      <c r="D14" s="110">
        <f>INDEX(Assumptions!$B:$B, MATCH("Module operating cost: Mars (% of Mars CapEx)", Assumptions!$A$1:$A$257, 0))</f>
        <v>0.05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>
      <c r="A15" s="5" t="s">
        <v>142</v>
      </c>
      <c r="B15" s="3"/>
      <c r="C15" s="3"/>
      <c r="D15" s="70">
        <f>INDEX(Assumptions!$B:$B, MATCH("Labour unit mass (kg)", Assumptions!$A$1:$A$257, 0))</f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>
      <c r="A16" s="5" t="s">
        <v>1576</v>
      </c>
      <c r="B16" s="3"/>
      <c r="C16" s="3"/>
      <c r="D16" s="105">
        <f>INDEX(Assumptions!$B:$B, MATCH("Labour unit base hourly output ($/hr; burdened $22/0.7)", Assumptions!$A$1:$A$257, 0))</f>
        <v>31.43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>
      <c r="A17" s="5" t="s">
        <v>146</v>
      </c>
      <c r="B17" s="3"/>
      <c r="C17" s="3"/>
      <c r="D17" s="108">
        <f>INDEX(Assumptions!$B:$B, MATCH("Labour unit daily working hours", Assumptions!$A$1:$A$257, 0))</f>
        <v>22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>
      <c r="A18" s="5" t="s">
        <v>1577</v>
      </c>
      <c r="B18" s="3"/>
      <c r="C18" s="3"/>
      <c r="D18" s="73">
        <f>INDEX(Assumptions!$B:$B, MATCH("Labour unit productivity factor vs human baseline", Assumptions!$A$1:$A$257, 0))</f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>
      <c r="A19" s="5" t="s">
        <v>150</v>
      </c>
      <c r="B19" s="3"/>
      <c r="C19" s="3"/>
      <c r="D19" s="110">
        <f>INDEX(Assumptions!$B:$B, MATCH("Labour unit productivity learning rate (%/yr)", Assumptions!$A$1:$A$257, 0))</f>
        <v>0.05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>
      <c r="A20" s="5" t="s">
        <v>1578</v>
      </c>
      <c r="B20" s="3"/>
      <c r="C20" s="3"/>
      <c r="D20" s="152">
        <f>INDEX(Assumptions!$B:$B, MATCH("Labour unit operational lifespan on surface (years)", Assumptions!$A$1:$A$257, 0))</f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>
      <c r="A21" s="5" t="s">
        <v>157</v>
      </c>
      <c r="B21" s="3"/>
      <c r="C21" s="3"/>
      <c r="D21" s="70">
        <f>INDEX(Assumptions!$B:$B, MATCH("Lunar payload per surface-landed Starship (kg)", Assumptions!$A$1:$A$257, 0))</f>
        <v>100000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>
      <c r="A22" s="5" t="s">
        <v>159</v>
      </c>
      <c r="B22" s="3"/>
      <c r="C22" s="3"/>
      <c r="D22" s="110">
        <f>INDEX(Assumptions!$B:$B, MATCH("Lunar % payload as labour units", Assumptions!$A$1:$A$257, 0))</f>
        <v>0.3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>
      <c r="A23" s="5" t="s">
        <v>164</v>
      </c>
      <c r="B23" s="3"/>
      <c r="C23" s="3"/>
      <c r="D23" s="70">
        <f>INDEX(Assumptions!$B:$B, MATCH("Mars payload per surface-landed Starship (kg)", Assumptions!$A$1:$A$257, 0))</f>
        <v>100000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>
      <c r="A24" s="5" t="s">
        <v>166</v>
      </c>
      <c r="B24" s="3"/>
      <c r="C24" s="3"/>
      <c r="D24" s="110">
        <f>INDEX(Assumptions!$B:$B, MATCH("Mars % payload as labour units", Assumptions!$A$1:$A$257, 0))</f>
        <v>0.3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>
      <c r="A25" s="5" t="s">
        <v>1579</v>
      </c>
      <c r="B25" s="3"/>
      <c r="C25" s="3"/>
      <c r="D25" s="70">
        <f>INDEX(Assumptions!$B:$B, MATCH("Labour unit cost ($/unit): declining curve", Assumptions!$A$1:$A$257, 0))</f>
        <v>40000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>
      <c r="A26" s="5" t="s">
        <v>1580</v>
      </c>
      <c r="B26" s="3"/>
      <c r="C26" s="3"/>
      <c r="D26" s="70">
        <f>INDEX(Assumptions!$B:$B, MATCH("Hardware replacement cost factor ($/kg landed): declining", Assumptions!$A$1:$A$257, 0))</f>
        <v>15000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>
      <c r="A28" s="13" t="s">
        <v>1581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>
      <c r="A29" s="5" t="s">
        <v>1582</v>
      </c>
      <c r="B29" s="3"/>
      <c r="C29" s="3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>
      <c r="A30" s="5" t="s">
        <v>1583</v>
      </c>
      <c r="B30" s="3"/>
      <c r="C30" s="3"/>
      <c r="D30" s="70">
        <f>'Cash Allocation Engine'!D24</f>
        <v>750</v>
      </c>
      <c r="E30" s="70">
        <f>'Cash Allocation Engine'!E24</f>
        <v>750</v>
      </c>
      <c r="F30" s="70">
        <f>'Cash Allocation Engine'!F24</f>
        <v>750</v>
      </c>
      <c r="G30" s="70">
        <f>'Cash Allocation Engine'!G24</f>
        <v>750</v>
      </c>
      <c r="H30" s="70">
        <f>'Cash Allocation Engine'!H24</f>
        <v>750</v>
      </c>
      <c r="I30" s="70">
        <f ca="1">'Cash Allocation Engine'!I24</f>
        <v>14332.043796298705</v>
      </c>
      <c r="J30" s="70">
        <f ca="1">'Cash Allocation Engine'!J24</f>
        <v>11699.173085990644</v>
      </c>
      <c r="K30" s="70">
        <f ca="1">'Cash Allocation Engine'!K24</f>
        <v>23340.494509868313</v>
      </c>
      <c r="L30" s="70">
        <f ca="1">'Cash Allocation Engine'!L24</f>
        <v>9168.1647692186853</v>
      </c>
      <c r="M30" s="70">
        <f ca="1">'Cash Allocation Engine'!M24</f>
        <v>25512.880362733562</v>
      </c>
      <c r="N30" s="70">
        <f ca="1">'Cash Allocation Engine'!N24</f>
        <v>19897.388660654004</v>
      </c>
      <c r="O30" s="70">
        <f ca="1">'Cash Allocation Engine'!O24</f>
        <v>23194.991144342184</v>
      </c>
      <c r="P30" s="70">
        <f ca="1">'Cash Allocation Engine'!P24</f>
        <v>23224.530723223212</v>
      </c>
      <c r="Q30" s="70">
        <f ca="1">'Cash Allocation Engine'!Q24</f>
        <v>48556.101531877561</v>
      </c>
      <c r="R30" s="70">
        <f ca="1">'Cash Allocation Engine'!R24</f>
        <v>71388.313152967516</v>
      </c>
      <c r="S30" s="70">
        <f ca="1">'Cash Allocation Engine'!S24</f>
        <v>94332.599034176033</v>
      </c>
      <c r="T30" s="123"/>
      <c r="U30" s="123"/>
      <c r="V30" s="123"/>
      <c r="W30" s="123"/>
      <c r="X30" s="123"/>
      <c r="Y30" s="123"/>
      <c r="Z30" s="123"/>
      <c r="AA30" s="123"/>
      <c r="AB30" s="123"/>
      <c r="AC30" s="123"/>
    </row>
    <row r="31" spans="1:2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>
      <c r="A32" s="13" t="s">
        <v>1584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>
      <c r="A33" s="5" t="s">
        <v>1585</v>
      </c>
      <c r="B33" s="3"/>
      <c r="C33" s="3"/>
      <c r="D33" s="29">
        <f>$D$21*$D$22</f>
        <v>30000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>
      <c r="A34" s="5" t="s">
        <v>1586</v>
      </c>
      <c r="B34" s="3"/>
      <c r="C34" s="3"/>
      <c r="D34" s="29">
        <f>$D$21*(1-$D$22)</f>
        <v>70000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>
      <c r="A35" s="5" t="s">
        <v>1587</v>
      </c>
      <c r="B35" s="3"/>
      <c r="C35" s="3"/>
      <c r="D35" s="29">
        <f>$D33/$D$15</f>
        <v>500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>
      <c r="A36" s="5" t="s">
        <v>1588</v>
      </c>
      <c r="B36" s="3"/>
      <c r="C36" s="3"/>
      <c r="D36" s="102">
        <f>($D34*$D$26 + $D35*$D$25)/1000000</f>
        <v>1070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>
      <c r="A38" s="5" t="s">
        <v>1589</v>
      </c>
      <c r="B38" s="3"/>
      <c r="C38" s="3"/>
      <c r="D38" s="29">
        <f>$D$23*$D$24</f>
        <v>30000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>
      <c r="A39" s="5" t="s">
        <v>1590</v>
      </c>
      <c r="B39" s="3"/>
      <c r="C39" s="3"/>
      <c r="D39" s="29">
        <f>$D$23*(1-$D$24)</f>
        <v>70000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>
      <c r="A40" s="5" t="s">
        <v>1591</v>
      </c>
      <c r="B40" s="3"/>
      <c r="C40" s="3"/>
      <c r="D40" s="29">
        <f>$D38/$D$15</f>
        <v>500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>
      <c r="A41" s="5" t="s">
        <v>1592</v>
      </c>
      <c r="B41" s="3"/>
      <c r="C41" s="3"/>
      <c r="D41" s="102">
        <f>($D39*$D$26 + $D40*$D$25)/1000000</f>
        <v>1070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A43" s="13" t="s">
        <v>1593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>
      <c r="A44" s="5" t="s">
        <v>1594</v>
      </c>
      <c r="B44" s="3"/>
      <c r="C44" s="3"/>
      <c r="D44" s="110">
        <f t="array" ref="D44">IFERROR(INDEX(Assumptions!$D:$S, MATCH("Lunar share of Mars/Moon carve-out cash: year-row", Assumptions!$A:$A, 0), D$5+1), 1)</f>
        <v>1</v>
      </c>
      <c r="E44" s="110">
        <f t="array" ref="E44">IFERROR(INDEX(Assumptions!$D:$S, MATCH("Lunar share of Mars/Moon carve-out cash: year-row", Assumptions!$A:$A, 0), E$5+1), 1)</f>
        <v>0.84599999999999997</v>
      </c>
      <c r="F44" s="110">
        <f t="array" ref="F44">IFERROR(INDEX(Assumptions!$D:$S, MATCH("Lunar share of Mars/Moon carve-out cash: year-row", Assumptions!$A:$A, 0), F$5+1), 1)</f>
        <v>0.71571599999999991</v>
      </c>
      <c r="G44" s="110">
        <f t="array" ref="G44">IFERROR(INDEX(Assumptions!$D:$S, MATCH("Lunar share of Mars/Moon carve-out cash: year-row", Assumptions!$A:$A, 0), G$5+1), 1)</f>
        <v>0.60549573599999995</v>
      </c>
      <c r="H44" s="110">
        <f t="array" ref="H44">IFERROR(INDEX(Assumptions!$D:$S, MATCH("Lunar share of Mars/Moon carve-out cash: year-row", Assumptions!$A:$A, 0), H$5+1), 1)</f>
        <v>0.51224939265599989</v>
      </c>
      <c r="I44" s="110">
        <f t="array" ref="I44">IFERROR(INDEX(Assumptions!$D:$S, MATCH("Lunar share of Mars/Moon carve-out cash: year-row", Assumptions!$A:$A, 0), I$5+1), 1)</f>
        <v>0.43336298618697588</v>
      </c>
      <c r="J44" s="110">
        <f t="array" ref="J44">IFERROR(INDEX(Assumptions!$D:$S, MATCH("Lunar share of Mars/Moon carve-out cash: year-row", Assumptions!$A:$A, 0), J$5+1), 1)</f>
        <v>0.36662508631418156</v>
      </c>
      <c r="K44" s="110">
        <f t="array" ref="K44">IFERROR(INDEX(Assumptions!$D:$S, MATCH("Lunar share of Mars/Moon carve-out cash: year-row", Assumptions!$A:$A, 0), K$5+1), 1)</f>
        <v>0.3101648230217976</v>
      </c>
      <c r="L44" s="110">
        <f t="array" ref="L44">IFERROR(INDEX(Assumptions!$D:$S, MATCH("Lunar share of Mars/Moon carve-out cash: year-row", Assumptions!$A:$A, 0), L$5+1), 1)</f>
        <v>0.26239944027644074</v>
      </c>
      <c r="M44" s="110">
        <f t="array" ref="M44">IFERROR(INDEX(Assumptions!$D:$S, MATCH("Lunar share of Mars/Moon carve-out cash: year-row", Assumptions!$A:$A, 0), M$5+1), 1)</f>
        <v>0.22198992647386886</v>
      </c>
      <c r="N44" s="110">
        <f t="array" ref="N44">IFERROR(INDEX(Assumptions!$D:$S, MATCH("Lunar share of Mars/Moon carve-out cash: year-row", Assumptions!$A:$A, 0), N$5+1), 1)</f>
        <v>0.18780347779689305</v>
      </c>
      <c r="O44" s="110">
        <f t="array" ref="O44">IFERROR(INDEX(Assumptions!$D:$S, MATCH("Lunar share of Mars/Moon carve-out cash: year-row", Assumptions!$A:$A, 0), O$5+1), 1)</f>
        <v>0.18329999999999999</v>
      </c>
      <c r="P44" s="110">
        <f t="array" ref="P44">IFERROR(INDEX(Assumptions!$D:$S, MATCH("Lunar share of Mars/Moon carve-out cash: year-row", Assumptions!$A:$A, 0), P$5+1), 1)</f>
        <v>0.18329999999999999</v>
      </c>
      <c r="Q44" s="110">
        <f t="array" ref="Q44">IFERROR(INDEX(Assumptions!$D:$S, MATCH("Lunar share of Mars/Moon carve-out cash: year-row", Assumptions!$A:$A, 0), Q$5+1), 1)</f>
        <v>0.18329999999999999</v>
      </c>
      <c r="R44" s="110">
        <f t="array" ref="R44">IFERROR(INDEX(Assumptions!$D:$S, MATCH("Lunar share of Mars/Moon carve-out cash: year-row", Assumptions!$A:$A, 0), R$5+1), 1)</f>
        <v>0.18329999999999999</v>
      </c>
      <c r="S44" s="110">
        <f t="array" ref="S44">IFERROR(INDEX(Assumptions!$D:$S, MATCH("Lunar share of Mars/Moon carve-out cash: year-row", Assumptions!$A:$A, 0), S$5+1), 1)</f>
        <v>0.18329999999999999</v>
      </c>
      <c r="T44" s="161"/>
      <c r="U44" s="161"/>
      <c r="V44" s="161"/>
      <c r="W44" s="161"/>
      <c r="X44" s="161"/>
      <c r="Y44" s="161"/>
      <c r="Z44" s="161"/>
      <c r="AA44" s="161"/>
      <c r="AB44" s="161"/>
      <c r="AC44" s="161"/>
    </row>
    <row r="45" spans="1:29">
      <c r="A45" s="5" t="s">
        <v>1595</v>
      </c>
      <c r="B45" s="3"/>
      <c r="C45" s="3"/>
      <c r="D45" s="29">
        <f t="shared" ref="D45:S45" si="0">D30*D44</f>
        <v>750</v>
      </c>
      <c r="E45" s="29">
        <f t="shared" si="0"/>
        <v>634.5</v>
      </c>
      <c r="F45" s="29">
        <f t="shared" si="0"/>
        <v>536.78699999999992</v>
      </c>
      <c r="G45" s="29">
        <f t="shared" si="0"/>
        <v>454.12180199999995</v>
      </c>
      <c r="H45" s="29">
        <f t="shared" si="0"/>
        <v>384.18704449199993</v>
      </c>
      <c r="I45" s="29">
        <f t="shared" ca="1" si="0"/>
        <v>6210.9772977265293</v>
      </c>
      <c r="J45" s="29">
        <f t="shared" ca="1" si="0"/>
        <v>4289.21034245587</v>
      </c>
      <c r="K45" s="29">
        <f t="shared" ca="1" si="0"/>
        <v>7239.4003488945436</v>
      </c>
      <c r="L45" s="29">
        <f t="shared" ca="1" si="0"/>
        <v>2405.7213038051664</v>
      </c>
      <c r="M45" s="29">
        <f t="shared" ca="1" si="0"/>
        <v>5663.6024358598361</v>
      </c>
      <c r="N45" s="29">
        <f t="shared" ca="1" si="0"/>
        <v>3736.7987895472857</v>
      </c>
      <c r="O45" s="29">
        <f t="shared" ca="1" si="0"/>
        <v>4251.6418767579225</v>
      </c>
      <c r="P45" s="29">
        <f t="shared" ca="1" si="0"/>
        <v>4257.0564815668149</v>
      </c>
      <c r="Q45" s="29">
        <f t="shared" ca="1" si="0"/>
        <v>8900.3334107931569</v>
      </c>
      <c r="R45" s="29">
        <f t="shared" ca="1" si="0"/>
        <v>13085.477800938945</v>
      </c>
      <c r="S45" s="29">
        <f t="shared" ca="1" si="0"/>
        <v>17291.165402964467</v>
      </c>
      <c r="T45" s="160"/>
      <c r="U45" s="160"/>
      <c r="V45" s="160"/>
      <c r="W45" s="160"/>
      <c r="X45" s="160"/>
      <c r="Y45" s="160"/>
      <c r="Z45" s="160"/>
      <c r="AA45" s="160"/>
      <c r="AB45" s="160"/>
      <c r="AC45" s="160"/>
    </row>
    <row r="46" spans="1:29">
      <c r="A46" s="5" t="s">
        <v>1596</v>
      </c>
      <c r="B46" s="3"/>
      <c r="C46" s="3"/>
      <c r="D46" s="141">
        <f t="shared" ref="D46:S46" si="1">IF(D$4 &lt; $D$11, 0, IFERROR(D45/$D36, 0))</f>
        <v>0</v>
      </c>
      <c r="E46" s="141">
        <f t="shared" si="1"/>
        <v>0</v>
      </c>
      <c r="F46" s="141">
        <f t="shared" si="1"/>
        <v>0</v>
      </c>
      <c r="G46" s="141">
        <f t="shared" si="1"/>
        <v>0</v>
      </c>
      <c r="H46" s="141">
        <f t="shared" si="1"/>
        <v>0</v>
      </c>
      <c r="I46" s="141">
        <f t="shared" ca="1" si="1"/>
        <v>5.8046516801182513</v>
      </c>
      <c r="J46" s="141">
        <f t="shared" ca="1" si="1"/>
        <v>4.0086077966877287</v>
      </c>
      <c r="K46" s="141">
        <f t="shared" ca="1" si="1"/>
        <v>6.7657947185930318</v>
      </c>
      <c r="L46" s="141">
        <f t="shared" ca="1" si="1"/>
        <v>2.2483376671076321</v>
      </c>
      <c r="M46" s="141">
        <f t="shared" ca="1" si="1"/>
        <v>5.2930863886540527</v>
      </c>
      <c r="N46" s="141">
        <f t="shared" ca="1" si="1"/>
        <v>3.4923353173339118</v>
      </c>
      <c r="O46" s="141">
        <f t="shared" ca="1" si="1"/>
        <v>3.9734970810821708</v>
      </c>
      <c r="P46" s="141">
        <f t="shared" ca="1" si="1"/>
        <v>3.978557459408238</v>
      </c>
      <c r="Q46" s="141">
        <f t="shared" ca="1" si="1"/>
        <v>8.3180686082179029</v>
      </c>
      <c r="R46" s="141">
        <f t="shared" ca="1" si="1"/>
        <v>12.229418505550415</v>
      </c>
      <c r="S46" s="141">
        <f t="shared" ca="1" si="1"/>
        <v>16.159967666321933</v>
      </c>
      <c r="T46" s="162"/>
      <c r="U46" s="162"/>
      <c r="V46" s="162"/>
      <c r="W46" s="162"/>
      <c r="X46" s="162"/>
      <c r="Y46" s="162"/>
      <c r="Z46" s="162"/>
      <c r="AA46" s="162"/>
      <c r="AB46" s="162"/>
      <c r="AC46" s="162"/>
    </row>
    <row r="47" spans="1:29">
      <c r="A47" s="5" t="s">
        <v>1597</v>
      </c>
      <c r="B47" s="3"/>
      <c r="C47" s="3"/>
      <c r="D47" s="29">
        <f t="shared" ref="D47:S47" si="2">D46*$D33</f>
        <v>0</v>
      </c>
      <c r="E47" s="29">
        <f t="shared" si="2"/>
        <v>0</v>
      </c>
      <c r="F47" s="29">
        <f t="shared" si="2"/>
        <v>0</v>
      </c>
      <c r="G47" s="29">
        <f t="shared" si="2"/>
        <v>0</v>
      </c>
      <c r="H47" s="29">
        <f t="shared" si="2"/>
        <v>0</v>
      </c>
      <c r="I47" s="29">
        <f t="shared" ca="1" si="2"/>
        <v>174139.55040354753</v>
      </c>
      <c r="J47" s="29">
        <f t="shared" ca="1" si="2"/>
        <v>120258.23390063187</v>
      </c>
      <c r="K47" s="29">
        <f t="shared" ca="1" si="2"/>
        <v>202973.84155779096</v>
      </c>
      <c r="L47" s="29">
        <f t="shared" ca="1" si="2"/>
        <v>67450.130013228962</v>
      </c>
      <c r="M47" s="29">
        <f t="shared" ca="1" si="2"/>
        <v>158792.59165962157</v>
      </c>
      <c r="N47" s="29">
        <f t="shared" ca="1" si="2"/>
        <v>104770.05952001736</v>
      </c>
      <c r="O47" s="29">
        <f t="shared" ca="1" si="2"/>
        <v>119204.91243246512</v>
      </c>
      <c r="P47" s="29">
        <f t="shared" ca="1" si="2"/>
        <v>119356.72378224714</v>
      </c>
      <c r="Q47" s="29">
        <f t="shared" ca="1" si="2"/>
        <v>249542.05824653708</v>
      </c>
      <c r="R47" s="29">
        <f t="shared" ca="1" si="2"/>
        <v>366882.55516651244</v>
      </c>
      <c r="S47" s="29">
        <f t="shared" ca="1" si="2"/>
        <v>484799.02998965798</v>
      </c>
      <c r="T47" s="160"/>
      <c r="U47" s="160"/>
      <c r="V47" s="160"/>
      <c r="W47" s="160"/>
      <c r="X47" s="160"/>
      <c r="Y47" s="160"/>
      <c r="Z47" s="160"/>
      <c r="AA47" s="160"/>
      <c r="AB47" s="160"/>
      <c r="AC47" s="160"/>
    </row>
    <row r="48" spans="1:29">
      <c r="A48" s="5" t="s">
        <v>1598</v>
      </c>
      <c r="B48" s="3"/>
      <c r="C48" s="3"/>
      <c r="D48" s="29">
        <f t="shared" ref="D48:S48" si="3">D46*$D34</f>
        <v>0</v>
      </c>
      <c r="E48" s="29">
        <f t="shared" si="3"/>
        <v>0</v>
      </c>
      <c r="F48" s="29">
        <f t="shared" si="3"/>
        <v>0</v>
      </c>
      <c r="G48" s="29">
        <f t="shared" si="3"/>
        <v>0</v>
      </c>
      <c r="H48" s="29">
        <f t="shared" si="3"/>
        <v>0</v>
      </c>
      <c r="I48" s="29">
        <f t="shared" ca="1" si="3"/>
        <v>406325.61760827759</v>
      </c>
      <c r="J48" s="29">
        <f t="shared" ca="1" si="3"/>
        <v>280602.54576814099</v>
      </c>
      <c r="K48" s="29">
        <f t="shared" ca="1" si="3"/>
        <v>473605.63030151225</v>
      </c>
      <c r="L48" s="29">
        <f t="shared" ca="1" si="3"/>
        <v>157383.63669753424</v>
      </c>
      <c r="M48" s="29">
        <f t="shared" ca="1" si="3"/>
        <v>370516.04720578366</v>
      </c>
      <c r="N48" s="29">
        <f t="shared" ca="1" si="3"/>
        <v>244463.47221337381</v>
      </c>
      <c r="O48" s="29">
        <f t="shared" ca="1" si="3"/>
        <v>278144.79567575193</v>
      </c>
      <c r="P48" s="29">
        <f t="shared" ca="1" si="3"/>
        <v>278499.02215857664</v>
      </c>
      <c r="Q48" s="29">
        <f t="shared" ca="1" si="3"/>
        <v>582264.80257525318</v>
      </c>
      <c r="R48" s="29">
        <f t="shared" ca="1" si="3"/>
        <v>856059.29538852908</v>
      </c>
      <c r="S48" s="29">
        <f t="shared" ca="1" si="3"/>
        <v>1131197.7366425353</v>
      </c>
      <c r="T48" s="160"/>
      <c r="U48" s="160"/>
      <c r="V48" s="160"/>
      <c r="W48" s="160"/>
      <c r="X48" s="160"/>
      <c r="Y48" s="160"/>
      <c r="Z48" s="160"/>
      <c r="AA48" s="160"/>
      <c r="AB48" s="160"/>
      <c r="AC48" s="160"/>
    </row>
    <row r="49" spans="1:29">
      <c r="A49" s="5" t="s">
        <v>1599</v>
      </c>
      <c r="B49" s="3"/>
      <c r="C49" s="3"/>
      <c r="D49" s="29">
        <f t="shared" ref="D49:S49" si="4">D46*$D35</f>
        <v>0</v>
      </c>
      <c r="E49" s="29">
        <f t="shared" si="4"/>
        <v>0</v>
      </c>
      <c r="F49" s="29">
        <f t="shared" si="4"/>
        <v>0</v>
      </c>
      <c r="G49" s="29">
        <f t="shared" si="4"/>
        <v>0</v>
      </c>
      <c r="H49" s="29">
        <f t="shared" si="4"/>
        <v>0</v>
      </c>
      <c r="I49" s="29">
        <f t="shared" ca="1" si="4"/>
        <v>2902.3258400591258</v>
      </c>
      <c r="J49" s="29">
        <f t="shared" ca="1" si="4"/>
        <v>2004.3038983438644</v>
      </c>
      <c r="K49" s="29">
        <f t="shared" ca="1" si="4"/>
        <v>3382.8973592965158</v>
      </c>
      <c r="L49" s="29">
        <f t="shared" ca="1" si="4"/>
        <v>1124.1688335538161</v>
      </c>
      <c r="M49" s="29">
        <f t="shared" ca="1" si="4"/>
        <v>2646.5431943270264</v>
      </c>
      <c r="N49" s="29">
        <f t="shared" ca="1" si="4"/>
        <v>1746.167658666956</v>
      </c>
      <c r="O49" s="29">
        <f t="shared" ca="1" si="4"/>
        <v>1986.7485405410855</v>
      </c>
      <c r="P49" s="29">
        <f t="shared" ca="1" si="4"/>
        <v>1989.2787297041191</v>
      </c>
      <c r="Q49" s="29">
        <f t="shared" ca="1" si="4"/>
        <v>4159.0343041089518</v>
      </c>
      <c r="R49" s="29">
        <f t="shared" ca="1" si="4"/>
        <v>6114.7092527752075</v>
      </c>
      <c r="S49" s="29">
        <f t="shared" ca="1" si="4"/>
        <v>8079.9838331609662</v>
      </c>
      <c r="T49" s="160"/>
      <c r="U49" s="160"/>
      <c r="V49" s="160"/>
      <c r="W49" s="160"/>
      <c r="X49" s="160"/>
      <c r="Y49" s="160"/>
      <c r="Z49" s="160"/>
      <c r="AA49" s="160"/>
      <c r="AB49" s="160"/>
      <c r="AC49" s="160"/>
    </row>
    <row r="50" spans="1:2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>
      <c r="A51" s="13" t="s">
        <v>1600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>
      <c r="A52" s="5" t="s">
        <v>1601</v>
      </c>
      <c r="B52" s="3"/>
      <c r="C52" s="3"/>
      <c r="D52" s="60">
        <f t="shared" ref="D52:S52" si="5">1-D44</f>
        <v>0</v>
      </c>
      <c r="E52" s="60">
        <f t="shared" si="5"/>
        <v>0.15400000000000003</v>
      </c>
      <c r="F52" s="60">
        <f t="shared" si="5"/>
        <v>0.28428400000000009</v>
      </c>
      <c r="G52" s="60">
        <f t="shared" si="5"/>
        <v>0.39450426400000005</v>
      </c>
      <c r="H52" s="60">
        <f t="shared" si="5"/>
        <v>0.48775060734400011</v>
      </c>
      <c r="I52" s="60">
        <f t="shared" si="5"/>
        <v>0.56663701381302412</v>
      </c>
      <c r="J52" s="60">
        <f t="shared" si="5"/>
        <v>0.63337491368581844</v>
      </c>
      <c r="K52" s="60">
        <f t="shared" si="5"/>
        <v>0.6898351769782024</v>
      </c>
      <c r="L52" s="60">
        <f t="shared" si="5"/>
        <v>0.73760055972355931</v>
      </c>
      <c r="M52" s="60">
        <f t="shared" si="5"/>
        <v>0.77801007352613116</v>
      </c>
      <c r="N52" s="60">
        <f t="shared" si="5"/>
        <v>0.8121965222031069</v>
      </c>
      <c r="O52" s="60">
        <f t="shared" si="5"/>
        <v>0.81669999999999998</v>
      </c>
      <c r="P52" s="60">
        <f t="shared" si="5"/>
        <v>0.81669999999999998</v>
      </c>
      <c r="Q52" s="60">
        <f t="shared" si="5"/>
        <v>0.81669999999999998</v>
      </c>
      <c r="R52" s="60">
        <f t="shared" si="5"/>
        <v>0.81669999999999998</v>
      </c>
      <c r="S52" s="60">
        <f t="shared" si="5"/>
        <v>0.81669999999999998</v>
      </c>
      <c r="T52" s="161"/>
      <c r="U52" s="161"/>
      <c r="V52" s="161"/>
      <c r="W52" s="161"/>
      <c r="X52" s="161"/>
      <c r="Y52" s="161"/>
      <c r="Z52" s="161"/>
      <c r="AA52" s="161"/>
      <c r="AB52" s="161"/>
      <c r="AC52" s="161"/>
    </row>
    <row r="53" spans="1:29">
      <c r="A53" s="5" t="s">
        <v>1602</v>
      </c>
      <c r="B53" s="3"/>
      <c r="C53" s="3"/>
      <c r="D53" s="29">
        <f t="shared" ref="D53:S53" si="6">D30*D52</f>
        <v>0</v>
      </c>
      <c r="E53" s="29">
        <f t="shared" si="6"/>
        <v>115.50000000000001</v>
      </c>
      <c r="F53" s="29">
        <f t="shared" si="6"/>
        <v>213.21300000000008</v>
      </c>
      <c r="G53" s="29">
        <f t="shared" si="6"/>
        <v>295.87819800000005</v>
      </c>
      <c r="H53" s="29">
        <f t="shared" si="6"/>
        <v>365.81295550800007</v>
      </c>
      <c r="I53" s="29">
        <f t="shared" ca="1" si="6"/>
        <v>8121.066498572176</v>
      </c>
      <c r="J53" s="29">
        <f t="shared" ca="1" si="6"/>
        <v>7409.9627435347738</v>
      </c>
      <c r="K53" s="29">
        <f t="shared" ca="1" si="6"/>
        <v>16101.094160973769</v>
      </c>
      <c r="L53" s="29">
        <f t="shared" ca="1" si="6"/>
        <v>6762.4434654135193</v>
      </c>
      <c r="M53" s="29">
        <f t="shared" ca="1" si="6"/>
        <v>19849.277926873725</v>
      </c>
      <c r="N53" s="29">
        <f t="shared" ca="1" si="6"/>
        <v>16160.589871106717</v>
      </c>
      <c r="O53" s="29">
        <f t="shared" ca="1" si="6"/>
        <v>18943.349267584261</v>
      </c>
      <c r="P53" s="29">
        <f t="shared" ca="1" si="6"/>
        <v>18967.474241656397</v>
      </c>
      <c r="Q53" s="29">
        <f t="shared" ca="1" si="6"/>
        <v>39655.768121084402</v>
      </c>
      <c r="R53" s="29">
        <f t="shared" ca="1" si="6"/>
        <v>58302.835352028567</v>
      </c>
      <c r="S53" s="29">
        <f t="shared" ca="1" si="6"/>
        <v>77041.433631211563</v>
      </c>
      <c r="T53" s="160"/>
      <c r="U53" s="160"/>
      <c r="V53" s="160"/>
      <c r="W53" s="160"/>
      <c r="X53" s="160"/>
      <c r="Y53" s="160"/>
      <c r="Z53" s="160"/>
      <c r="AA53" s="160"/>
      <c r="AB53" s="160"/>
      <c r="AC53" s="160"/>
    </row>
    <row r="54" spans="1:29">
      <c r="A54" s="5" t="s">
        <v>1603</v>
      </c>
      <c r="B54" s="3"/>
      <c r="C54" s="3"/>
      <c r="D54" s="141">
        <f t="shared" ref="D54:S54" si="7">IF(D$4 &lt; $D$11, 0, IFERROR(D53/$D41, 0))</f>
        <v>0</v>
      </c>
      <c r="E54" s="141">
        <f t="shared" si="7"/>
        <v>0</v>
      </c>
      <c r="F54" s="141">
        <f t="shared" si="7"/>
        <v>0</v>
      </c>
      <c r="G54" s="141">
        <f t="shared" si="7"/>
        <v>0</v>
      </c>
      <c r="H54" s="141">
        <f t="shared" si="7"/>
        <v>0</v>
      </c>
      <c r="I54" s="141">
        <f t="shared" ca="1" si="7"/>
        <v>7.5897817743665197</v>
      </c>
      <c r="J54" s="141">
        <f t="shared" ca="1" si="7"/>
        <v>6.9251988257334336</v>
      </c>
      <c r="K54" s="141">
        <f t="shared" ca="1" si="7"/>
        <v>15.047751552311935</v>
      </c>
      <c r="L54" s="141">
        <f t="shared" ca="1" si="7"/>
        <v>6.3200406218817937</v>
      </c>
      <c r="M54" s="141">
        <f t="shared" ca="1" si="7"/>
        <v>18.550727034461424</v>
      </c>
      <c r="N54" s="141">
        <f t="shared" ca="1" si="7"/>
        <v>15.103355019725903</v>
      </c>
      <c r="O54" s="141">
        <f t="shared" ca="1" si="7"/>
        <v>17.704064736060058</v>
      </c>
      <c r="P54" s="141">
        <f t="shared" ca="1" si="7"/>
        <v>17.726611440800372</v>
      </c>
      <c r="Q54" s="141">
        <f t="shared" ca="1" si="7"/>
        <v>37.061465533723741</v>
      </c>
      <c r="R54" s="141">
        <f t="shared" ca="1" si="7"/>
        <v>54.488631170120158</v>
      </c>
      <c r="S54" s="141">
        <f t="shared" ca="1" si="7"/>
        <v>72.001339842253799</v>
      </c>
      <c r="T54" s="162"/>
      <c r="U54" s="162"/>
      <c r="V54" s="162"/>
      <c r="W54" s="162"/>
      <c r="X54" s="162"/>
      <c r="Y54" s="162"/>
      <c r="Z54" s="162"/>
      <c r="AA54" s="162"/>
      <c r="AB54" s="162"/>
      <c r="AC54" s="162"/>
    </row>
    <row r="55" spans="1:29">
      <c r="A55" s="5" t="s">
        <v>1604</v>
      </c>
      <c r="B55" s="3"/>
      <c r="C55" s="3"/>
      <c r="D55" s="29">
        <f t="shared" ref="D55:S55" si="8">D54*$D38</f>
        <v>0</v>
      </c>
      <c r="E55" s="29">
        <f t="shared" si="8"/>
        <v>0</v>
      </c>
      <c r="F55" s="29">
        <f t="shared" si="8"/>
        <v>0</v>
      </c>
      <c r="G55" s="29">
        <f t="shared" si="8"/>
        <v>0</v>
      </c>
      <c r="H55" s="29">
        <f t="shared" si="8"/>
        <v>0</v>
      </c>
      <c r="I55" s="29">
        <f t="shared" ca="1" si="8"/>
        <v>227693.4532309956</v>
      </c>
      <c r="J55" s="29">
        <f t="shared" ca="1" si="8"/>
        <v>207755.964772003</v>
      </c>
      <c r="K55" s="29">
        <f t="shared" ca="1" si="8"/>
        <v>451432.54656935803</v>
      </c>
      <c r="L55" s="29">
        <f t="shared" ca="1" si="8"/>
        <v>189601.2186564538</v>
      </c>
      <c r="M55" s="29">
        <f t="shared" ca="1" si="8"/>
        <v>556521.81103384274</v>
      </c>
      <c r="N55" s="29">
        <f t="shared" ca="1" si="8"/>
        <v>453100.65059177711</v>
      </c>
      <c r="O55" s="29">
        <f t="shared" ca="1" si="8"/>
        <v>531121.94208180171</v>
      </c>
      <c r="P55" s="29">
        <f t="shared" ca="1" si="8"/>
        <v>531798.34322401113</v>
      </c>
      <c r="Q55" s="29">
        <f t="shared" ca="1" si="8"/>
        <v>1111843.9660117123</v>
      </c>
      <c r="R55" s="29">
        <f t="shared" ca="1" si="8"/>
        <v>1634658.9351036048</v>
      </c>
      <c r="S55" s="29">
        <f t="shared" ca="1" si="8"/>
        <v>2160040.195267614</v>
      </c>
      <c r="T55" s="160"/>
      <c r="U55" s="160"/>
      <c r="V55" s="160"/>
      <c r="W55" s="160"/>
      <c r="X55" s="160"/>
      <c r="Y55" s="160"/>
      <c r="Z55" s="160"/>
      <c r="AA55" s="160"/>
      <c r="AB55" s="160"/>
      <c r="AC55" s="160"/>
    </row>
    <row r="56" spans="1:29">
      <c r="A56" s="5" t="s">
        <v>1605</v>
      </c>
      <c r="B56" s="3"/>
      <c r="C56" s="3"/>
      <c r="D56" s="29">
        <f t="shared" ref="D56:S56" si="9">D54*$D39</f>
        <v>0</v>
      </c>
      <c r="E56" s="29">
        <f t="shared" si="9"/>
        <v>0</v>
      </c>
      <c r="F56" s="29">
        <f t="shared" si="9"/>
        <v>0</v>
      </c>
      <c r="G56" s="29">
        <f t="shared" si="9"/>
        <v>0</v>
      </c>
      <c r="H56" s="29">
        <f t="shared" si="9"/>
        <v>0</v>
      </c>
      <c r="I56" s="29">
        <f t="shared" ca="1" si="9"/>
        <v>531284.72420565633</v>
      </c>
      <c r="J56" s="29">
        <f t="shared" ca="1" si="9"/>
        <v>484763.91780134034</v>
      </c>
      <c r="K56" s="29">
        <f t="shared" ca="1" si="9"/>
        <v>1053342.6086618355</v>
      </c>
      <c r="L56" s="29">
        <f t="shared" ca="1" si="9"/>
        <v>442402.84353172558</v>
      </c>
      <c r="M56" s="29">
        <f t="shared" ca="1" si="9"/>
        <v>1298550.8924122998</v>
      </c>
      <c r="N56" s="29">
        <f t="shared" ca="1" si="9"/>
        <v>1057234.8513808132</v>
      </c>
      <c r="O56" s="29">
        <f t="shared" ca="1" si="9"/>
        <v>1239284.531524204</v>
      </c>
      <c r="P56" s="29">
        <f t="shared" ca="1" si="9"/>
        <v>1240862.8008560261</v>
      </c>
      <c r="Q56" s="29">
        <f t="shared" ca="1" si="9"/>
        <v>2594302.5873606619</v>
      </c>
      <c r="R56" s="29">
        <f t="shared" ca="1" si="9"/>
        <v>3814204.181908411</v>
      </c>
      <c r="S56" s="29">
        <f t="shared" ca="1" si="9"/>
        <v>5040093.7889577663</v>
      </c>
      <c r="T56" s="160"/>
      <c r="U56" s="160"/>
      <c r="V56" s="160"/>
      <c r="W56" s="160"/>
      <c r="X56" s="160"/>
      <c r="Y56" s="160"/>
      <c r="Z56" s="160"/>
      <c r="AA56" s="160"/>
      <c r="AB56" s="160"/>
      <c r="AC56" s="160"/>
    </row>
    <row r="57" spans="1:29">
      <c r="A57" s="5" t="s">
        <v>1606</v>
      </c>
      <c r="B57" s="3"/>
      <c r="C57" s="3"/>
      <c r="D57" s="29">
        <f t="shared" ref="D57:S57" si="10">D54*$D40</f>
        <v>0</v>
      </c>
      <c r="E57" s="29">
        <f t="shared" si="10"/>
        <v>0</v>
      </c>
      <c r="F57" s="29">
        <f t="shared" si="10"/>
        <v>0</v>
      </c>
      <c r="G57" s="29">
        <f t="shared" si="10"/>
        <v>0</v>
      </c>
      <c r="H57" s="29">
        <f t="shared" si="10"/>
        <v>0</v>
      </c>
      <c r="I57" s="29">
        <f t="shared" ca="1" si="10"/>
        <v>3794.89088718326</v>
      </c>
      <c r="J57" s="29">
        <f t="shared" ca="1" si="10"/>
        <v>3462.5994128667166</v>
      </c>
      <c r="K57" s="29">
        <f t="shared" ca="1" si="10"/>
        <v>7523.8757761559673</v>
      </c>
      <c r="L57" s="29">
        <f t="shared" ca="1" si="10"/>
        <v>3160.0203109408967</v>
      </c>
      <c r="M57" s="29">
        <f t="shared" ca="1" si="10"/>
        <v>9275.3635172307113</v>
      </c>
      <c r="N57" s="29">
        <f t="shared" ca="1" si="10"/>
        <v>7551.6775098629514</v>
      </c>
      <c r="O57" s="29">
        <f t="shared" ca="1" si="10"/>
        <v>8852.0323680300298</v>
      </c>
      <c r="P57" s="29">
        <f t="shared" ca="1" si="10"/>
        <v>8863.3057204001871</v>
      </c>
      <c r="Q57" s="29">
        <f t="shared" ca="1" si="10"/>
        <v>18530.732766861871</v>
      </c>
      <c r="R57" s="29">
        <f t="shared" ca="1" si="10"/>
        <v>27244.315585060078</v>
      </c>
      <c r="S57" s="29">
        <f t="shared" ca="1" si="10"/>
        <v>36000.669921126901</v>
      </c>
      <c r="T57" s="160"/>
      <c r="U57" s="160"/>
      <c r="V57" s="160"/>
      <c r="W57" s="160"/>
      <c r="X57" s="160"/>
      <c r="Y57" s="160"/>
      <c r="Z57" s="160"/>
      <c r="AA57" s="160"/>
      <c r="AB57" s="160"/>
      <c r="AC57" s="160"/>
    </row>
    <row r="58" spans="1:2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>
      <c r="A59" s="13" t="s">
        <v>1607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>
      <c r="A60" s="5" t="s">
        <v>1608</v>
      </c>
      <c r="B60" s="3"/>
      <c r="C60" s="3"/>
      <c r="D60" s="71">
        <f>$D$16*$D$17*365/1000000</f>
        <v>0.25238290000000002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>
      <c r="A61" s="5" t="s">
        <v>1609</v>
      </c>
      <c r="B61" s="3"/>
      <c r="C61" s="3"/>
      <c r="D61" s="141">
        <f>POWER(1+$D$19, $D$5)</f>
        <v>1</v>
      </c>
      <c r="E61" s="141">
        <f t="shared" ref="E61:S61" si="11">POWER(1+$D$19, E$5)</f>
        <v>1.05</v>
      </c>
      <c r="F61" s="141">
        <f t="shared" si="11"/>
        <v>1.1025</v>
      </c>
      <c r="G61" s="141">
        <f t="shared" si="11"/>
        <v>1.1576250000000001</v>
      </c>
      <c r="H61" s="141">
        <f t="shared" si="11"/>
        <v>1.21550625</v>
      </c>
      <c r="I61" s="141">
        <f t="shared" si="11"/>
        <v>1.2762815625000001</v>
      </c>
      <c r="J61" s="141">
        <f t="shared" si="11"/>
        <v>1.340095640625</v>
      </c>
      <c r="K61" s="141">
        <f t="shared" si="11"/>
        <v>1.4071004226562502</v>
      </c>
      <c r="L61" s="141">
        <f t="shared" si="11"/>
        <v>1.4774554437890626</v>
      </c>
      <c r="M61" s="141">
        <f t="shared" si="11"/>
        <v>1.5513282159785158</v>
      </c>
      <c r="N61" s="141">
        <f t="shared" si="11"/>
        <v>1.6288946267774416</v>
      </c>
      <c r="O61" s="141">
        <f t="shared" si="11"/>
        <v>1.7103393581163138</v>
      </c>
      <c r="P61" s="141">
        <f t="shared" si="11"/>
        <v>1.7958563260221292</v>
      </c>
      <c r="Q61" s="141">
        <f t="shared" si="11"/>
        <v>1.885649142323236</v>
      </c>
      <c r="R61" s="141">
        <f t="shared" si="11"/>
        <v>1.9799315994393973</v>
      </c>
      <c r="S61" s="141">
        <f t="shared" si="11"/>
        <v>2.0789281794113679</v>
      </c>
      <c r="T61" s="162"/>
      <c r="U61" s="162"/>
      <c r="V61" s="162"/>
      <c r="W61" s="162"/>
      <c r="X61" s="162"/>
      <c r="Y61" s="162"/>
      <c r="Z61" s="162"/>
      <c r="AA61" s="162"/>
      <c r="AB61" s="162"/>
      <c r="AC61" s="162"/>
    </row>
    <row r="62" spans="1:29">
      <c r="A62" s="5" t="s">
        <v>1610</v>
      </c>
      <c r="B62" s="3"/>
      <c r="C62" s="3"/>
      <c r="D62" s="71">
        <f t="shared" ref="D62:S62" si="12">$D$60*D61*$D$18</f>
        <v>0.25238290000000002</v>
      </c>
      <c r="E62" s="71">
        <f t="shared" si="12"/>
        <v>0.26500204500000002</v>
      </c>
      <c r="F62" s="71">
        <f t="shared" si="12"/>
        <v>0.27825214725000003</v>
      </c>
      <c r="G62" s="71">
        <f t="shared" si="12"/>
        <v>0.29216475461250008</v>
      </c>
      <c r="H62" s="71">
        <f t="shared" si="12"/>
        <v>0.30677299234312505</v>
      </c>
      <c r="I62" s="71">
        <f t="shared" si="12"/>
        <v>0.3221116419602813</v>
      </c>
      <c r="J62" s="71">
        <f t="shared" si="12"/>
        <v>0.33821722405829535</v>
      </c>
      <c r="K62" s="71">
        <f t="shared" si="12"/>
        <v>0.35512808526121015</v>
      </c>
      <c r="L62" s="71">
        <f t="shared" si="12"/>
        <v>0.37288448952427061</v>
      </c>
      <c r="M62" s="71">
        <f t="shared" si="12"/>
        <v>0.39152871400048417</v>
      </c>
      <c r="N62" s="71">
        <f t="shared" si="12"/>
        <v>0.41110514970050838</v>
      </c>
      <c r="O62" s="71">
        <f t="shared" si="12"/>
        <v>0.43166040718553383</v>
      </c>
      <c r="P62" s="71">
        <f t="shared" si="12"/>
        <v>0.45324342754481045</v>
      </c>
      <c r="Q62" s="71">
        <f t="shared" si="12"/>
        <v>0.47590559892205109</v>
      </c>
      <c r="R62" s="71">
        <f t="shared" si="12"/>
        <v>0.49970087886815351</v>
      </c>
      <c r="S62" s="71">
        <f t="shared" si="12"/>
        <v>0.52468592281156134</v>
      </c>
      <c r="T62" s="163"/>
      <c r="U62" s="163"/>
      <c r="V62" s="163"/>
      <c r="W62" s="163"/>
      <c r="X62" s="163"/>
      <c r="Y62" s="163"/>
      <c r="Z62" s="163"/>
      <c r="AA62" s="163"/>
      <c r="AB62" s="163"/>
      <c r="AC62" s="163"/>
    </row>
    <row r="63" spans="1:2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>
      <c r="A64" s="5" t="s">
        <v>1611</v>
      </c>
      <c r="B64" s="3"/>
      <c r="C64" s="3"/>
      <c r="D64" s="18">
        <f t="array" ref="D64">IF($D$5-$D$20+1&lt;1, 0, INDEX($D49:$AC49, 1, $D$5-$D$20+1))</f>
        <v>0</v>
      </c>
      <c r="E64" s="18">
        <f t="array" ref="E64">IF(E$5-$D$20+1&lt;1, 0, INDEX($D49:$AC49, 1, E$5-$D$20+1))</f>
        <v>0</v>
      </c>
      <c r="F64" s="18">
        <f t="array" ref="F64">IF(F$5-$D$20+1&lt;1, 0, INDEX($D49:$AC49, 1, F$5-$D$20+1))</f>
        <v>0</v>
      </c>
      <c r="G64" s="18">
        <f t="array" ref="G64">IF(G$5-$D$20+1&lt;1, 0, INDEX($D49:$AC49, 1, G$5-$D$20+1))</f>
        <v>0</v>
      </c>
      <c r="H64" s="18">
        <f t="array" ref="H64">IF(H$5-$D$20+1&lt;1, 0, INDEX($D49:$AC49, 1, H$5-$D$20+1))</f>
        <v>0</v>
      </c>
      <c r="I64" s="18">
        <f t="array" ref="I64">IF(I$5-$D$20+1&lt;1, 0, INDEX($D49:$AC49, 1, I$5-$D$20+1))</f>
        <v>0</v>
      </c>
      <c r="J64" s="18">
        <f t="array" ref="J64">IF(J$5-$D$20+1&lt;1, 0, INDEX($D49:$AC49, 1, J$5-$D$20+1))</f>
        <v>0</v>
      </c>
      <c r="K64" s="18">
        <f t="array" ref="K64">IF(K$5-$D$20+1&lt;1, 0, INDEX($D49:$AC49, 1, K$5-$D$20+1))</f>
        <v>0</v>
      </c>
      <c r="L64" s="18">
        <f t="array" ref="L64">IF(L$5-$D$20+1&lt;1, 0, INDEX($D49:$AC49, 1, L$5-$D$20+1))</f>
        <v>0</v>
      </c>
      <c r="M64" s="18">
        <f t="array" ref="M64">IF(M$5-$D$20+1&lt;1, 0, INDEX($D49:$AC49, 1, M$5-$D$20+1))</f>
        <v>0</v>
      </c>
      <c r="N64" s="18">
        <f t="array" aca="1" ref="N64" ca="1">IF(N$5-$D$20+1&lt;1, 0, INDEX($D49:$AC49, 1, N$5-$D$20+1))</f>
        <v>2902.3258400591258</v>
      </c>
      <c r="O64" s="18">
        <f t="array" aca="1" ref="O64" ca="1">IF(O$5-$D$20+1&lt;1, 0, INDEX($D49:$AC49, 1, O$5-$D$20+1))</f>
        <v>2004.3038983438644</v>
      </c>
      <c r="P64" s="18">
        <f t="array" aca="1" ref="P64" ca="1">IF(P$5-$D$20+1&lt;1, 0, INDEX($D49:$AC49, 1, P$5-$D$20+1))</f>
        <v>3382.8973592965158</v>
      </c>
      <c r="Q64" s="18">
        <f t="array" aca="1" ref="Q64" ca="1">IF(Q$5-$D$20+1&lt;1, 0, INDEX($D49:$AC49, 1, Q$5-$D$20+1))</f>
        <v>1124.1688335538161</v>
      </c>
      <c r="R64" s="18">
        <f t="array" aca="1" ref="R64" ca="1">IF(R$5-$D$20+1&lt;1, 0, INDEX($D49:$AC49, 1, R$5-$D$20+1))</f>
        <v>2646.5431943270264</v>
      </c>
      <c r="S64" s="18">
        <f t="array" aca="1" ref="S64" ca="1">IF(S$5-$D$20+1&lt;1, 0, INDEX($D49:$AC49, 1, S$5-$D$20+1))</f>
        <v>1746.167658666956</v>
      </c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spans="1:29">
      <c r="A65" s="5" t="s">
        <v>1612</v>
      </c>
      <c r="B65" s="3"/>
      <c r="C65" s="3"/>
      <c r="D65" s="18">
        <f t="array" ref="D65">IF($D$5-$D$20+1&lt;1, 0, INDEX($D57:$AC57, 1, $D$5-$D$20+1))</f>
        <v>0</v>
      </c>
      <c r="E65" s="18">
        <f t="array" ref="E65">IF(E$5-$D$20+1&lt;1, 0, INDEX($D57:$AC57, 1, E$5-$D$20+1))</f>
        <v>0</v>
      </c>
      <c r="F65" s="18">
        <f t="array" ref="F65">IF(F$5-$D$20+1&lt;1, 0, INDEX($D57:$AC57, 1, F$5-$D$20+1))</f>
        <v>0</v>
      </c>
      <c r="G65" s="18">
        <f t="array" ref="G65">IF(G$5-$D$20+1&lt;1, 0, INDEX($D57:$AC57, 1, G$5-$D$20+1))</f>
        <v>0</v>
      </c>
      <c r="H65" s="18">
        <f t="array" ref="H65">IF(H$5-$D$20+1&lt;1, 0, INDEX($D57:$AC57, 1, H$5-$D$20+1))</f>
        <v>0</v>
      </c>
      <c r="I65" s="18">
        <f t="array" ref="I65">IF(I$5-$D$20+1&lt;1, 0, INDEX($D57:$AC57, 1, I$5-$D$20+1))</f>
        <v>0</v>
      </c>
      <c r="J65" s="18">
        <f t="array" ref="J65">IF(J$5-$D$20+1&lt;1, 0, INDEX($D57:$AC57, 1, J$5-$D$20+1))</f>
        <v>0</v>
      </c>
      <c r="K65" s="18">
        <f t="array" ref="K65">IF(K$5-$D$20+1&lt;1, 0, INDEX($D57:$AC57, 1, K$5-$D$20+1))</f>
        <v>0</v>
      </c>
      <c r="L65" s="18">
        <f t="array" ref="L65">IF(L$5-$D$20+1&lt;1, 0, INDEX($D57:$AC57, 1, L$5-$D$20+1))</f>
        <v>0</v>
      </c>
      <c r="M65" s="18">
        <f t="array" ref="M65">IF(M$5-$D$20+1&lt;1, 0, INDEX($D57:$AC57, 1, M$5-$D$20+1))</f>
        <v>0</v>
      </c>
      <c r="N65" s="18">
        <f t="array" aca="1" ref="N65" ca="1">IF(N$5-$D$20+1&lt;1, 0, INDEX($D57:$AC57, 1, N$5-$D$20+1))</f>
        <v>3794.89088718326</v>
      </c>
      <c r="O65" s="18">
        <f t="array" aca="1" ref="O65" ca="1">IF(O$5-$D$20+1&lt;1, 0, INDEX($D57:$AC57, 1, O$5-$D$20+1))</f>
        <v>3462.5994128667166</v>
      </c>
      <c r="P65" s="18">
        <f t="array" aca="1" ref="P65" ca="1">IF(P$5-$D$20+1&lt;1, 0, INDEX($D57:$AC57, 1, P$5-$D$20+1))</f>
        <v>7523.8757761559673</v>
      </c>
      <c r="Q65" s="18">
        <f t="array" aca="1" ref="Q65" ca="1">IF(Q$5-$D$20+1&lt;1, 0, INDEX($D57:$AC57, 1, Q$5-$D$20+1))</f>
        <v>3160.0203109408967</v>
      </c>
      <c r="R65" s="18">
        <f t="array" aca="1" ref="R65" ca="1">IF(R$5-$D$20+1&lt;1, 0, INDEX($D57:$AC57, 1, R$5-$D$20+1))</f>
        <v>9275.3635172307113</v>
      </c>
      <c r="S65" s="18">
        <f t="array" aca="1" ref="S65" ca="1">IF(S$5-$D$20+1&lt;1, 0, INDEX($D57:$AC57, 1, S$5-$D$20+1))</f>
        <v>7551.6775098629514</v>
      </c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spans="1:2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>
      <c r="A67" s="5" t="s">
        <v>1613</v>
      </c>
      <c r="B67" s="3"/>
      <c r="C67" s="3"/>
      <c r="D67" s="29">
        <f>$D49-$D64</f>
        <v>0</v>
      </c>
      <c r="E67" s="18">
        <f t="array" ref="E67">INDEX($D67:$AC67, 1, E$5)+E49-E64</f>
        <v>0</v>
      </c>
      <c r="F67" s="18">
        <f t="array" ref="F67">INDEX($D67:$AC67, 1, F$5)+F49-F64</f>
        <v>0</v>
      </c>
      <c r="G67" s="18">
        <f t="array" ref="G67">INDEX($D67:$AC67, 1, G$5)+G49-G64</f>
        <v>0</v>
      </c>
      <c r="H67" s="18">
        <f t="array" ref="H67">INDEX($D67:$AC67, 1, H$5)+H49-H64</f>
        <v>0</v>
      </c>
      <c r="I67" s="18">
        <f t="array" aca="1" ref="I67" ca="1">INDEX($D67:$AC67, 1, I$5)+I49-I64</f>
        <v>2902.3258400591258</v>
      </c>
      <c r="J67" s="18">
        <f t="array" aca="1" ref="J67" ca="1">INDEX($D67:$AC67, 1, J$5)+J49-J64</f>
        <v>4906.6297384029904</v>
      </c>
      <c r="K67" s="18">
        <f t="array" aca="1" ref="K67" ca="1">INDEX($D67:$AC67, 1, K$5)+K49-K64</f>
        <v>8289.5270976995052</v>
      </c>
      <c r="L67" s="18">
        <f t="array" aca="1" ref="L67" ca="1">INDEX($D67:$AC67, 1, L$5)+L49-L64</f>
        <v>9413.6959312533218</v>
      </c>
      <c r="M67" s="18">
        <f t="array" aca="1" ref="M67" ca="1">INDEX($D67:$AC67, 1, M$5)+M49-M64</f>
        <v>12060.239125580349</v>
      </c>
      <c r="N67" s="18">
        <f t="array" aca="1" ref="N67" ca="1">INDEX($D67:$AC67, 1, N$5)+N49-N64</f>
        <v>10904.080944188179</v>
      </c>
      <c r="O67" s="18">
        <f t="array" aca="1" ref="O67" ca="1">INDEX($D67:$AC67, 1, O$5)+O49-O64</f>
        <v>10886.525586385402</v>
      </c>
      <c r="P67" s="18">
        <f t="array" aca="1" ref="P67" ca="1">INDEX($D67:$AC67, 1, P$5)+P49-P64</f>
        <v>9492.9069567930055</v>
      </c>
      <c r="Q67" s="18">
        <f t="array" aca="1" ref="Q67" ca="1">INDEX($D67:$AC67, 1, Q$5)+Q49-Q64</f>
        <v>12527.77242734814</v>
      </c>
      <c r="R67" s="18">
        <f t="array" aca="1" ref="R67" ca="1">INDEX($D67:$AC67, 1, R$5)+R49-R64</f>
        <v>15995.93848579632</v>
      </c>
      <c r="S67" s="18">
        <f t="array" aca="1" ref="S67" ca="1">INDEX($D67:$AC67, 1, S$5)+S49-S64</f>
        <v>22329.754660290331</v>
      </c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spans="1:29">
      <c r="A68" s="5" t="s">
        <v>1614</v>
      </c>
      <c r="B68" s="3"/>
      <c r="C68" s="3"/>
      <c r="D68" s="29">
        <f>$D57-$D65</f>
        <v>0</v>
      </c>
      <c r="E68" s="18">
        <f t="array" ref="E68">INDEX($D68:$AC68, 1, E$5)+E57-E65</f>
        <v>0</v>
      </c>
      <c r="F68" s="18">
        <f t="array" ref="F68">INDEX($D68:$AC68, 1, F$5)+F57-F65</f>
        <v>0</v>
      </c>
      <c r="G68" s="18">
        <f t="array" ref="G68">INDEX($D68:$AC68, 1, G$5)+G57-G65</f>
        <v>0</v>
      </c>
      <c r="H68" s="18">
        <f t="array" ref="H68">INDEX($D68:$AC68, 1, H$5)+H57-H65</f>
        <v>0</v>
      </c>
      <c r="I68" s="18">
        <f t="array" aca="1" ref="I68" ca="1">INDEX($D68:$AC68, 1, I$5)+I57-I65</f>
        <v>3794.89088718326</v>
      </c>
      <c r="J68" s="18">
        <f t="array" aca="1" ref="J68" ca="1">INDEX($D68:$AC68, 1, J$5)+J57-J65</f>
        <v>7257.4903000499762</v>
      </c>
      <c r="K68" s="18">
        <f t="array" aca="1" ref="K68" ca="1">INDEX($D68:$AC68, 1, K$5)+K57-K65</f>
        <v>14781.366076205944</v>
      </c>
      <c r="L68" s="18">
        <f t="array" aca="1" ref="L68" ca="1">INDEX($D68:$AC68, 1, L$5)+L57-L65</f>
        <v>17941.386387146842</v>
      </c>
      <c r="M68" s="18">
        <f t="array" aca="1" ref="M68" ca="1">INDEX($D68:$AC68, 1, M$5)+M57-M65</f>
        <v>27216.749904377553</v>
      </c>
      <c r="N68" s="18">
        <f t="array" aca="1" ref="N68" ca="1">INDEX($D68:$AC68, 1, N$5)+N57-N65</f>
        <v>30973.536527057244</v>
      </c>
      <c r="O68" s="18">
        <f t="array" aca="1" ref="O68" ca="1">INDEX($D68:$AC68, 1, O$5)+O57-O65</f>
        <v>36362.969482220557</v>
      </c>
      <c r="P68" s="18">
        <f t="array" aca="1" ref="P68" ca="1">INDEX($D68:$AC68, 1, P$5)+P57-P65</f>
        <v>37702.399426464777</v>
      </c>
      <c r="Q68" s="18">
        <f t="array" aca="1" ref="Q68" ca="1">INDEX($D68:$AC68, 1, Q$5)+Q57-Q65</f>
        <v>53073.111882385747</v>
      </c>
      <c r="R68" s="18">
        <f t="array" aca="1" ref="R68" ca="1">INDEX($D68:$AC68, 1, R$5)+R57-R65</f>
        <v>71042.063950215117</v>
      </c>
      <c r="S68" s="18">
        <f t="array" aca="1" ref="S68" ca="1">INDEX($D68:$AC68, 1, S$5)+S57-S65</f>
        <v>99491.056361479074</v>
      </c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 s="5" t="s">
        <v>1615</v>
      </c>
      <c r="B70" s="3"/>
      <c r="C70" s="3"/>
      <c r="D70" s="29">
        <f t="shared" ref="D70:S70" si="13">D67*D62</f>
        <v>0</v>
      </c>
      <c r="E70" s="29">
        <f t="shared" si="13"/>
        <v>0</v>
      </c>
      <c r="F70" s="29">
        <f t="shared" si="13"/>
        <v>0</v>
      </c>
      <c r="G70" s="29">
        <f t="shared" si="13"/>
        <v>0</v>
      </c>
      <c r="H70" s="29">
        <f t="shared" si="13"/>
        <v>0</v>
      </c>
      <c r="I70" s="29">
        <f t="shared" ca="1" si="13"/>
        <v>934.87294184519783</v>
      </c>
      <c r="J70" s="29">
        <f t="shared" ca="1" si="13"/>
        <v>1659.5066896045394</v>
      </c>
      <c r="K70" s="29">
        <f t="shared" ca="1" si="13"/>
        <v>2943.8438859269418</v>
      </c>
      <c r="L70" s="29">
        <f t="shared" ca="1" si="13"/>
        <v>3510.221201862098</v>
      </c>
      <c r="M70" s="29">
        <f t="shared" ca="1" si="13"/>
        <v>4721.9299153767979</v>
      </c>
      <c r="N70" s="29">
        <f t="shared" ca="1" si="13"/>
        <v>4482.7238289069419</v>
      </c>
      <c r="O70" s="29">
        <f t="shared" ca="1" si="13"/>
        <v>4699.2820674548548</v>
      </c>
      <c r="P70" s="29">
        <f t="shared" ca="1" si="13"/>
        <v>4302.5976864608374</v>
      </c>
      <c r="Q70" s="29">
        <f t="shared" ca="1" si="13"/>
        <v>5962.0370401962746</v>
      </c>
      <c r="R70" s="29">
        <f t="shared" ca="1" si="13"/>
        <v>7993.1845196733411</v>
      </c>
      <c r="S70" s="29">
        <f t="shared" ca="1" si="13"/>
        <v>11716.107930090195</v>
      </c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spans="1:29">
      <c r="A71" s="5" t="s">
        <v>1616</v>
      </c>
      <c r="B71" s="3"/>
      <c r="C71" s="3"/>
      <c r="D71" s="29">
        <f t="shared" ref="D71:S71" si="14">D68*D62</f>
        <v>0</v>
      </c>
      <c r="E71" s="29">
        <f t="shared" si="14"/>
        <v>0</v>
      </c>
      <c r="F71" s="29">
        <f t="shared" si="14"/>
        <v>0</v>
      </c>
      <c r="G71" s="29">
        <f t="shared" si="14"/>
        <v>0</v>
      </c>
      <c r="H71" s="29">
        <f t="shared" si="14"/>
        <v>0</v>
      </c>
      <c r="I71" s="29">
        <f t="shared" ca="1" si="14"/>
        <v>1222.3785347307085</v>
      </c>
      <c r="J71" s="29">
        <f t="shared" ca="1" si="14"/>
        <v>2454.6082229129079</v>
      </c>
      <c r="K71" s="29">
        <f t="shared" ca="1" si="14"/>
        <v>5249.278232188024</v>
      </c>
      <c r="L71" s="29">
        <f t="shared" ca="1" si="14"/>
        <v>6690.0647043289482</v>
      </c>
      <c r="M71" s="29">
        <f t="shared" ca="1" si="14"/>
        <v>10656.139089333745</v>
      </c>
      <c r="N71" s="29">
        <f t="shared" ca="1" si="14"/>
        <v>12733.380370710032</v>
      </c>
      <c r="O71" s="29">
        <f t="shared" ca="1" si="14"/>
        <v>15696.454213170466</v>
      </c>
      <c r="P71" s="29">
        <f t="shared" ca="1" si="14"/>
        <v>17088.364742714391</v>
      </c>
      <c r="Q71" s="29">
        <f t="shared" ca="1" si="14"/>
        <v>25257.791097043813</v>
      </c>
      <c r="R71" s="29">
        <f t="shared" ca="1" si="14"/>
        <v>35499.781792530062</v>
      </c>
      <c r="S71" s="29">
        <f t="shared" ca="1" si="14"/>
        <v>52201.556718519707</v>
      </c>
      <c r="T71" s="160"/>
      <c r="U71" s="160"/>
      <c r="V71" s="160"/>
      <c r="W71" s="160"/>
      <c r="X71" s="160"/>
      <c r="Y71" s="160"/>
      <c r="Z71" s="160"/>
      <c r="AA71" s="160"/>
      <c r="AB71" s="160"/>
      <c r="AC71" s="160"/>
    </row>
    <row r="72" spans="1:29">
      <c r="A72" s="5" t="s">
        <v>1617</v>
      </c>
      <c r="B72" s="3"/>
      <c r="C72" s="3"/>
      <c r="D72" s="29">
        <f t="shared" ref="D72:S72" si="15">D48*$D$26/1000000</f>
        <v>0</v>
      </c>
      <c r="E72" s="29">
        <f t="shared" si="15"/>
        <v>0</v>
      </c>
      <c r="F72" s="29">
        <f t="shared" si="15"/>
        <v>0</v>
      </c>
      <c r="G72" s="29">
        <f t="shared" si="15"/>
        <v>0</v>
      </c>
      <c r="H72" s="29">
        <f t="shared" si="15"/>
        <v>0</v>
      </c>
      <c r="I72" s="29">
        <f t="shared" ca="1" si="15"/>
        <v>6094.8842641241636</v>
      </c>
      <c r="J72" s="29">
        <f t="shared" ca="1" si="15"/>
        <v>4209.0381865221143</v>
      </c>
      <c r="K72" s="29">
        <f t="shared" ca="1" si="15"/>
        <v>7104.0844545226837</v>
      </c>
      <c r="L72" s="29">
        <f t="shared" ca="1" si="15"/>
        <v>2360.7545504630139</v>
      </c>
      <c r="M72" s="29">
        <f t="shared" ca="1" si="15"/>
        <v>5557.7407080867551</v>
      </c>
      <c r="N72" s="29">
        <f t="shared" ca="1" si="15"/>
        <v>3666.9520832006074</v>
      </c>
      <c r="O72" s="29">
        <f t="shared" ca="1" si="15"/>
        <v>4172.171935136279</v>
      </c>
      <c r="P72" s="29">
        <f t="shared" ca="1" si="15"/>
        <v>4177.4853323786501</v>
      </c>
      <c r="Q72" s="29">
        <f t="shared" ca="1" si="15"/>
        <v>8733.9720386287972</v>
      </c>
      <c r="R72" s="29">
        <f t="shared" ca="1" si="15"/>
        <v>12840.889430827936</v>
      </c>
      <c r="S72" s="29">
        <f t="shared" ca="1" si="15"/>
        <v>16967.966049638027</v>
      </c>
      <c r="T72" s="160"/>
      <c r="U72" s="160"/>
      <c r="V72" s="160"/>
      <c r="W72" s="160"/>
      <c r="X72" s="160"/>
      <c r="Y72" s="160"/>
      <c r="Z72" s="160"/>
      <c r="AA72" s="160"/>
      <c r="AB72" s="160"/>
      <c r="AC72" s="160"/>
    </row>
    <row r="73" spans="1:29">
      <c r="A73" s="5" t="s">
        <v>1618</v>
      </c>
      <c r="B73" s="3"/>
      <c r="C73" s="3"/>
      <c r="D73" s="29">
        <f t="shared" ref="D73:S73" si="16">D56*$D$26/1000000</f>
        <v>0</v>
      </c>
      <c r="E73" s="29">
        <f t="shared" si="16"/>
        <v>0</v>
      </c>
      <c r="F73" s="29">
        <f t="shared" si="16"/>
        <v>0</v>
      </c>
      <c r="G73" s="29">
        <f t="shared" si="16"/>
        <v>0</v>
      </c>
      <c r="H73" s="29">
        <f t="shared" si="16"/>
        <v>0</v>
      </c>
      <c r="I73" s="29">
        <f t="shared" ca="1" si="16"/>
        <v>7969.2708630848447</v>
      </c>
      <c r="J73" s="29">
        <f t="shared" ca="1" si="16"/>
        <v>7271.4587670201054</v>
      </c>
      <c r="K73" s="29">
        <f t="shared" ca="1" si="16"/>
        <v>15800.139129927535</v>
      </c>
      <c r="L73" s="29">
        <f t="shared" ca="1" si="16"/>
        <v>6636.0426529758834</v>
      </c>
      <c r="M73" s="29">
        <f t="shared" ca="1" si="16"/>
        <v>19478.263386184499</v>
      </c>
      <c r="N73" s="29">
        <f t="shared" ca="1" si="16"/>
        <v>15858.522770712198</v>
      </c>
      <c r="O73" s="29">
        <f t="shared" ca="1" si="16"/>
        <v>18589.267972863061</v>
      </c>
      <c r="P73" s="29">
        <f t="shared" ca="1" si="16"/>
        <v>18612.942012840394</v>
      </c>
      <c r="Q73" s="29">
        <f t="shared" ca="1" si="16"/>
        <v>38914.538810409926</v>
      </c>
      <c r="R73" s="29">
        <f t="shared" ca="1" si="16"/>
        <v>57213.062728626166</v>
      </c>
      <c r="S73" s="29">
        <f t="shared" ca="1" si="16"/>
        <v>75601.406834366499</v>
      </c>
      <c r="T73" s="160"/>
      <c r="U73" s="160"/>
      <c r="V73" s="160"/>
      <c r="W73" s="160"/>
      <c r="X73" s="160"/>
      <c r="Y73" s="160"/>
      <c r="Z73" s="160"/>
      <c r="AA73" s="160"/>
      <c r="AB73" s="160"/>
      <c r="AC73" s="160"/>
    </row>
    <row r="74" spans="1:29">
      <c r="A74" s="5" t="s">
        <v>1619</v>
      </c>
      <c r="B74" s="3"/>
      <c r="C74" s="3"/>
      <c r="D74" s="29">
        <f t="shared" ref="D74:S74" si="17">D70+D72</f>
        <v>0</v>
      </c>
      <c r="E74" s="29">
        <f t="shared" si="17"/>
        <v>0</v>
      </c>
      <c r="F74" s="29">
        <f t="shared" si="17"/>
        <v>0</v>
      </c>
      <c r="G74" s="29">
        <f t="shared" si="17"/>
        <v>0</v>
      </c>
      <c r="H74" s="29">
        <f t="shared" si="17"/>
        <v>0</v>
      </c>
      <c r="I74" s="29">
        <f t="shared" ca="1" si="17"/>
        <v>7029.7572059693612</v>
      </c>
      <c r="J74" s="29">
        <f t="shared" ca="1" si="17"/>
        <v>5868.5448761266534</v>
      </c>
      <c r="K74" s="29">
        <f t="shared" ca="1" si="17"/>
        <v>10047.928340449625</v>
      </c>
      <c r="L74" s="29">
        <f t="shared" ca="1" si="17"/>
        <v>5870.9757523251119</v>
      </c>
      <c r="M74" s="29">
        <f t="shared" ca="1" si="17"/>
        <v>10279.670623463553</v>
      </c>
      <c r="N74" s="29">
        <f t="shared" ca="1" si="17"/>
        <v>8149.6759121075493</v>
      </c>
      <c r="O74" s="29">
        <f t="shared" ca="1" si="17"/>
        <v>8871.4540025911338</v>
      </c>
      <c r="P74" s="29">
        <f t="shared" ca="1" si="17"/>
        <v>8480.0830188394866</v>
      </c>
      <c r="Q74" s="29">
        <f t="shared" ca="1" si="17"/>
        <v>14696.009078825071</v>
      </c>
      <c r="R74" s="29">
        <f t="shared" ca="1" si="17"/>
        <v>20834.073950501275</v>
      </c>
      <c r="S74" s="29">
        <f t="shared" ca="1" si="17"/>
        <v>28684.073979728222</v>
      </c>
      <c r="T74" s="160"/>
      <c r="U74" s="160"/>
      <c r="V74" s="160"/>
      <c r="W74" s="160"/>
      <c r="X74" s="160"/>
      <c r="Y74" s="160"/>
      <c r="Z74" s="160"/>
      <c r="AA74" s="160"/>
      <c r="AB74" s="160"/>
      <c r="AC74" s="160"/>
    </row>
    <row r="75" spans="1:29">
      <c r="A75" s="5" t="s">
        <v>1620</v>
      </c>
      <c r="B75" s="3"/>
      <c r="C75" s="3"/>
      <c r="D75" s="29">
        <f t="shared" ref="D75:S75" si="18">D71+D73</f>
        <v>0</v>
      </c>
      <c r="E75" s="29">
        <f t="shared" si="18"/>
        <v>0</v>
      </c>
      <c r="F75" s="29">
        <f t="shared" si="18"/>
        <v>0</v>
      </c>
      <c r="G75" s="29">
        <f t="shared" si="18"/>
        <v>0</v>
      </c>
      <c r="H75" s="29">
        <f t="shared" si="18"/>
        <v>0</v>
      </c>
      <c r="I75" s="29">
        <f t="shared" ca="1" si="18"/>
        <v>9191.6493978155522</v>
      </c>
      <c r="J75" s="29">
        <f t="shared" ca="1" si="18"/>
        <v>9726.0669899330132</v>
      </c>
      <c r="K75" s="29">
        <f t="shared" ca="1" si="18"/>
        <v>21049.417362115557</v>
      </c>
      <c r="L75" s="29">
        <f t="shared" ca="1" si="18"/>
        <v>13326.107357304831</v>
      </c>
      <c r="M75" s="29">
        <f t="shared" ca="1" si="18"/>
        <v>30134.402475518244</v>
      </c>
      <c r="N75" s="29">
        <f t="shared" ca="1" si="18"/>
        <v>28591.90314142223</v>
      </c>
      <c r="O75" s="29">
        <f t="shared" ca="1" si="18"/>
        <v>34285.722186033527</v>
      </c>
      <c r="P75" s="29">
        <f t="shared" ca="1" si="18"/>
        <v>35701.30675555479</v>
      </c>
      <c r="Q75" s="29">
        <f t="shared" ca="1" si="18"/>
        <v>64172.329907453735</v>
      </c>
      <c r="R75" s="29">
        <f t="shared" ca="1" si="18"/>
        <v>92712.844521156221</v>
      </c>
      <c r="S75" s="29">
        <f t="shared" ca="1" si="18"/>
        <v>127802.96355288621</v>
      </c>
      <c r="T75" s="160"/>
      <c r="U75" s="160"/>
      <c r="V75" s="160"/>
      <c r="W75" s="160"/>
      <c r="X75" s="160"/>
      <c r="Y75" s="160"/>
      <c r="Z75" s="160"/>
      <c r="AA75" s="160"/>
      <c r="AB75" s="160"/>
      <c r="AC75" s="160"/>
    </row>
    <row r="76" spans="1:29">
      <c r="A76" s="5" t="s">
        <v>1621</v>
      </c>
      <c r="B76" s="3"/>
      <c r="C76" s="3"/>
      <c r="D76" s="29">
        <f>$D74</f>
        <v>0</v>
      </c>
      <c r="E76" s="18">
        <f t="array" ref="E76">INDEX($D76:$AC76, 1, E$5)*(1-1/$D$12)+E74</f>
        <v>0</v>
      </c>
      <c r="F76" s="18">
        <f t="array" ref="F76">INDEX($D76:$AC76, 1, F$5)*(1-1/$D$12)+F74</f>
        <v>0</v>
      </c>
      <c r="G76" s="18">
        <f t="array" ref="G76">INDEX($D76:$AC76, 1, G$5)*(1-1/$D$12)+G74</f>
        <v>0</v>
      </c>
      <c r="H76" s="18">
        <f t="array" ref="H76">INDEX($D76:$AC76, 1, H$5)*(1-1/$D$12)+H74</f>
        <v>0</v>
      </c>
      <c r="I76" s="18">
        <f t="array" aca="1" ref="I76" ca="1">INDEX($D76:$AC76, 1, I$5)*(1-1/$D$12)+I74</f>
        <v>7029.7572059693612</v>
      </c>
      <c r="J76" s="18">
        <f t="array" aca="1" ref="J76" ca="1">INDEX($D76:$AC76, 1, J$5)*(1-1/$D$12)+J74</f>
        <v>12195.326361499079</v>
      </c>
      <c r="K76" s="18">
        <f t="array" aca="1" ref="K76" ca="1">INDEX($D76:$AC76, 1, K$5)*(1-1/$D$12)+K74</f>
        <v>21023.722065798796</v>
      </c>
      <c r="L76" s="18">
        <f t="array" aca="1" ref="L76" ca="1">INDEX($D76:$AC76, 1, L$5)*(1-1/$D$12)+L74</f>
        <v>24792.325611544031</v>
      </c>
      <c r="M76" s="18">
        <f t="array" aca="1" ref="M76" ca="1">INDEX($D76:$AC76, 1, M$5)*(1-1/$D$12)+M74</f>
        <v>32592.76367385318</v>
      </c>
      <c r="N76" s="18">
        <f t="array" aca="1" ref="N76" ca="1">INDEX($D76:$AC76, 1, N$5)*(1-1/$D$12)+N74</f>
        <v>37483.163218575413</v>
      </c>
      <c r="O76" s="18">
        <f t="array" aca="1" ref="O76" ca="1">INDEX($D76:$AC76, 1, O$5)*(1-1/$D$12)+O74</f>
        <v>42606.300899309004</v>
      </c>
      <c r="P76" s="18">
        <f t="array" aca="1" ref="P76" ca="1">INDEX($D76:$AC76, 1, P$5)*(1-1/$D$12)+P74</f>
        <v>46825.753828217596</v>
      </c>
      <c r="Q76" s="18">
        <f t="array" aca="1" ref="Q76" ca="1">INDEX($D76:$AC76, 1, Q$5)*(1-1/$D$12)+Q74</f>
        <v>56839.187524220906</v>
      </c>
      <c r="R76" s="18">
        <f t="array" aca="1" ref="R76" ca="1">INDEX($D76:$AC76, 1, R$5)*(1-1/$D$12)+R74</f>
        <v>71989.342722300091</v>
      </c>
      <c r="S76" s="18">
        <f t="array" aca="1" ref="S76" ca="1">INDEX($D76:$AC76, 1, S$5)*(1-1/$D$12)+S74</f>
        <v>93474.482429798314</v>
      </c>
      <c r="T76" s="160"/>
      <c r="U76" s="160"/>
      <c r="V76" s="160"/>
      <c r="W76" s="160"/>
      <c r="X76" s="160"/>
      <c r="Y76" s="160"/>
      <c r="Z76" s="160"/>
      <c r="AA76" s="160"/>
      <c r="AB76" s="160"/>
      <c r="AC76" s="160"/>
    </row>
    <row r="77" spans="1:29">
      <c r="A77" s="5" t="s">
        <v>1622</v>
      </c>
      <c r="B77" s="3"/>
      <c r="C77" s="3"/>
      <c r="D77" s="29">
        <f>$D75</f>
        <v>0</v>
      </c>
      <c r="E77" s="18">
        <f t="array" ref="E77">INDEX($D77:$AC77, 1, E$5)*(1-1/$D$12)+E75</f>
        <v>0</v>
      </c>
      <c r="F77" s="18">
        <f t="array" ref="F77">INDEX($D77:$AC77, 1, F$5)*(1-1/$D$12)+F75</f>
        <v>0</v>
      </c>
      <c r="G77" s="18">
        <f t="array" ref="G77">INDEX($D77:$AC77, 1, G$5)*(1-1/$D$12)+G75</f>
        <v>0</v>
      </c>
      <c r="H77" s="18">
        <f t="array" ref="H77">INDEX($D77:$AC77, 1, H$5)*(1-1/$D$12)+H75</f>
        <v>0</v>
      </c>
      <c r="I77" s="18">
        <f t="array" aca="1" ref="I77" ca="1">INDEX($D77:$AC77, 1, I$5)*(1-1/$D$12)+I75</f>
        <v>9191.6493978155522</v>
      </c>
      <c r="J77" s="18">
        <f t="array" aca="1" ref="J77" ca="1">INDEX($D77:$AC77, 1, J$5)*(1-1/$D$12)+J75</f>
        <v>17998.551447967009</v>
      </c>
      <c r="K77" s="18">
        <f t="array" aca="1" ref="K77" ca="1">INDEX($D77:$AC77, 1, K$5)*(1-1/$D$12)+K75</f>
        <v>37248.11366528587</v>
      </c>
      <c r="L77" s="18">
        <f t="array" aca="1" ref="L77" ca="1">INDEX($D77:$AC77, 1, L$5)*(1-1/$D$12)+L75</f>
        <v>46849.409656062111</v>
      </c>
      <c r="M77" s="18">
        <f t="array" aca="1" ref="M77" ca="1">INDEX($D77:$AC77, 1, M$5)*(1-1/$D$12)+M75</f>
        <v>72298.871165974138</v>
      </c>
      <c r="N77" s="18">
        <f t="array" aca="1" ref="N77" ca="1">INDEX($D77:$AC77, 1, N$5)*(1-1/$D$12)+N75</f>
        <v>93660.887190798952</v>
      </c>
      <c r="O77" s="18">
        <f t="array" aca="1" ref="O77" ca="1">INDEX($D77:$AC77, 1, O$5)*(1-1/$D$12)+O75</f>
        <v>118580.52065775258</v>
      </c>
      <c r="P77" s="18">
        <f t="array" aca="1" ref="P77" ca="1">INDEX($D77:$AC77, 1, P$5)*(1-1/$D$12)+P75</f>
        <v>142423.77534753212</v>
      </c>
      <c r="Q77" s="18">
        <f t="array" aca="1" ref="Q77" ca="1">INDEX($D77:$AC77, 1, Q$5)*(1-1/$D$12)+Q75</f>
        <v>192353.72772023265</v>
      </c>
      <c r="R77" s="18">
        <f t="array" aca="1" ref="R77" ca="1">INDEX($D77:$AC77, 1, R$5)*(1-1/$D$12)+R75</f>
        <v>265831.19946936565</v>
      </c>
      <c r="S77" s="18">
        <f t="array" aca="1" ref="S77" ca="1">INDEX($D77:$AC77, 1, S$5)*(1-1/$D$12)+S75</f>
        <v>367051.04307531531</v>
      </c>
      <c r="T77" s="160"/>
      <c r="U77" s="160"/>
      <c r="V77" s="160"/>
      <c r="W77" s="160"/>
      <c r="X77" s="160"/>
      <c r="Y77" s="160"/>
      <c r="Z77" s="160"/>
      <c r="AA77" s="160"/>
      <c r="AB77" s="160"/>
      <c r="AC77" s="160"/>
    </row>
    <row r="78" spans="1:29">
      <c r="A78" s="78" t="s">
        <v>1623</v>
      </c>
      <c r="B78" s="78"/>
      <c r="C78" s="78"/>
      <c r="D78" s="81">
        <f t="shared" ref="D78:S78" si="19">D76+D77</f>
        <v>0</v>
      </c>
      <c r="E78" s="81">
        <f t="shared" si="19"/>
        <v>0</v>
      </c>
      <c r="F78" s="81">
        <f t="shared" si="19"/>
        <v>0</v>
      </c>
      <c r="G78" s="81">
        <f t="shared" si="19"/>
        <v>0</v>
      </c>
      <c r="H78" s="81">
        <f t="shared" si="19"/>
        <v>0</v>
      </c>
      <c r="I78" s="81">
        <f t="shared" ca="1" si="19"/>
        <v>16221.406603784913</v>
      </c>
      <c r="J78" s="81">
        <f t="shared" ca="1" si="19"/>
        <v>30193.877809466088</v>
      </c>
      <c r="K78" s="81">
        <f t="shared" ca="1" si="19"/>
        <v>58271.835731084662</v>
      </c>
      <c r="L78" s="81">
        <f t="shared" ca="1" si="19"/>
        <v>71641.735267606142</v>
      </c>
      <c r="M78" s="81">
        <f t="shared" ca="1" si="19"/>
        <v>104891.63483982731</v>
      </c>
      <c r="N78" s="81">
        <f t="shared" ca="1" si="19"/>
        <v>131144.05040937435</v>
      </c>
      <c r="O78" s="81">
        <f t="shared" ca="1" si="19"/>
        <v>161186.82155706157</v>
      </c>
      <c r="P78" s="81">
        <f t="shared" ca="1" si="19"/>
        <v>189249.52917574972</v>
      </c>
      <c r="Q78" s="81">
        <f t="shared" ca="1" si="19"/>
        <v>249192.91524445356</v>
      </c>
      <c r="R78" s="81">
        <f t="shared" ca="1" si="19"/>
        <v>337820.54219166574</v>
      </c>
      <c r="S78" s="81">
        <f t="shared" ca="1" si="19"/>
        <v>460525.52550511365</v>
      </c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spans="1:2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 s="13" t="s">
        <v>1624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>
      <c r="A81" s="78" t="s">
        <v>1625</v>
      </c>
      <c r="B81" s="78"/>
      <c r="C81" s="78"/>
      <c r="D81" s="81">
        <f>0</f>
        <v>0</v>
      </c>
      <c r="E81" s="81">
        <f>0</f>
        <v>0</v>
      </c>
      <c r="F81" s="81">
        <f>0</f>
        <v>0</v>
      </c>
      <c r="G81" s="81">
        <f>0</f>
        <v>0</v>
      </c>
      <c r="H81" s="81">
        <f>0</f>
        <v>0</v>
      </c>
      <c r="I81" s="81">
        <f>0</f>
        <v>0</v>
      </c>
      <c r="J81" s="81">
        <f>0</f>
        <v>0</v>
      </c>
      <c r="K81" s="81">
        <f>0</f>
        <v>0</v>
      </c>
      <c r="L81" s="81">
        <f>0</f>
        <v>0</v>
      </c>
      <c r="M81" s="81">
        <f>0</f>
        <v>0</v>
      </c>
      <c r="N81" s="81">
        <f>0</f>
        <v>0</v>
      </c>
      <c r="O81" s="81">
        <f>0</f>
        <v>0</v>
      </c>
      <c r="P81" s="81">
        <f>0</f>
        <v>0</v>
      </c>
      <c r="Q81" s="81">
        <f>0</f>
        <v>0</v>
      </c>
      <c r="R81" s="81">
        <f>0</f>
        <v>0</v>
      </c>
      <c r="S81" s="81">
        <f>0</f>
        <v>0</v>
      </c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spans="1:2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>
      <c r="A83" s="5" t="s">
        <v>1420</v>
      </c>
      <c r="B83" s="3"/>
      <c r="C83" s="3"/>
      <c r="D83" s="29">
        <f t="shared" ref="D83:S83" si="20">IF(D$4 &lt; $D$11, D30, 0)</f>
        <v>750</v>
      </c>
      <c r="E83" s="29">
        <f t="shared" si="20"/>
        <v>750</v>
      </c>
      <c r="F83" s="29">
        <f t="shared" si="20"/>
        <v>750</v>
      </c>
      <c r="G83" s="29">
        <f t="shared" si="20"/>
        <v>750</v>
      </c>
      <c r="H83" s="29">
        <f t="shared" si="20"/>
        <v>750</v>
      </c>
      <c r="I83" s="29">
        <f t="shared" si="20"/>
        <v>0</v>
      </c>
      <c r="J83" s="29">
        <f t="shared" si="20"/>
        <v>0</v>
      </c>
      <c r="K83" s="29">
        <f t="shared" si="20"/>
        <v>0</v>
      </c>
      <c r="L83" s="29">
        <f t="shared" si="20"/>
        <v>0</v>
      </c>
      <c r="M83" s="29">
        <f t="shared" si="20"/>
        <v>0</v>
      </c>
      <c r="N83" s="29">
        <f t="shared" si="20"/>
        <v>0</v>
      </c>
      <c r="O83" s="29">
        <f t="shared" si="20"/>
        <v>0</v>
      </c>
      <c r="P83" s="29">
        <f t="shared" si="20"/>
        <v>0</v>
      </c>
      <c r="Q83" s="29">
        <f t="shared" si="20"/>
        <v>0</v>
      </c>
      <c r="R83" s="29">
        <f t="shared" si="20"/>
        <v>0</v>
      </c>
      <c r="S83" s="29">
        <f t="shared" si="20"/>
        <v>0</v>
      </c>
      <c r="T83" s="160"/>
      <c r="U83" s="160"/>
      <c r="V83" s="160"/>
      <c r="W83" s="160"/>
      <c r="X83" s="160"/>
      <c r="Y83" s="160"/>
      <c r="Z83" s="160"/>
      <c r="AA83" s="160"/>
      <c r="AB83" s="160"/>
      <c r="AC83" s="160"/>
    </row>
    <row r="84" spans="1:29">
      <c r="A84" s="5" t="s">
        <v>1626</v>
      </c>
      <c r="B84" s="3"/>
      <c r="C84" s="3"/>
      <c r="D84" s="102">
        <f t="shared" ref="D84:S84" si="21">D46*$D36*$D$13</f>
        <v>0</v>
      </c>
      <c r="E84" s="102">
        <f t="shared" si="21"/>
        <v>0</v>
      </c>
      <c r="F84" s="102">
        <f t="shared" si="21"/>
        <v>0</v>
      </c>
      <c r="G84" s="102">
        <f t="shared" si="21"/>
        <v>0</v>
      </c>
      <c r="H84" s="102">
        <f t="shared" si="21"/>
        <v>0</v>
      </c>
      <c r="I84" s="102">
        <f t="shared" ca="1" si="21"/>
        <v>310.5488648863265</v>
      </c>
      <c r="J84" s="102">
        <f t="shared" ca="1" si="21"/>
        <v>214.4605171227935</v>
      </c>
      <c r="K84" s="102">
        <f t="shared" ca="1" si="21"/>
        <v>361.9700174447272</v>
      </c>
      <c r="L84" s="102">
        <f t="shared" ca="1" si="21"/>
        <v>120.28606519025833</v>
      </c>
      <c r="M84" s="102">
        <f t="shared" ca="1" si="21"/>
        <v>283.18012179299183</v>
      </c>
      <c r="N84" s="102">
        <f t="shared" ca="1" si="21"/>
        <v>186.83993947736428</v>
      </c>
      <c r="O84" s="102">
        <f t="shared" ca="1" si="21"/>
        <v>212.58209383789614</v>
      </c>
      <c r="P84" s="102">
        <f t="shared" ca="1" si="21"/>
        <v>212.85282407834075</v>
      </c>
      <c r="Q84" s="102">
        <f t="shared" ca="1" si="21"/>
        <v>445.01667053965787</v>
      </c>
      <c r="R84" s="102">
        <f t="shared" ca="1" si="21"/>
        <v>654.27389004694714</v>
      </c>
      <c r="S84" s="102">
        <f t="shared" ca="1" si="21"/>
        <v>864.55827014822341</v>
      </c>
      <c r="T84" s="165"/>
      <c r="U84" s="165"/>
      <c r="V84" s="165"/>
      <c r="W84" s="165"/>
      <c r="X84" s="165"/>
      <c r="Y84" s="165"/>
      <c r="Z84" s="165"/>
      <c r="AA84" s="165"/>
      <c r="AB84" s="165"/>
      <c r="AC84" s="165"/>
    </row>
    <row r="85" spans="1:29">
      <c r="A85" s="5" t="s">
        <v>1627</v>
      </c>
      <c r="B85" s="3"/>
      <c r="C85" s="3"/>
      <c r="D85" s="102">
        <f t="shared" ref="D85:S85" si="22">D54*$D41*$D$14</f>
        <v>0</v>
      </c>
      <c r="E85" s="102">
        <f t="shared" si="22"/>
        <v>0</v>
      </c>
      <c r="F85" s="102">
        <f t="shared" si="22"/>
        <v>0</v>
      </c>
      <c r="G85" s="102">
        <f t="shared" si="22"/>
        <v>0</v>
      </c>
      <c r="H85" s="102">
        <f t="shared" si="22"/>
        <v>0</v>
      </c>
      <c r="I85" s="102">
        <f t="shared" ca="1" si="22"/>
        <v>406.05332492860884</v>
      </c>
      <c r="J85" s="102">
        <f t="shared" ca="1" si="22"/>
        <v>370.49813717673874</v>
      </c>
      <c r="K85" s="102">
        <f t="shared" ca="1" si="22"/>
        <v>805.05470804868855</v>
      </c>
      <c r="L85" s="102">
        <f t="shared" ca="1" si="22"/>
        <v>338.122173270676</v>
      </c>
      <c r="M85" s="102">
        <f t="shared" ca="1" si="22"/>
        <v>992.46389634368632</v>
      </c>
      <c r="N85" s="102">
        <f t="shared" ca="1" si="22"/>
        <v>808.02949355533588</v>
      </c>
      <c r="O85" s="102">
        <f t="shared" ca="1" si="22"/>
        <v>947.16746337921313</v>
      </c>
      <c r="P85" s="102">
        <f t="shared" ca="1" si="22"/>
        <v>948.37371208281991</v>
      </c>
      <c r="Q85" s="102">
        <f t="shared" ca="1" si="22"/>
        <v>1982.7884060542201</v>
      </c>
      <c r="R85" s="102">
        <f t="shared" ca="1" si="22"/>
        <v>2915.1417676014285</v>
      </c>
      <c r="S85" s="102">
        <f t="shared" ca="1" si="22"/>
        <v>3852.0716815605783</v>
      </c>
      <c r="T85" s="165"/>
      <c r="U85" s="165"/>
      <c r="V85" s="165"/>
      <c r="W85" s="165"/>
      <c r="X85" s="165"/>
      <c r="Y85" s="165"/>
      <c r="Z85" s="165"/>
      <c r="AA85" s="165"/>
      <c r="AB85" s="165"/>
      <c r="AC85" s="165"/>
    </row>
    <row r="86" spans="1:29">
      <c r="A86" s="5" t="s">
        <v>1628</v>
      </c>
      <c r="B86" s="3"/>
      <c r="C86" s="3"/>
      <c r="D86" s="102">
        <f t="shared" ref="D86:S86" si="23">D84+D85</f>
        <v>0</v>
      </c>
      <c r="E86" s="102">
        <f t="shared" si="23"/>
        <v>0</v>
      </c>
      <c r="F86" s="102">
        <f t="shared" si="23"/>
        <v>0</v>
      </c>
      <c r="G86" s="102">
        <f t="shared" si="23"/>
        <v>0</v>
      </c>
      <c r="H86" s="102">
        <f t="shared" si="23"/>
        <v>0</v>
      </c>
      <c r="I86" s="102">
        <f t="shared" ca="1" si="23"/>
        <v>716.6021898149354</v>
      </c>
      <c r="J86" s="102">
        <f t="shared" ca="1" si="23"/>
        <v>584.95865429953221</v>
      </c>
      <c r="K86" s="102">
        <f t="shared" ca="1" si="23"/>
        <v>1167.0247254934156</v>
      </c>
      <c r="L86" s="102">
        <f t="shared" ca="1" si="23"/>
        <v>458.40823846093434</v>
      </c>
      <c r="M86" s="102">
        <f t="shared" ca="1" si="23"/>
        <v>1275.6440181366781</v>
      </c>
      <c r="N86" s="102">
        <f t="shared" ca="1" si="23"/>
        <v>994.86943303270016</v>
      </c>
      <c r="O86" s="102">
        <f t="shared" ca="1" si="23"/>
        <v>1159.7495572171092</v>
      </c>
      <c r="P86" s="102">
        <f t="shared" ca="1" si="23"/>
        <v>1161.2265361611608</v>
      </c>
      <c r="Q86" s="102">
        <f t="shared" ca="1" si="23"/>
        <v>2427.8050765938779</v>
      </c>
      <c r="R86" s="102">
        <f t="shared" ca="1" si="23"/>
        <v>3569.4156576483756</v>
      </c>
      <c r="S86" s="102">
        <f t="shared" ca="1" si="23"/>
        <v>4716.6299517088019</v>
      </c>
      <c r="T86" s="165"/>
      <c r="U86" s="165"/>
      <c r="V86" s="165"/>
      <c r="W86" s="165"/>
      <c r="X86" s="165"/>
      <c r="Y86" s="165"/>
      <c r="Z86" s="165"/>
      <c r="AA86" s="165"/>
      <c r="AB86" s="165"/>
      <c r="AC86" s="165"/>
    </row>
    <row r="87" spans="1:2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>
      <c r="A88" s="5" t="s">
        <v>1629</v>
      </c>
      <c r="B88" s="3"/>
      <c r="C88" s="3"/>
      <c r="D88" s="102">
        <f t="shared" ref="D88:S88" si="24">D46*$D36+D54*$D41</f>
        <v>0</v>
      </c>
      <c r="E88" s="102">
        <f t="shared" si="24"/>
        <v>0</v>
      </c>
      <c r="F88" s="102">
        <f t="shared" si="24"/>
        <v>0</v>
      </c>
      <c r="G88" s="102">
        <f t="shared" si="24"/>
        <v>0</v>
      </c>
      <c r="H88" s="102">
        <f t="shared" si="24"/>
        <v>0</v>
      </c>
      <c r="I88" s="102">
        <f t="shared" ca="1" si="24"/>
        <v>14332.043796298705</v>
      </c>
      <c r="J88" s="102">
        <f t="shared" ca="1" si="24"/>
        <v>11699.173085990644</v>
      </c>
      <c r="K88" s="102">
        <f t="shared" ca="1" si="24"/>
        <v>23340.494509868317</v>
      </c>
      <c r="L88" s="102">
        <f t="shared" ca="1" si="24"/>
        <v>9168.1647692186853</v>
      </c>
      <c r="M88" s="102">
        <f t="shared" ca="1" si="24"/>
        <v>25512.880362733562</v>
      </c>
      <c r="N88" s="102">
        <f t="shared" ca="1" si="24"/>
        <v>19897.388660654004</v>
      </c>
      <c r="O88" s="102">
        <f t="shared" ca="1" si="24"/>
        <v>23194.991144342184</v>
      </c>
      <c r="P88" s="102">
        <f t="shared" ca="1" si="24"/>
        <v>23224.530723223212</v>
      </c>
      <c r="Q88" s="102">
        <f t="shared" ca="1" si="24"/>
        <v>48556.101531877561</v>
      </c>
      <c r="R88" s="102">
        <f t="shared" ca="1" si="24"/>
        <v>71388.313152967516</v>
      </c>
      <c r="S88" s="102">
        <f t="shared" ca="1" si="24"/>
        <v>94332.599034176033</v>
      </c>
      <c r="T88" s="165"/>
      <c r="U88" s="165"/>
      <c r="V88" s="165"/>
      <c r="W88" s="165"/>
      <c r="X88" s="165"/>
      <c r="Y88" s="165"/>
      <c r="Z88" s="165"/>
      <c r="AA88" s="165"/>
      <c r="AB88" s="165"/>
      <c r="AC88" s="165"/>
    </row>
    <row r="89" spans="1:29">
      <c r="A89" s="5" t="s">
        <v>1630</v>
      </c>
      <c r="B89" s="3"/>
      <c r="C89" s="3"/>
      <c r="D89" s="102">
        <f>$D88</f>
        <v>0</v>
      </c>
      <c r="E89" s="22">
        <f t="array" ref="E89">INDEX($D89:$AC89,1,E$5)+E88</f>
        <v>0</v>
      </c>
      <c r="F89" s="22">
        <f t="array" ref="F89">INDEX($D89:$AC89,1,F$5)+F88</f>
        <v>0</v>
      </c>
      <c r="G89" s="22">
        <f t="array" ref="G89">INDEX($D89:$AC89,1,G$5)+G88</f>
        <v>0</v>
      </c>
      <c r="H89" s="22">
        <f t="array" ref="H89">INDEX($D89:$AC89,1,H$5)+H88</f>
        <v>0</v>
      </c>
      <c r="I89" s="22">
        <f t="array" aca="1" ref="I89" ca="1">INDEX($D89:$AC89,1,I$5)+I88</f>
        <v>14332.043796298705</v>
      </c>
      <c r="J89" s="22">
        <f t="array" aca="1" ref="J89" ca="1">INDEX($D89:$AC89,1,J$5)+J88</f>
        <v>26031.216882289351</v>
      </c>
      <c r="K89" s="22">
        <f t="array" aca="1" ref="K89" ca="1">INDEX($D89:$AC89,1,K$5)+K88</f>
        <v>49371.711392157667</v>
      </c>
      <c r="L89" s="22">
        <f t="array" aca="1" ref="L89" ca="1">INDEX($D89:$AC89,1,L$5)+L88</f>
        <v>58539.876161376349</v>
      </c>
      <c r="M89" s="22">
        <f t="array" aca="1" ref="M89" ca="1">INDEX($D89:$AC89,1,M$5)+M88</f>
        <v>84052.756524109907</v>
      </c>
      <c r="N89" s="22">
        <f t="array" aca="1" ref="N89" ca="1">INDEX($D89:$AC89,1,N$5)+N88</f>
        <v>103950.14518476391</v>
      </c>
      <c r="O89" s="22">
        <f t="array" aca="1" ref="O89" ca="1">INDEX($D89:$AC89,1,O$5)+O88</f>
        <v>127145.1363291061</v>
      </c>
      <c r="P89" s="22">
        <f t="array" aca="1" ref="P89" ca="1">INDEX($D89:$AC89,1,P$5)+P88</f>
        <v>150369.66705232931</v>
      </c>
      <c r="Q89" s="22">
        <f t="array" aca="1" ref="Q89" ca="1">INDEX($D89:$AC89,1,Q$5)+Q88</f>
        <v>198925.76858420687</v>
      </c>
      <c r="R89" s="22">
        <f t="array" aca="1" ref="R89" ca="1">INDEX($D89:$AC89,1,R$5)+R88</f>
        <v>270314.08173717442</v>
      </c>
      <c r="S89" s="22">
        <f t="array" aca="1" ref="S89" ca="1">INDEX($D89:$AC89,1,S$5)+S88</f>
        <v>364646.68077135045</v>
      </c>
      <c r="T89" s="165"/>
      <c r="U89" s="165"/>
      <c r="V89" s="165"/>
      <c r="W89" s="165"/>
      <c r="X89" s="165"/>
      <c r="Y89" s="165"/>
      <c r="Z89" s="165"/>
      <c r="AA89" s="165"/>
      <c r="AB89" s="165"/>
      <c r="AC89" s="165"/>
    </row>
    <row r="90" spans="1:29">
      <c r="A90" s="5" t="s">
        <v>1631</v>
      </c>
      <c r="B90" s="3"/>
      <c r="C90" s="3"/>
      <c r="D90" s="102">
        <f>MIN($D89/$D$12, $D89)</f>
        <v>0</v>
      </c>
      <c r="E90" s="22">
        <f t="array" ref="E90">MIN(E89/$D$12, E89 - INDEX($D91:$AC91,1,E$5))</f>
        <v>0</v>
      </c>
      <c r="F90" s="22">
        <f t="array" ref="F90">MIN(F89/$D$12, F89 - INDEX($D91:$AC91,1,F$5))</f>
        <v>0</v>
      </c>
      <c r="G90" s="22">
        <f t="array" ref="G90">MIN(G89/$D$12, G89 - INDEX($D91:$AC91,1,G$5))</f>
        <v>0</v>
      </c>
      <c r="H90" s="22">
        <f t="array" ref="H90">MIN(H89/$D$12, H89 - INDEX($D91:$AC91,1,H$5))</f>
        <v>0</v>
      </c>
      <c r="I90" s="22">
        <f t="array" aca="1" ref="I90" ca="1">MIN(I89/$D$12, I89 - INDEX($D91:$AC91,1,I$5))</f>
        <v>1433.2043796298706</v>
      </c>
      <c r="J90" s="22">
        <f t="array" aca="1" ref="J90" ca="1">MIN(J89/$D$12, J89 - INDEX($D91:$AC91,1,J$5))</f>
        <v>2603.121688228935</v>
      </c>
      <c r="K90" s="22">
        <f t="array" aca="1" ref="K90" ca="1">MIN(K89/$D$12, K89 - INDEX($D91:$AC91,1,K$5))</f>
        <v>4937.1711392157667</v>
      </c>
      <c r="L90" s="22">
        <f t="array" aca="1" ref="L90" ca="1">MIN(L89/$D$12, L89 - INDEX($D91:$AC91,1,L$5))</f>
        <v>5853.9876161376351</v>
      </c>
      <c r="M90" s="22">
        <f t="array" aca="1" ref="M90" ca="1">MIN(M89/$D$12, M89 - INDEX($D91:$AC91,1,M$5))</f>
        <v>8405.27565241099</v>
      </c>
      <c r="N90" s="22">
        <f t="array" aca="1" ref="N90" ca="1">MIN(N89/$D$12, N89 - INDEX($D91:$AC91,1,N$5))</f>
        <v>10395.014518476391</v>
      </c>
      <c r="O90" s="22">
        <f t="array" aca="1" ref="O90" ca="1">MIN(O89/$D$12, O89 - INDEX($D91:$AC91,1,O$5))</f>
        <v>12714.51363291061</v>
      </c>
      <c r="P90" s="22">
        <f t="array" aca="1" ref="P90" ca="1">MIN(P89/$D$12, P89 - INDEX($D91:$AC91,1,P$5))</f>
        <v>15036.966705232931</v>
      </c>
      <c r="Q90" s="22">
        <f t="array" aca="1" ref="Q90" ca="1">MIN(Q89/$D$12, Q89 - INDEX($D91:$AC91,1,Q$5))</f>
        <v>19892.576858420689</v>
      </c>
      <c r="R90" s="22">
        <f t="array" aca="1" ref="R90" ca="1">MIN(R89/$D$12, R89 - INDEX($D91:$AC91,1,R$5))</f>
        <v>27031.408173717442</v>
      </c>
      <c r="S90" s="22">
        <f t="array" aca="1" ref="S90" ca="1">MIN(S89/$D$12, S89 - INDEX($D91:$AC91,1,S$5))</f>
        <v>36464.668077135044</v>
      </c>
      <c r="T90" s="165"/>
      <c r="U90" s="165"/>
      <c r="V90" s="165"/>
      <c r="W90" s="165"/>
      <c r="X90" s="165"/>
      <c r="Y90" s="165"/>
      <c r="Z90" s="165"/>
      <c r="AA90" s="165"/>
      <c r="AB90" s="165"/>
      <c r="AC90" s="165"/>
    </row>
    <row r="91" spans="1:29">
      <c r="A91" s="5" t="s">
        <v>1632</v>
      </c>
      <c r="B91" s="3"/>
      <c r="C91" s="3"/>
      <c r="D91" s="102">
        <f>$D90</f>
        <v>0</v>
      </c>
      <c r="E91" s="22">
        <f t="array" ref="E91">INDEX($D91:$AC91,1,E$5)+E90</f>
        <v>0</v>
      </c>
      <c r="F91" s="22">
        <f t="array" ref="F91">INDEX($D91:$AC91,1,F$5)+F90</f>
        <v>0</v>
      </c>
      <c r="G91" s="22">
        <f t="array" ref="G91">INDEX($D91:$AC91,1,G$5)+G90</f>
        <v>0</v>
      </c>
      <c r="H91" s="22">
        <f t="array" ref="H91">INDEX($D91:$AC91,1,H$5)+H90</f>
        <v>0</v>
      </c>
      <c r="I91" s="22">
        <f t="array" aca="1" ref="I91" ca="1">INDEX($D91:$AC91,1,I$5)+I90</f>
        <v>1433.2043796298706</v>
      </c>
      <c r="J91" s="22">
        <f t="array" aca="1" ref="J91" ca="1">INDEX($D91:$AC91,1,J$5)+J90</f>
        <v>4036.3260678588058</v>
      </c>
      <c r="K91" s="22">
        <f t="array" aca="1" ref="K91" ca="1">INDEX($D91:$AC91,1,K$5)+K90</f>
        <v>8973.4972070745716</v>
      </c>
      <c r="L91" s="22">
        <f t="array" aca="1" ref="L91" ca="1">INDEX($D91:$AC91,1,L$5)+L90</f>
        <v>14827.484823212206</v>
      </c>
      <c r="M91" s="22">
        <f t="array" aca="1" ref="M91" ca="1">INDEX($D91:$AC91,1,M$5)+M90</f>
        <v>23232.760475623196</v>
      </c>
      <c r="N91" s="22">
        <f t="array" aca="1" ref="N91" ca="1">INDEX($D91:$AC91,1,N$5)+N90</f>
        <v>33627.774994099585</v>
      </c>
      <c r="O91" s="22">
        <f t="array" aca="1" ref="O91" ca="1">INDEX($D91:$AC91,1,O$5)+O90</f>
        <v>46342.288627010195</v>
      </c>
      <c r="P91" s="22">
        <f t="array" aca="1" ref="P91" ca="1">INDEX($D91:$AC91,1,P$5)+P90</f>
        <v>61379.255332243127</v>
      </c>
      <c r="Q91" s="22">
        <f t="array" aca="1" ref="Q91" ca="1">INDEX($D91:$AC91,1,Q$5)+Q90</f>
        <v>81271.832190663816</v>
      </c>
      <c r="R91" s="22">
        <f t="array" aca="1" ref="R91" ca="1">INDEX($D91:$AC91,1,R$5)+R90</f>
        <v>108303.24036438126</v>
      </c>
      <c r="S91" s="22">
        <f t="array" aca="1" ref="S91" ca="1">INDEX($D91:$AC91,1,S$5)+S90</f>
        <v>144767.90844151631</v>
      </c>
      <c r="T91" s="165"/>
      <c r="U91" s="165"/>
      <c r="V91" s="165"/>
      <c r="W91" s="165"/>
      <c r="X91" s="165"/>
      <c r="Y91" s="165"/>
      <c r="Z91" s="165"/>
      <c r="AA91" s="165"/>
      <c r="AB91" s="165"/>
      <c r="AC91" s="165"/>
    </row>
    <row r="92" spans="1:29">
      <c r="A92" s="5" t="s">
        <v>1633</v>
      </c>
      <c r="B92" s="3"/>
      <c r="C92" s="3"/>
      <c r="D92" s="35">
        <f t="shared" ref="D92:S92" si="25">IF(D91 &lt;= D89 + 1, 1, 0)</f>
        <v>1</v>
      </c>
      <c r="E92" s="35">
        <f t="shared" si="25"/>
        <v>1</v>
      </c>
      <c r="F92" s="35">
        <f t="shared" si="25"/>
        <v>1</v>
      </c>
      <c r="G92" s="35">
        <f t="shared" si="25"/>
        <v>1</v>
      </c>
      <c r="H92" s="35">
        <f t="shared" si="25"/>
        <v>1</v>
      </c>
      <c r="I92" s="35">
        <f t="shared" ca="1" si="25"/>
        <v>1</v>
      </c>
      <c r="J92" s="35">
        <f t="shared" ca="1" si="25"/>
        <v>1</v>
      </c>
      <c r="K92" s="35">
        <f t="shared" ca="1" si="25"/>
        <v>1</v>
      </c>
      <c r="L92" s="35">
        <f t="shared" ca="1" si="25"/>
        <v>1</v>
      </c>
      <c r="M92" s="35">
        <f t="shared" ca="1" si="25"/>
        <v>1</v>
      </c>
      <c r="N92" s="35">
        <f t="shared" ca="1" si="25"/>
        <v>1</v>
      </c>
      <c r="O92" s="35">
        <f t="shared" ca="1" si="25"/>
        <v>1</v>
      </c>
      <c r="P92" s="35">
        <f t="shared" ca="1" si="25"/>
        <v>1</v>
      </c>
      <c r="Q92" s="35">
        <f t="shared" ca="1" si="25"/>
        <v>1</v>
      </c>
      <c r="R92" s="35">
        <f t="shared" ca="1" si="25"/>
        <v>1</v>
      </c>
      <c r="S92" s="35">
        <f t="shared" ca="1" si="25"/>
        <v>1</v>
      </c>
      <c r="T92" s="166"/>
      <c r="U92" s="166"/>
      <c r="V92" s="166"/>
      <c r="W92" s="166"/>
      <c r="X92" s="166"/>
      <c r="Y92" s="166"/>
      <c r="Z92" s="166"/>
      <c r="AA92" s="166"/>
      <c r="AB92" s="166"/>
      <c r="AC92" s="166"/>
    </row>
    <row r="93" spans="1:2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>
      <c r="A94" s="78" t="s">
        <v>1029</v>
      </c>
      <c r="B94" s="78"/>
      <c r="C94" s="78"/>
      <c r="D94" s="111">
        <f t="shared" ref="D94:S94" si="26">D81-D86-D83-D90</f>
        <v>-750</v>
      </c>
      <c r="E94" s="111">
        <f t="shared" si="26"/>
        <v>-750</v>
      </c>
      <c r="F94" s="111">
        <f t="shared" si="26"/>
        <v>-750</v>
      </c>
      <c r="G94" s="111">
        <f t="shared" si="26"/>
        <v>-750</v>
      </c>
      <c r="H94" s="111">
        <f t="shared" si="26"/>
        <v>-750</v>
      </c>
      <c r="I94" s="111">
        <f t="shared" ca="1" si="26"/>
        <v>-2149.806569444806</v>
      </c>
      <c r="J94" s="111">
        <f t="shared" ca="1" si="26"/>
        <v>-3188.0803425284671</v>
      </c>
      <c r="K94" s="111">
        <f t="shared" ca="1" si="26"/>
        <v>-6104.1958647091824</v>
      </c>
      <c r="L94" s="111">
        <f t="shared" ca="1" si="26"/>
        <v>-6312.3958545985697</v>
      </c>
      <c r="M94" s="111">
        <f t="shared" ca="1" si="26"/>
        <v>-9680.9196705476679</v>
      </c>
      <c r="N94" s="111">
        <f t="shared" ca="1" si="26"/>
        <v>-11389.883951509091</v>
      </c>
      <c r="O94" s="111">
        <f t="shared" ca="1" si="26"/>
        <v>-13874.26319012772</v>
      </c>
      <c r="P94" s="111">
        <f t="shared" ca="1" si="26"/>
        <v>-16198.193241394092</v>
      </c>
      <c r="Q94" s="111">
        <f t="shared" ca="1" si="26"/>
        <v>-22320.381935014568</v>
      </c>
      <c r="R94" s="111">
        <f t="shared" ca="1" si="26"/>
        <v>-30600.823831365818</v>
      </c>
      <c r="S94" s="111">
        <f t="shared" ca="1" si="26"/>
        <v>-41181.298028843848</v>
      </c>
      <c r="T94" s="167"/>
      <c r="U94" s="167"/>
      <c r="V94" s="167"/>
      <c r="W94" s="167"/>
      <c r="X94" s="167"/>
      <c r="Y94" s="167"/>
      <c r="Z94" s="167"/>
      <c r="AA94" s="167"/>
      <c r="AB94" s="167"/>
      <c r="AC94" s="167"/>
    </row>
    <row r="95" spans="1:29">
      <c r="A95" s="19" t="s">
        <v>1634</v>
      </c>
      <c r="B95" s="20"/>
      <c r="C95" s="20"/>
      <c r="D95" s="168">
        <f t="shared" ref="D95:S95" si="27">D88</f>
        <v>0</v>
      </c>
      <c r="E95" s="168">
        <f t="shared" si="27"/>
        <v>0</v>
      </c>
      <c r="F95" s="168">
        <f t="shared" si="27"/>
        <v>0</v>
      </c>
      <c r="G95" s="168">
        <f t="shared" si="27"/>
        <v>0</v>
      </c>
      <c r="H95" s="168">
        <f t="shared" si="27"/>
        <v>0</v>
      </c>
      <c r="I95" s="168">
        <f t="shared" ca="1" si="27"/>
        <v>14332.043796298705</v>
      </c>
      <c r="J95" s="168">
        <f t="shared" ca="1" si="27"/>
        <v>11699.173085990644</v>
      </c>
      <c r="K95" s="168">
        <f t="shared" ca="1" si="27"/>
        <v>23340.494509868317</v>
      </c>
      <c r="L95" s="168">
        <f t="shared" ca="1" si="27"/>
        <v>9168.1647692186853</v>
      </c>
      <c r="M95" s="168">
        <f t="shared" ca="1" si="27"/>
        <v>25512.880362733562</v>
      </c>
      <c r="N95" s="168">
        <f t="shared" ca="1" si="27"/>
        <v>19897.388660654004</v>
      </c>
      <c r="O95" s="168">
        <f t="shared" ca="1" si="27"/>
        <v>23194.991144342184</v>
      </c>
      <c r="P95" s="168">
        <f t="shared" ca="1" si="27"/>
        <v>23224.530723223212</v>
      </c>
      <c r="Q95" s="168">
        <f t="shared" ca="1" si="27"/>
        <v>48556.101531877561</v>
      </c>
      <c r="R95" s="168">
        <f t="shared" ca="1" si="27"/>
        <v>71388.313152967516</v>
      </c>
      <c r="S95" s="168">
        <f t="shared" ca="1" si="27"/>
        <v>94332.599034176033</v>
      </c>
      <c r="T95" s="165"/>
      <c r="U95" s="165"/>
      <c r="V95" s="165"/>
      <c r="W95" s="165"/>
      <c r="X95" s="165"/>
      <c r="Y95" s="165"/>
      <c r="Z95" s="165"/>
      <c r="AA95" s="165"/>
      <c r="AB95" s="165"/>
      <c r="AC95" s="165"/>
    </row>
    <row r="96" spans="1:29">
      <c r="A96" s="19" t="s">
        <v>1036</v>
      </c>
      <c r="B96" s="20"/>
      <c r="C96" s="20"/>
      <c r="D96" s="168">
        <f t="shared" ref="D96:S96" si="28">D94+D90-D88</f>
        <v>-750</v>
      </c>
      <c r="E96" s="168">
        <f t="shared" si="28"/>
        <v>-750</v>
      </c>
      <c r="F96" s="168">
        <f t="shared" si="28"/>
        <v>-750</v>
      </c>
      <c r="G96" s="168">
        <f t="shared" si="28"/>
        <v>-750</v>
      </c>
      <c r="H96" s="168">
        <f t="shared" si="28"/>
        <v>-750</v>
      </c>
      <c r="I96" s="168">
        <f t="shared" ca="1" si="28"/>
        <v>-15048.645986113641</v>
      </c>
      <c r="J96" s="168">
        <f t="shared" ca="1" si="28"/>
        <v>-12284.131740290177</v>
      </c>
      <c r="K96" s="168">
        <f t="shared" ca="1" si="28"/>
        <v>-24507.519235361731</v>
      </c>
      <c r="L96" s="168">
        <f t="shared" ca="1" si="28"/>
        <v>-9626.5730076796208</v>
      </c>
      <c r="M96" s="168">
        <f t="shared" ca="1" si="28"/>
        <v>-26788.52438087024</v>
      </c>
      <c r="N96" s="168">
        <f t="shared" ca="1" si="28"/>
        <v>-20892.258093686702</v>
      </c>
      <c r="O96" s="168">
        <f t="shared" ca="1" si="28"/>
        <v>-24354.740701559294</v>
      </c>
      <c r="P96" s="168">
        <f t="shared" ca="1" si="28"/>
        <v>-24385.757259384372</v>
      </c>
      <c r="Q96" s="168">
        <f t="shared" ca="1" si="28"/>
        <v>-50983.906608471443</v>
      </c>
      <c r="R96" s="168">
        <f t="shared" ca="1" si="28"/>
        <v>-74957.728810615896</v>
      </c>
      <c r="S96" s="168">
        <f t="shared" ca="1" si="28"/>
        <v>-99049.228985884838</v>
      </c>
      <c r="T96" s="165"/>
      <c r="U96" s="165"/>
      <c r="V96" s="165"/>
      <c r="W96" s="165"/>
      <c r="X96" s="165"/>
      <c r="Y96" s="165"/>
      <c r="Z96" s="165"/>
      <c r="AA96" s="165"/>
      <c r="AB96" s="165"/>
      <c r="AC96" s="165"/>
    </row>
    <row r="97" spans="1:29">
      <c r="A97" s="78" t="s">
        <v>1635</v>
      </c>
      <c r="B97" s="78"/>
      <c r="C97" s="78"/>
      <c r="D97" s="169">
        <f t="shared" ref="D97:S97" si="29">IFERROR(D94/D81, 0)</f>
        <v>0</v>
      </c>
      <c r="E97" s="169">
        <f t="shared" si="29"/>
        <v>0</v>
      </c>
      <c r="F97" s="169">
        <f t="shared" si="29"/>
        <v>0</v>
      </c>
      <c r="G97" s="169">
        <f t="shared" si="29"/>
        <v>0</v>
      </c>
      <c r="H97" s="169">
        <f t="shared" si="29"/>
        <v>0</v>
      </c>
      <c r="I97" s="169">
        <f t="shared" ca="1" si="29"/>
        <v>0</v>
      </c>
      <c r="J97" s="169">
        <f t="shared" ca="1" si="29"/>
        <v>0</v>
      </c>
      <c r="K97" s="169">
        <f t="shared" ca="1" si="29"/>
        <v>0</v>
      </c>
      <c r="L97" s="169">
        <f t="shared" ca="1" si="29"/>
        <v>0</v>
      </c>
      <c r="M97" s="169">
        <f t="shared" ca="1" si="29"/>
        <v>0</v>
      </c>
      <c r="N97" s="169">
        <f t="shared" ca="1" si="29"/>
        <v>0</v>
      </c>
      <c r="O97" s="169">
        <f t="shared" ca="1" si="29"/>
        <v>0</v>
      </c>
      <c r="P97" s="169">
        <f t="shared" ca="1" si="29"/>
        <v>0</v>
      </c>
      <c r="Q97" s="169">
        <f t="shared" ca="1" si="29"/>
        <v>0</v>
      </c>
      <c r="R97" s="169">
        <f t="shared" ca="1" si="29"/>
        <v>0</v>
      </c>
      <c r="S97" s="169">
        <f t="shared" ca="1" si="29"/>
        <v>0</v>
      </c>
      <c r="T97" s="170"/>
      <c r="U97" s="170"/>
      <c r="V97" s="170"/>
      <c r="W97" s="170"/>
      <c r="X97" s="170"/>
      <c r="Y97" s="170"/>
      <c r="Z97" s="170"/>
      <c r="AA97" s="170"/>
      <c r="AB97" s="170"/>
      <c r="AC97" s="170"/>
    </row>
    <row r="98" spans="1:2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>
      <c r="A99" s="13" t="s">
        <v>1636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>
      <c r="A100" s="5" t="s">
        <v>1637</v>
      </c>
      <c r="B100" s="3"/>
      <c r="C100" s="3"/>
      <c r="D100" s="102">
        <f>$D46</f>
        <v>0</v>
      </c>
      <c r="E100" s="22">
        <f t="array" ref="E100">INDEX($D100:$AC100,1,E$5)+E46</f>
        <v>0</v>
      </c>
      <c r="F100" s="22">
        <f t="array" ref="F100">INDEX($D100:$AC100,1,F$5)+F46</f>
        <v>0</v>
      </c>
      <c r="G100" s="22">
        <f t="array" ref="G100">INDEX($D100:$AC100,1,G$5)+G46</f>
        <v>0</v>
      </c>
      <c r="H100" s="22">
        <f t="array" ref="H100">INDEX($D100:$AC100,1,H$5)+H46</f>
        <v>0</v>
      </c>
      <c r="I100" s="22">
        <f t="array" aca="1" ref="I100" ca="1">INDEX($D100:$AC100,1,I$5)+I46</f>
        <v>5.8046516801182513</v>
      </c>
      <c r="J100" s="22">
        <f t="array" aca="1" ref="J100" ca="1">INDEX($D100:$AC100,1,J$5)+J46</f>
        <v>9.81325947680598</v>
      </c>
      <c r="K100" s="22">
        <f t="array" aca="1" ref="K100" ca="1">INDEX($D100:$AC100,1,K$5)+K46</f>
        <v>16.57905419539901</v>
      </c>
      <c r="L100" s="22">
        <f t="array" aca="1" ref="L100" ca="1">INDEX($D100:$AC100,1,L$5)+L46</f>
        <v>18.827391862506641</v>
      </c>
      <c r="M100" s="22">
        <f t="array" aca="1" ref="M100" ca="1">INDEX($D100:$AC100,1,M$5)+M46</f>
        <v>24.120478251160694</v>
      </c>
      <c r="N100" s="22">
        <f t="array" aca="1" ref="N100" ca="1">INDEX($D100:$AC100,1,N$5)+N46</f>
        <v>27.612813568494605</v>
      </c>
      <c r="O100" s="22">
        <f t="array" aca="1" ref="O100" ca="1">INDEX($D100:$AC100,1,O$5)+O46</f>
        <v>31.586310649576777</v>
      </c>
      <c r="P100" s="22">
        <f t="array" aca="1" ref="P100" ca="1">INDEX($D100:$AC100,1,P$5)+P46</f>
        <v>35.564868108985017</v>
      </c>
      <c r="Q100" s="22">
        <f t="array" aca="1" ref="Q100" ca="1">INDEX($D100:$AC100,1,Q$5)+Q46</f>
        <v>43.882936717202924</v>
      </c>
      <c r="R100" s="22">
        <f t="array" aca="1" ref="R100" ca="1">INDEX($D100:$AC100,1,R$5)+R46</f>
        <v>56.112355222753337</v>
      </c>
      <c r="S100" s="22">
        <f t="array" aca="1" ref="S100" ca="1">INDEX($D100:$AC100,1,S$5)+S46</f>
        <v>72.272322889075269</v>
      </c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</row>
    <row r="101" spans="1:29">
      <c r="A101" s="5" t="s">
        <v>1638</v>
      </c>
      <c r="B101" s="3"/>
      <c r="C101" s="3"/>
      <c r="D101" s="102">
        <f>$D54</f>
        <v>0</v>
      </c>
      <c r="E101" s="22">
        <f t="array" ref="E101">INDEX($D101:$AC101,1,E$5)+E54</f>
        <v>0</v>
      </c>
      <c r="F101" s="22">
        <f t="array" ref="F101">INDEX($D101:$AC101,1,F$5)+F54</f>
        <v>0</v>
      </c>
      <c r="G101" s="22">
        <f t="array" ref="G101">INDEX($D101:$AC101,1,G$5)+G54</f>
        <v>0</v>
      </c>
      <c r="H101" s="22">
        <f t="array" ref="H101">INDEX($D101:$AC101,1,H$5)+H54</f>
        <v>0</v>
      </c>
      <c r="I101" s="22">
        <f t="array" aca="1" ref="I101" ca="1">INDEX($D101:$AC101,1,I$5)+I54</f>
        <v>7.5897817743665197</v>
      </c>
      <c r="J101" s="22">
        <f t="array" aca="1" ref="J101" ca="1">INDEX($D101:$AC101,1,J$5)+J54</f>
        <v>14.514980600099953</v>
      </c>
      <c r="K101" s="22">
        <f t="array" aca="1" ref="K101" ca="1">INDEX($D101:$AC101,1,K$5)+K54</f>
        <v>29.56273215241189</v>
      </c>
      <c r="L101" s="22">
        <f t="array" aca="1" ref="L101" ca="1">INDEX($D101:$AC101,1,L$5)+L54</f>
        <v>35.882772774293684</v>
      </c>
      <c r="M101" s="22">
        <f t="array" aca="1" ref="M101" ca="1">INDEX($D101:$AC101,1,M$5)+M54</f>
        <v>54.433499808755109</v>
      </c>
      <c r="N101" s="22">
        <f t="array" aca="1" ref="N101" ca="1">INDEX($D101:$AC101,1,N$5)+N54</f>
        <v>69.536854828481012</v>
      </c>
      <c r="O101" s="22">
        <f t="array" aca="1" ref="O101" ca="1">INDEX($D101:$AC101,1,O$5)+O54</f>
        <v>87.240919564541073</v>
      </c>
      <c r="P101" s="22">
        <f t="array" aca="1" ref="P101" ca="1">INDEX($D101:$AC101,1,P$5)+P54</f>
        <v>104.96753100534144</v>
      </c>
      <c r="Q101" s="22">
        <f t="array" aca="1" ref="Q101" ca="1">INDEX($D101:$AC101,1,Q$5)+Q54</f>
        <v>142.02899653906519</v>
      </c>
      <c r="R101" s="22">
        <f t="array" aca="1" ref="R101" ca="1">INDEX($D101:$AC101,1,R$5)+R54</f>
        <v>196.51762770918535</v>
      </c>
      <c r="S101" s="22">
        <f t="array" aca="1" ref="S101" ca="1">INDEX($D101:$AC101,1,S$5)+S54</f>
        <v>268.51896755143912</v>
      </c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</row>
    <row r="102" spans="1:29">
      <c r="A102" s="5" t="s">
        <v>1639</v>
      </c>
      <c r="B102" s="3"/>
      <c r="C102" s="3"/>
      <c r="D102" s="29">
        <f t="shared" ref="D102:S102" si="30">D30-D88</f>
        <v>750</v>
      </c>
      <c r="E102" s="29">
        <f t="shared" si="30"/>
        <v>750</v>
      </c>
      <c r="F102" s="29">
        <f t="shared" si="30"/>
        <v>750</v>
      </c>
      <c r="G102" s="29">
        <f t="shared" si="30"/>
        <v>750</v>
      </c>
      <c r="H102" s="29">
        <f t="shared" si="30"/>
        <v>750</v>
      </c>
      <c r="I102" s="29">
        <f t="shared" ca="1" si="30"/>
        <v>0</v>
      </c>
      <c r="J102" s="29">
        <f t="shared" ca="1" si="30"/>
        <v>0</v>
      </c>
      <c r="K102" s="29">
        <f t="shared" ca="1" si="30"/>
        <v>0</v>
      </c>
      <c r="L102" s="29">
        <f t="shared" ca="1" si="30"/>
        <v>0</v>
      </c>
      <c r="M102" s="29">
        <f t="shared" ca="1" si="30"/>
        <v>0</v>
      </c>
      <c r="N102" s="29">
        <f t="shared" ca="1" si="30"/>
        <v>0</v>
      </c>
      <c r="O102" s="29">
        <f t="shared" ca="1" si="30"/>
        <v>0</v>
      </c>
      <c r="P102" s="29">
        <f t="shared" ca="1" si="30"/>
        <v>0</v>
      </c>
      <c r="Q102" s="29">
        <f t="shared" ca="1" si="30"/>
        <v>0</v>
      </c>
      <c r="R102" s="29">
        <f t="shared" ca="1" si="30"/>
        <v>0</v>
      </c>
      <c r="S102" s="29">
        <f t="shared" ca="1" si="30"/>
        <v>0</v>
      </c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</row>
    <row r="103" spans="1:29">
      <c r="A103" s="78" t="s">
        <v>1640</v>
      </c>
      <c r="B103" s="78"/>
      <c r="C103" s="78"/>
      <c r="D103" s="81">
        <f t="shared" ref="D103:S103" si="31">D47+D48+D55+D56</f>
        <v>0</v>
      </c>
      <c r="E103" s="81">
        <f t="shared" si="31"/>
        <v>0</v>
      </c>
      <c r="F103" s="81">
        <f t="shared" si="31"/>
        <v>0</v>
      </c>
      <c r="G103" s="81">
        <f t="shared" si="31"/>
        <v>0</v>
      </c>
      <c r="H103" s="81">
        <f t="shared" si="31"/>
        <v>0</v>
      </c>
      <c r="I103" s="81">
        <f t="shared" ca="1" si="31"/>
        <v>1339443.345448477</v>
      </c>
      <c r="J103" s="81">
        <f t="shared" ca="1" si="31"/>
        <v>1093380.6622421162</v>
      </c>
      <c r="K103" s="81">
        <f t="shared" ca="1" si="31"/>
        <v>2181354.6270904969</v>
      </c>
      <c r="L103" s="81">
        <f t="shared" ca="1" si="31"/>
        <v>856837.82889894256</v>
      </c>
      <c r="M103" s="81">
        <f t="shared" ca="1" si="31"/>
        <v>2384381.3423115476</v>
      </c>
      <c r="N103" s="81">
        <f t="shared" ca="1" si="31"/>
        <v>1859569.0337059814</v>
      </c>
      <c r="O103" s="81">
        <f t="shared" ca="1" si="31"/>
        <v>2167756.1817142228</v>
      </c>
      <c r="P103" s="81">
        <f t="shared" ca="1" si="31"/>
        <v>2170516.8900208613</v>
      </c>
      <c r="Q103" s="81">
        <f t="shared" ca="1" si="31"/>
        <v>4537953.4141941648</v>
      </c>
      <c r="R103" s="81">
        <f t="shared" ca="1" si="31"/>
        <v>6671804.9675670573</v>
      </c>
      <c r="S103" s="81">
        <f t="shared" ca="1" si="31"/>
        <v>8816130.750857573</v>
      </c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spans="1:2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>
      <c r="A105" s="13" t="s">
        <v>1641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>
      <c r="A106" s="5" t="s">
        <v>1642</v>
      </c>
      <c r="B106" s="3"/>
      <c r="C106" s="3"/>
      <c r="D106" s="29">
        <f t="shared" ref="D106:S106" si="32">D81</f>
        <v>0</v>
      </c>
      <c r="E106" s="29">
        <f t="shared" si="32"/>
        <v>0</v>
      </c>
      <c r="F106" s="29">
        <f t="shared" si="32"/>
        <v>0</v>
      </c>
      <c r="G106" s="29">
        <f t="shared" si="32"/>
        <v>0</v>
      </c>
      <c r="H106" s="29">
        <f t="shared" si="32"/>
        <v>0</v>
      </c>
      <c r="I106" s="29">
        <f t="shared" si="32"/>
        <v>0</v>
      </c>
      <c r="J106" s="29">
        <f t="shared" si="32"/>
        <v>0</v>
      </c>
      <c r="K106" s="29">
        <f t="shared" si="32"/>
        <v>0</v>
      </c>
      <c r="L106" s="29">
        <f t="shared" si="32"/>
        <v>0</v>
      </c>
      <c r="M106" s="29">
        <f t="shared" si="32"/>
        <v>0</v>
      </c>
      <c r="N106" s="29">
        <f t="shared" si="32"/>
        <v>0</v>
      </c>
      <c r="O106" s="29">
        <f t="shared" si="32"/>
        <v>0</v>
      </c>
      <c r="P106" s="29">
        <f t="shared" si="32"/>
        <v>0</v>
      </c>
      <c r="Q106" s="29">
        <f t="shared" si="32"/>
        <v>0</v>
      </c>
      <c r="R106" s="29">
        <f t="shared" si="32"/>
        <v>0</v>
      </c>
      <c r="S106" s="29">
        <f t="shared" si="32"/>
        <v>0</v>
      </c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</row>
    <row r="107" spans="1:29">
      <c r="A107" s="5" t="s">
        <v>1628</v>
      </c>
      <c r="B107" s="3"/>
      <c r="C107" s="3"/>
      <c r="D107" s="102">
        <f t="shared" ref="D107:S107" si="33">D86</f>
        <v>0</v>
      </c>
      <c r="E107" s="102">
        <f t="shared" si="33"/>
        <v>0</v>
      </c>
      <c r="F107" s="102">
        <f t="shared" si="33"/>
        <v>0</v>
      </c>
      <c r="G107" s="102">
        <f t="shared" si="33"/>
        <v>0</v>
      </c>
      <c r="H107" s="102">
        <f t="shared" si="33"/>
        <v>0</v>
      </c>
      <c r="I107" s="102">
        <f t="shared" ca="1" si="33"/>
        <v>716.6021898149354</v>
      </c>
      <c r="J107" s="102">
        <f t="shared" ca="1" si="33"/>
        <v>584.95865429953221</v>
      </c>
      <c r="K107" s="102">
        <f t="shared" ca="1" si="33"/>
        <v>1167.0247254934156</v>
      </c>
      <c r="L107" s="102">
        <f t="shared" ca="1" si="33"/>
        <v>458.40823846093434</v>
      </c>
      <c r="M107" s="102">
        <f t="shared" ca="1" si="33"/>
        <v>1275.6440181366781</v>
      </c>
      <c r="N107" s="102">
        <f t="shared" ca="1" si="33"/>
        <v>994.86943303270016</v>
      </c>
      <c r="O107" s="102">
        <f t="shared" ca="1" si="33"/>
        <v>1159.7495572171092</v>
      </c>
      <c r="P107" s="102">
        <f t="shared" ca="1" si="33"/>
        <v>1161.2265361611608</v>
      </c>
      <c r="Q107" s="102">
        <f t="shared" ca="1" si="33"/>
        <v>2427.8050765938779</v>
      </c>
      <c r="R107" s="102">
        <f t="shared" ca="1" si="33"/>
        <v>3569.4156576483756</v>
      </c>
      <c r="S107" s="102">
        <f t="shared" ca="1" si="33"/>
        <v>4716.6299517088019</v>
      </c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</row>
    <row r="108" spans="1:29">
      <c r="A108" s="5" t="s">
        <v>1420</v>
      </c>
      <c r="B108" s="3"/>
      <c r="C108" s="3"/>
      <c r="D108" s="29">
        <f t="shared" ref="D108:S108" si="34">D83</f>
        <v>750</v>
      </c>
      <c r="E108" s="29">
        <f t="shared" si="34"/>
        <v>750</v>
      </c>
      <c r="F108" s="29">
        <f t="shared" si="34"/>
        <v>750</v>
      </c>
      <c r="G108" s="29">
        <f t="shared" si="34"/>
        <v>750</v>
      </c>
      <c r="H108" s="29">
        <f t="shared" si="34"/>
        <v>750</v>
      </c>
      <c r="I108" s="29">
        <f t="shared" si="34"/>
        <v>0</v>
      </c>
      <c r="J108" s="29">
        <f t="shared" si="34"/>
        <v>0</v>
      </c>
      <c r="K108" s="29">
        <f t="shared" si="34"/>
        <v>0</v>
      </c>
      <c r="L108" s="29">
        <f t="shared" si="34"/>
        <v>0</v>
      </c>
      <c r="M108" s="29">
        <f t="shared" si="34"/>
        <v>0</v>
      </c>
      <c r="N108" s="29">
        <f t="shared" si="34"/>
        <v>0</v>
      </c>
      <c r="O108" s="29">
        <f t="shared" si="34"/>
        <v>0</v>
      </c>
      <c r="P108" s="29">
        <f t="shared" si="34"/>
        <v>0</v>
      </c>
      <c r="Q108" s="29">
        <f t="shared" si="34"/>
        <v>0</v>
      </c>
      <c r="R108" s="29">
        <f t="shared" si="34"/>
        <v>0</v>
      </c>
      <c r="S108" s="29">
        <f t="shared" si="34"/>
        <v>0</v>
      </c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</row>
    <row r="109" spans="1:29">
      <c r="A109" s="5" t="s">
        <v>1631</v>
      </c>
      <c r="B109" s="3"/>
      <c r="C109" s="3"/>
      <c r="D109" s="102">
        <f t="shared" ref="D109:S109" si="35">D90</f>
        <v>0</v>
      </c>
      <c r="E109" s="102">
        <f t="shared" si="35"/>
        <v>0</v>
      </c>
      <c r="F109" s="102">
        <f t="shared" si="35"/>
        <v>0</v>
      </c>
      <c r="G109" s="102">
        <f t="shared" si="35"/>
        <v>0</v>
      </c>
      <c r="H109" s="102">
        <f t="shared" si="35"/>
        <v>0</v>
      </c>
      <c r="I109" s="102">
        <f t="shared" ca="1" si="35"/>
        <v>1433.2043796298706</v>
      </c>
      <c r="J109" s="102">
        <f t="shared" ca="1" si="35"/>
        <v>2603.121688228935</v>
      </c>
      <c r="K109" s="102">
        <f t="shared" ca="1" si="35"/>
        <v>4937.1711392157667</v>
      </c>
      <c r="L109" s="102">
        <f t="shared" ca="1" si="35"/>
        <v>5853.9876161376351</v>
      </c>
      <c r="M109" s="102">
        <f t="shared" ca="1" si="35"/>
        <v>8405.27565241099</v>
      </c>
      <c r="N109" s="102">
        <f t="shared" ca="1" si="35"/>
        <v>10395.014518476391</v>
      </c>
      <c r="O109" s="102">
        <f t="shared" ca="1" si="35"/>
        <v>12714.51363291061</v>
      </c>
      <c r="P109" s="102">
        <f t="shared" ca="1" si="35"/>
        <v>15036.966705232931</v>
      </c>
      <c r="Q109" s="102">
        <f t="shared" ca="1" si="35"/>
        <v>19892.576858420689</v>
      </c>
      <c r="R109" s="102">
        <f t="shared" ca="1" si="35"/>
        <v>27031.408173717442</v>
      </c>
      <c r="S109" s="102">
        <f t="shared" ca="1" si="35"/>
        <v>36464.668077135044</v>
      </c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</row>
    <row r="110" spans="1:29">
      <c r="A110" s="78" t="s">
        <v>1029</v>
      </c>
      <c r="B110" s="78"/>
      <c r="C110" s="78"/>
      <c r="D110" s="111">
        <f t="shared" ref="D110:S110" si="36">D94</f>
        <v>-750</v>
      </c>
      <c r="E110" s="111">
        <f t="shared" si="36"/>
        <v>-750</v>
      </c>
      <c r="F110" s="111">
        <f t="shared" si="36"/>
        <v>-750</v>
      </c>
      <c r="G110" s="111">
        <f t="shared" si="36"/>
        <v>-750</v>
      </c>
      <c r="H110" s="111">
        <f t="shared" si="36"/>
        <v>-750</v>
      </c>
      <c r="I110" s="111">
        <f t="shared" ca="1" si="36"/>
        <v>-2149.806569444806</v>
      </c>
      <c r="J110" s="111">
        <f t="shared" ca="1" si="36"/>
        <v>-3188.0803425284671</v>
      </c>
      <c r="K110" s="111">
        <f t="shared" ca="1" si="36"/>
        <v>-6104.1958647091824</v>
      </c>
      <c r="L110" s="111">
        <f t="shared" ca="1" si="36"/>
        <v>-6312.3958545985697</v>
      </c>
      <c r="M110" s="111">
        <f t="shared" ca="1" si="36"/>
        <v>-9680.9196705476679</v>
      </c>
      <c r="N110" s="111">
        <f t="shared" ca="1" si="36"/>
        <v>-11389.883951509091</v>
      </c>
      <c r="O110" s="111">
        <f t="shared" ca="1" si="36"/>
        <v>-13874.26319012772</v>
      </c>
      <c r="P110" s="111">
        <f t="shared" ca="1" si="36"/>
        <v>-16198.193241394092</v>
      </c>
      <c r="Q110" s="111">
        <f t="shared" ca="1" si="36"/>
        <v>-22320.381935014568</v>
      </c>
      <c r="R110" s="111">
        <f t="shared" ca="1" si="36"/>
        <v>-30600.823831365818</v>
      </c>
      <c r="S110" s="111">
        <f t="shared" ca="1" si="36"/>
        <v>-41181.298028843848</v>
      </c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</row>
    <row r="111" spans="1:29">
      <c r="A111" s="5" t="s">
        <v>1629</v>
      </c>
      <c r="B111" s="3"/>
      <c r="C111" s="3"/>
      <c r="D111" s="102">
        <f t="shared" ref="D111:S111" si="37">D88</f>
        <v>0</v>
      </c>
      <c r="E111" s="102">
        <f t="shared" si="37"/>
        <v>0</v>
      </c>
      <c r="F111" s="102">
        <f t="shared" si="37"/>
        <v>0</v>
      </c>
      <c r="G111" s="102">
        <f t="shared" si="37"/>
        <v>0</v>
      </c>
      <c r="H111" s="102">
        <f t="shared" si="37"/>
        <v>0</v>
      </c>
      <c r="I111" s="102">
        <f t="shared" ca="1" si="37"/>
        <v>14332.043796298705</v>
      </c>
      <c r="J111" s="102">
        <f t="shared" ca="1" si="37"/>
        <v>11699.173085990644</v>
      </c>
      <c r="K111" s="102">
        <f t="shared" ca="1" si="37"/>
        <v>23340.494509868317</v>
      </c>
      <c r="L111" s="102">
        <f t="shared" ca="1" si="37"/>
        <v>9168.1647692186853</v>
      </c>
      <c r="M111" s="102">
        <f t="shared" ca="1" si="37"/>
        <v>25512.880362733562</v>
      </c>
      <c r="N111" s="102">
        <f t="shared" ca="1" si="37"/>
        <v>19897.388660654004</v>
      </c>
      <c r="O111" s="102">
        <f t="shared" ca="1" si="37"/>
        <v>23194.991144342184</v>
      </c>
      <c r="P111" s="102">
        <f t="shared" ca="1" si="37"/>
        <v>23224.530723223212</v>
      </c>
      <c r="Q111" s="102">
        <f t="shared" ca="1" si="37"/>
        <v>48556.101531877561</v>
      </c>
      <c r="R111" s="102">
        <f t="shared" ca="1" si="37"/>
        <v>71388.313152967516</v>
      </c>
      <c r="S111" s="102">
        <f t="shared" ca="1" si="37"/>
        <v>94332.599034176033</v>
      </c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</row>
    <row r="112" spans="1:29">
      <c r="A112" s="19" t="s">
        <v>1036</v>
      </c>
      <c r="B112" s="20"/>
      <c r="C112" s="20"/>
      <c r="D112" s="168">
        <f t="shared" ref="D112:S112" si="38">D96</f>
        <v>-750</v>
      </c>
      <c r="E112" s="168">
        <f t="shared" si="38"/>
        <v>-750</v>
      </c>
      <c r="F112" s="168">
        <f t="shared" si="38"/>
        <v>-750</v>
      </c>
      <c r="G112" s="168">
        <f t="shared" si="38"/>
        <v>-750</v>
      </c>
      <c r="H112" s="168">
        <f t="shared" si="38"/>
        <v>-750</v>
      </c>
      <c r="I112" s="168">
        <f t="shared" ca="1" si="38"/>
        <v>-15048.645986113641</v>
      </c>
      <c r="J112" s="168">
        <f t="shared" ca="1" si="38"/>
        <v>-12284.131740290177</v>
      </c>
      <c r="K112" s="168">
        <f t="shared" ca="1" si="38"/>
        <v>-24507.519235361731</v>
      </c>
      <c r="L112" s="168">
        <f t="shared" ca="1" si="38"/>
        <v>-9626.5730076796208</v>
      </c>
      <c r="M112" s="168">
        <f t="shared" ca="1" si="38"/>
        <v>-26788.52438087024</v>
      </c>
      <c r="N112" s="168">
        <f t="shared" ca="1" si="38"/>
        <v>-20892.258093686702</v>
      </c>
      <c r="O112" s="168">
        <f t="shared" ca="1" si="38"/>
        <v>-24354.740701559294</v>
      </c>
      <c r="P112" s="168">
        <f t="shared" ca="1" si="38"/>
        <v>-24385.757259384372</v>
      </c>
      <c r="Q112" s="168">
        <f t="shared" ca="1" si="38"/>
        <v>-50983.906608471443</v>
      </c>
      <c r="R112" s="168">
        <f t="shared" ca="1" si="38"/>
        <v>-74957.728810615896</v>
      </c>
      <c r="S112" s="168">
        <f t="shared" ca="1" si="38"/>
        <v>-99049.228985884838</v>
      </c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</row>
    <row r="113" spans="1:29">
      <c r="A113" s="5" t="s">
        <v>1073</v>
      </c>
      <c r="B113" s="3"/>
      <c r="C113" s="3"/>
      <c r="D113" s="60">
        <f>0</f>
        <v>0</v>
      </c>
      <c r="E113" s="60">
        <f>0</f>
        <v>0</v>
      </c>
      <c r="F113" s="60">
        <f>0</f>
        <v>0</v>
      </c>
      <c r="G113" s="60">
        <f>0</f>
        <v>0</v>
      </c>
      <c r="H113" s="60">
        <f>0</f>
        <v>0</v>
      </c>
      <c r="I113" s="60">
        <f>0</f>
        <v>0</v>
      </c>
      <c r="J113" s="60">
        <f>0</f>
        <v>0</v>
      </c>
      <c r="K113" s="60">
        <f>0</f>
        <v>0</v>
      </c>
      <c r="L113" s="60">
        <f>0</f>
        <v>0</v>
      </c>
      <c r="M113" s="60">
        <f>0</f>
        <v>0</v>
      </c>
      <c r="N113" s="60">
        <f>0</f>
        <v>0</v>
      </c>
      <c r="O113" s="60">
        <f>0</f>
        <v>0</v>
      </c>
      <c r="P113" s="60">
        <f>0</f>
        <v>0</v>
      </c>
      <c r="Q113" s="60">
        <f>0</f>
        <v>0</v>
      </c>
      <c r="R113" s="60">
        <f>0</f>
        <v>0</v>
      </c>
      <c r="S113" s="60">
        <f>0</f>
        <v>0</v>
      </c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</row>
    <row r="114" spans="1:29">
      <c r="A114" s="5" t="s">
        <v>1643</v>
      </c>
      <c r="B114" s="3"/>
      <c r="C114" s="3"/>
      <c r="D114" s="70">
        <f>D120*'Vehicle Build'!D44</f>
        <v>0</v>
      </c>
      <c r="E114" s="70">
        <f>E120*'Vehicle Build'!E44</f>
        <v>0</v>
      </c>
      <c r="F114" s="70">
        <f>F120*'Vehicle Build'!F44</f>
        <v>0</v>
      </c>
      <c r="G114" s="70">
        <f>G120*'Vehicle Build'!G44</f>
        <v>0</v>
      </c>
      <c r="H114" s="70">
        <f>H120*'Vehicle Build'!H44</f>
        <v>0</v>
      </c>
      <c r="I114" s="70">
        <f ca="1">I120*'Vehicle Build'!I44</f>
        <v>16073320.145381723</v>
      </c>
      <c r="J114" s="70">
        <f ca="1">J120*'Vehicle Build'!J44</f>
        <v>13120567.946905397</v>
      </c>
      <c r="K114" s="70">
        <f ca="1">K120*'Vehicle Build'!K44</f>
        <v>26176255.52508596</v>
      </c>
      <c r="L114" s="70">
        <f ca="1">L120*'Vehicle Build'!L44</f>
        <v>10282053.946787311</v>
      </c>
      <c r="M114" s="70">
        <f ca="1">M120*'Vehicle Build'!M44</f>
        <v>28612576.107738573</v>
      </c>
      <c r="N114" s="70">
        <f ca="1">N120*'Vehicle Build'!N44</f>
        <v>22314828.404471781</v>
      </c>
      <c r="O114" s="70">
        <f ca="1">O120*'Vehicle Build'!O44</f>
        <v>26013074.180570673</v>
      </c>
      <c r="P114" s="70">
        <f ca="1">P120*'Vehicle Build'!P44</f>
        <v>26046202.680250332</v>
      </c>
      <c r="Q114" s="70">
        <f ca="1">Q120*'Vehicle Build'!Q44</f>
        <v>54455440.97032997</v>
      </c>
      <c r="R114" s="70">
        <f ca="1">R120*'Vehicle Build'!R44</f>
        <v>80061659.610804692</v>
      </c>
      <c r="S114" s="70">
        <f ca="1">S120*'Vehicle Build'!S44</f>
        <v>105793569.01029086</v>
      </c>
      <c r="T114" s="70">
        <f>T120*'Vehicle Build'!T44</f>
        <v>0</v>
      </c>
      <c r="U114" s="70">
        <f>U120*'Vehicle Build'!U44</f>
        <v>0</v>
      </c>
      <c r="V114" s="70">
        <f>V120*'Vehicle Build'!V44</f>
        <v>0</v>
      </c>
      <c r="W114" s="70">
        <f>W120*'Vehicle Build'!W44</f>
        <v>0</v>
      </c>
      <c r="X114" s="70">
        <f>X120*'Vehicle Build'!X44</f>
        <v>0</v>
      </c>
      <c r="Y114" s="70">
        <f>Y120*'Vehicle Build'!Y44</f>
        <v>0</v>
      </c>
      <c r="Z114" s="70">
        <f>Z120*'Vehicle Build'!Z44</f>
        <v>0</v>
      </c>
      <c r="AA114" s="70">
        <f>AA120*'Vehicle Build'!AA44</f>
        <v>0</v>
      </c>
      <c r="AB114" s="70">
        <f>AB120*'Vehicle Build'!AB44</f>
        <v>0</v>
      </c>
      <c r="AC114" s="70">
        <f>AC120*'Vehicle Build'!AC44</f>
        <v>0</v>
      </c>
    </row>
    <row r="115" spans="1:29">
      <c r="A115" s="5" t="s">
        <v>1644</v>
      </c>
      <c r="B115" s="3"/>
      <c r="C115" s="3"/>
      <c r="D115" s="29">
        <f t="shared" ref="D115:AC115" si="39">D89-D91</f>
        <v>0</v>
      </c>
      <c r="E115" s="29">
        <f t="shared" si="39"/>
        <v>0</v>
      </c>
      <c r="F115" s="29">
        <f t="shared" si="39"/>
        <v>0</v>
      </c>
      <c r="G115" s="29">
        <f t="shared" si="39"/>
        <v>0</v>
      </c>
      <c r="H115" s="29">
        <f t="shared" si="39"/>
        <v>0</v>
      </c>
      <c r="I115" s="29">
        <f t="shared" ca="1" si="39"/>
        <v>12898.839416668834</v>
      </c>
      <c r="J115" s="29">
        <f t="shared" ca="1" si="39"/>
        <v>21994.890814430546</v>
      </c>
      <c r="K115" s="29">
        <f t="shared" ca="1" si="39"/>
        <v>40398.214185083096</v>
      </c>
      <c r="L115" s="29">
        <f t="shared" ca="1" si="39"/>
        <v>43712.391338164147</v>
      </c>
      <c r="M115" s="29">
        <f t="shared" ca="1" si="39"/>
        <v>60819.996048486712</v>
      </c>
      <c r="N115" s="29">
        <f t="shared" ca="1" si="39"/>
        <v>70322.370190664325</v>
      </c>
      <c r="O115" s="29">
        <f t="shared" ca="1" si="39"/>
        <v>80802.847702095896</v>
      </c>
      <c r="P115" s="29">
        <f t="shared" ca="1" si="39"/>
        <v>88990.41172008618</v>
      </c>
      <c r="Q115" s="29">
        <f t="shared" ca="1" si="39"/>
        <v>117653.93639354306</v>
      </c>
      <c r="R115" s="29">
        <f t="shared" ca="1" si="39"/>
        <v>162010.84137279316</v>
      </c>
      <c r="S115" s="29">
        <f t="shared" ca="1" si="39"/>
        <v>219878.77232983414</v>
      </c>
      <c r="T115" s="29">
        <f t="shared" si="39"/>
        <v>0</v>
      </c>
      <c r="U115" s="29">
        <f t="shared" si="39"/>
        <v>0</v>
      </c>
      <c r="V115" s="29">
        <f t="shared" si="39"/>
        <v>0</v>
      </c>
      <c r="W115" s="29">
        <f t="shared" si="39"/>
        <v>0</v>
      </c>
      <c r="X115" s="29">
        <f t="shared" si="39"/>
        <v>0</v>
      </c>
      <c r="Y115" s="29">
        <f t="shared" si="39"/>
        <v>0</v>
      </c>
      <c r="Z115" s="29">
        <f t="shared" si="39"/>
        <v>0</v>
      </c>
      <c r="AA115" s="29">
        <f t="shared" si="39"/>
        <v>0</v>
      </c>
      <c r="AB115" s="29">
        <f t="shared" si="39"/>
        <v>0</v>
      </c>
      <c r="AC115" s="29">
        <f t="shared" si="39"/>
        <v>0</v>
      </c>
    </row>
    <row r="116" spans="1:29">
      <c r="A116" s="78" t="s">
        <v>1645</v>
      </c>
      <c r="B116" s="78"/>
      <c r="C116" s="78"/>
      <c r="D116" s="81">
        <f>0</f>
        <v>0</v>
      </c>
      <c r="E116" s="81">
        <f>0</f>
        <v>0</v>
      </c>
      <c r="F116" s="81">
        <f>0</f>
        <v>0</v>
      </c>
      <c r="G116" s="81">
        <f>0</f>
        <v>0</v>
      </c>
      <c r="H116" s="81">
        <f>0</f>
        <v>0</v>
      </c>
      <c r="I116" s="81">
        <f>0</f>
        <v>0</v>
      </c>
      <c r="J116" s="81">
        <f>0</f>
        <v>0</v>
      </c>
      <c r="K116" s="81">
        <f>0</f>
        <v>0</v>
      </c>
      <c r="L116" s="81">
        <f>0</f>
        <v>0</v>
      </c>
      <c r="M116" s="81">
        <f>0</f>
        <v>0</v>
      </c>
      <c r="N116" s="81">
        <f>0</f>
        <v>0</v>
      </c>
      <c r="O116" s="81">
        <f>0</f>
        <v>0</v>
      </c>
      <c r="P116" s="81">
        <f>0</f>
        <v>0</v>
      </c>
      <c r="Q116" s="81">
        <f>0</f>
        <v>0</v>
      </c>
      <c r="R116" s="81">
        <f>0</f>
        <v>0</v>
      </c>
      <c r="S116" s="81">
        <f>0</f>
        <v>0</v>
      </c>
      <c r="T116" s="81">
        <f>0</f>
        <v>0</v>
      </c>
      <c r="U116" s="81">
        <f>0</f>
        <v>0</v>
      </c>
      <c r="V116" s="81">
        <f>0</f>
        <v>0</v>
      </c>
      <c r="W116" s="81">
        <f>0</f>
        <v>0</v>
      </c>
      <c r="X116" s="81">
        <f>0</f>
        <v>0</v>
      </c>
      <c r="Y116" s="81">
        <f>0</f>
        <v>0</v>
      </c>
      <c r="Z116" s="81">
        <f>0</f>
        <v>0</v>
      </c>
      <c r="AA116" s="81">
        <f>0</f>
        <v>0</v>
      </c>
      <c r="AB116" s="81">
        <f>0</f>
        <v>0</v>
      </c>
      <c r="AC116" s="81">
        <f>0</f>
        <v>0</v>
      </c>
    </row>
    <row r="117" spans="1:2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>
      <c r="A118" s="13" t="s">
        <v>1646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>
      <c r="A119" s="5" t="s">
        <v>1072</v>
      </c>
      <c r="B119" s="3"/>
      <c r="C119" s="3"/>
      <c r="D119" s="29">
        <f t="shared" ref="D119:S119" si="40">D114</f>
        <v>0</v>
      </c>
      <c r="E119" s="29">
        <f t="shared" si="40"/>
        <v>0</v>
      </c>
      <c r="F119" s="29">
        <f t="shared" si="40"/>
        <v>0</v>
      </c>
      <c r="G119" s="29">
        <f t="shared" si="40"/>
        <v>0</v>
      </c>
      <c r="H119" s="29">
        <f t="shared" si="40"/>
        <v>0</v>
      </c>
      <c r="I119" s="29">
        <f t="shared" ca="1" si="40"/>
        <v>16073320.145381723</v>
      </c>
      <c r="J119" s="29">
        <f t="shared" ca="1" si="40"/>
        <v>13120567.946905397</v>
      </c>
      <c r="K119" s="29">
        <f t="shared" ca="1" si="40"/>
        <v>26176255.52508596</v>
      </c>
      <c r="L119" s="29">
        <f t="shared" ca="1" si="40"/>
        <v>10282053.946787311</v>
      </c>
      <c r="M119" s="29">
        <f t="shared" ca="1" si="40"/>
        <v>28612576.107738573</v>
      </c>
      <c r="N119" s="29">
        <f t="shared" ca="1" si="40"/>
        <v>22314828.404471781</v>
      </c>
      <c r="O119" s="29">
        <f t="shared" ca="1" si="40"/>
        <v>26013074.180570673</v>
      </c>
      <c r="P119" s="29">
        <f t="shared" ca="1" si="40"/>
        <v>26046202.680250332</v>
      </c>
      <c r="Q119" s="29">
        <f t="shared" ca="1" si="40"/>
        <v>54455440.97032997</v>
      </c>
      <c r="R119" s="29">
        <f t="shared" ca="1" si="40"/>
        <v>80061659.610804692</v>
      </c>
      <c r="S119" s="29">
        <f t="shared" ca="1" si="40"/>
        <v>105793569.01029086</v>
      </c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</row>
    <row r="120" spans="1:29">
      <c r="A120" s="5" t="s">
        <v>1647</v>
      </c>
      <c r="B120" s="3"/>
      <c r="C120" s="3"/>
      <c r="D120" s="101">
        <f>D46*(1+Assumptions!$B$94)+D54*(1+Assumptions!$B$98)</f>
        <v>0</v>
      </c>
      <c r="E120" s="101">
        <f>E46*(1+Assumptions!$B$94)+E54*(1+Assumptions!$B$98)</f>
        <v>0</v>
      </c>
      <c r="F120" s="101">
        <f>F46*(1+Assumptions!$B$94)+F54*(1+Assumptions!$B$98)</f>
        <v>0</v>
      </c>
      <c r="G120" s="101">
        <f>G46*(1+Assumptions!$B$94)+G54*(1+Assumptions!$B$98)</f>
        <v>0</v>
      </c>
      <c r="H120" s="101">
        <f>H46*(1+Assumptions!$B$94)+H54*(1+Assumptions!$B$98)</f>
        <v>0</v>
      </c>
      <c r="I120" s="101">
        <f ca="1">I46*(1+Assumptions!$B$94)+I54*(1+Assumptions!$B$98)</f>
        <v>80.366600726908615</v>
      </c>
      <c r="J120" s="101">
        <f ca="1">J46*(1+Assumptions!$B$94)+J54*(1+Assumptions!$B$98)</f>
        <v>65.602839734526981</v>
      </c>
      <c r="K120" s="101">
        <f ca="1">K46*(1+Assumptions!$B$94)+K54*(1+Assumptions!$B$98)</f>
        <v>130.88127762542979</v>
      </c>
      <c r="L120" s="101">
        <f ca="1">L46*(1+Assumptions!$B$94)+L54*(1+Assumptions!$B$98)</f>
        <v>51.410269733936552</v>
      </c>
      <c r="M120" s="101">
        <f ca="1">M46*(1+Assumptions!$B$94)+M54*(1+Assumptions!$B$98)</f>
        <v>143.06288053869287</v>
      </c>
      <c r="N120" s="101">
        <f ca="1">N46*(1+Assumptions!$B$94)+N54*(1+Assumptions!$B$98)</f>
        <v>111.5741420223589</v>
      </c>
      <c r="O120" s="101">
        <f ca="1">O46*(1+Assumptions!$B$94)+O54*(1+Assumptions!$B$98)</f>
        <v>130.06537090285337</v>
      </c>
      <c r="P120" s="101">
        <f ca="1">P46*(1+Assumptions!$B$94)+P54*(1+Assumptions!$B$98)</f>
        <v>130.23101340125166</v>
      </c>
      <c r="Q120" s="101">
        <f ca="1">Q46*(1+Assumptions!$B$94)+Q54*(1+Assumptions!$B$98)</f>
        <v>272.27720485164986</v>
      </c>
      <c r="R120" s="101">
        <f ca="1">R46*(1+Assumptions!$B$94)+R54*(1+Assumptions!$B$98)</f>
        <v>400.30829805402345</v>
      </c>
      <c r="S120" s="101">
        <f ca="1">S46*(1+Assumptions!$B$94)+S54*(1+Assumptions!$B$98)</f>
        <v>528.96784505145433</v>
      </c>
      <c r="T120" s="101">
        <f>T46*(1+Assumptions!$B$94)+T54*(1+Assumptions!$B$98)</f>
        <v>0</v>
      </c>
      <c r="U120" s="101">
        <f>U46*(1+Assumptions!$B$94)+U54*(1+Assumptions!$B$98)</f>
        <v>0</v>
      </c>
      <c r="V120" s="101">
        <f>V46*(1+Assumptions!$B$94)+V54*(1+Assumptions!$B$98)</f>
        <v>0</v>
      </c>
      <c r="W120" s="101">
        <f>W46*(1+Assumptions!$B$94)+W54*(1+Assumptions!$B$98)</f>
        <v>0</v>
      </c>
      <c r="X120" s="101">
        <f>X46*(1+Assumptions!$B$94)+X54*(1+Assumptions!$B$98)</f>
        <v>0</v>
      </c>
      <c r="Y120" s="101">
        <f>Y46*(1+Assumptions!$B$94)+Y54*(1+Assumptions!$B$98)</f>
        <v>0</v>
      </c>
      <c r="Z120" s="101">
        <f>Z46*(1+Assumptions!$B$94)+Z54*(1+Assumptions!$B$98)</f>
        <v>0</v>
      </c>
      <c r="AA120" s="101">
        <f>AA46*(1+Assumptions!$B$94)+AA54*(1+Assumptions!$B$98)</f>
        <v>0</v>
      </c>
      <c r="AB120" s="101">
        <f>AB46*(1+Assumptions!$B$94)+AB54*(1+Assumptions!$B$98)</f>
        <v>0</v>
      </c>
      <c r="AC120" s="101">
        <f>AC46*(1+Assumptions!$B$94)+AC54*(1+Assumptions!$B$98)</f>
        <v>0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7"/>
  <sheetViews>
    <sheetView showGridLines="0" zoomScale="87" zoomScaleNormal="87" workbookViewId="0">
      <selection activeCell="W73" sqref="W73"/>
    </sheetView>
  </sheetViews>
  <sheetFormatPr baseColWidth="10" defaultColWidth="10.6640625" defaultRowHeight="16"/>
  <cols>
    <col min="1" max="1" width="57.6640625" customWidth="1"/>
  </cols>
  <sheetData>
    <row r="1" spans="1:19" ht="18.75" customHeight="1">
      <c r="A1" s="63" t="s">
        <v>1648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16" t="s">
        <v>1649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</row>
    <row r="5" spans="1:1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171" t="s">
        <v>1650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</row>
    <row r="8" spans="1:19">
      <c r="A8" s="5" t="s">
        <v>964</v>
      </c>
      <c r="B8" s="3"/>
      <c r="C8" s="3"/>
      <c r="D8" s="70">
        <f>INDEX(Assumptions!$B:$B, MATCH("F9 payload to LEO (kg)", Assumptions!$A$1:$A$257, 0))</f>
        <v>22800</v>
      </c>
      <c r="E8" s="70">
        <f>INDEX(Assumptions!$B:$B, MATCH("F9 payload to LEO (kg)", Assumptions!$A$1:$A$257, 0))</f>
        <v>22800</v>
      </c>
      <c r="F8" s="70">
        <f>INDEX(Assumptions!$B:$B, MATCH("F9 payload to LEO (kg)", Assumptions!$A$1:$A$257, 0))</f>
        <v>22800</v>
      </c>
      <c r="G8" s="70">
        <f>INDEX(Assumptions!$B:$B, MATCH("F9 payload to LEO (kg)", Assumptions!$A$1:$A$257, 0))</f>
        <v>22800</v>
      </c>
      <c r="H8" s="70">
        <f>INDEX(Assumptions!$B:$B, MATCH("F9 payload to LEO (kg)", Assumptions!$A$1:$A$257, 0))</f>
        <v>22800</v>
      </c>
      <c r="I8" s="70">
        <f>INDEX(Assumptions!$B:$B, MATCH("F9 payload to LEO (kg)", Assumptions!$A$1:$A$257, 0))</f>
        <v>22800</v>
      </c>
      <c r="J8" s="70">
        <f>INDEX(Assumptions!$B:$B, MATCH("F9 payload to LEO (kg)", Assumptions!$A$1:$A$257, 0))</f>
        <v>22800</v>
      </c>
      <c r="K8" s="70">
        <f>INDEX(Assumptions!$B:$B, MATCH("F9 payload to LEO (kg)", Assumptions!$A$1:$A$257, 0))</f>
        <v>22800</v>
      </c>
      <c r="L8" s="70">
        <f>INDEX(Assumptions!$B:$B, MATCH("F9 payload to LEO (kg)", Assumptions!$A$1:$A$257, 0))</f>
        <v>22800</v>
      </c>
      <c r="M8" s="70">
        <f>INDEX(Assumptions!$B:$B, MATCH("F9 payload to LEO (kg)", Assumptions!$A$1:$A$257, 0))</f>
        <v>22800</v>
      </c>
      <c r="N8" s="70">
        <f>INDEX(Assumptions!$B:$B, MATCH("F9 payload to LEO (kg)", Assumptions!$A$1:$A$257, 0))</f>
        <v>22800</v>
      </c>
      <c r="O8" s="70">
        <f>INDEX(Assumptions!$B:$B, MATCH("F9 payload to LEO (kg)", Assumptions!$A$1:$A$257, 0))</f>
        <v>22800</v>
      </c>
      <c r="P8" s="70">
        <f>INDEX(Assumptions!$B:$B, MATCH("F9 payload to LEO (kg)", Assumptions!$A$1:$A$257, 0))</f>
        <v>22800</v>
      </c>
      <c r="Q8" s="70">
        <f>INDEX(Assumptions!$B:$B, MATCH("F9 payload to LEO (kg)", Assumptions!$A$1:$A$257, 0))</f>
        <v>22800</v>
      </c>
      <c r="R8" s="70">
        <f>INDEX(Assumptions!$B:$B, MATCH("F9 payload to LEO (kg)", Assumptions!$A$1:$A$257, 0))</f>
        <v>22800</v>
      </c>
      <c r="S8" s="70">
        <f>INDEX(Assumptions!$B:$B, MATCH("F9 payload to LEO (kg)", Assumptions!$A$1:$A$257, 0))</f>
        <v>22800</v>
      </c>
    </row>
    <row r="9" spans="1:19">
      <c r="A9" s="5" t="s">
        <v>1651</v>
      </c>
      <c r="B9" s="3"/>
      <c r="C9" s="3"/>
      <c r="D9" s="101">
        <f>INDEX(Assumptions!$B:$B, MATCH("F9 cadence per booster (flights/year)", Assumptions!$A$1:$A$257, 0))</f>
        <v>6</v>
      </c>
      <c r="E9" s="101">
        <f>INDEX(Assumptions!$B:$B, MATCH("F9 cadence per booster (flights/year)", Assumptions!$A$1:$A$257, 0))</f>
        <v>6</v>
      </c>
      <c r="F9" s="101">
        <f>INDEX(Assumptions!$B:$B, MATCH("F9 cadence per booster (flights/year)", Assumptions!$A$1:$A$257, 0))</f>
        <v>6</v>
      </c>
      <c r="G9" s="101">
        <f>INDEX(Assumptions!$B:$B, MATCH("F9 cadence per booster (flights/year)", Assumptions!$A$1:$A$257, 0))</f>
        <v>6</v>
      </c>
      <c r="H9" s="101">
        <f>INDEX(Assumptions!$B:$B, MATCH("F9 cadence per booster (flights/year)", Assumptions!$A$1:$A$257, 0))</f>
        <v>6</v>
      </c>
      <c r="I9" s="101">
        <f>INDEX(Assumptions!$B:$B, MATCH("F9 cadence per booster (flights/year)", Assumptions!$A$1:$A$257, 0))</f>
        <v>6</v>
      </c>
      <c r="J9" s="101">
        <f>INDEX(Assumptions!$B:$B, MATCH("F9 cadence per booster (flights/year)", Assumptions!$A$1:$A$257, 0))</f>
        <v>6</v>
      </c>
      <c r="K9" s="101">
        <f>INDEX(Assumptions!$B:$B, MATCH("F9 cadence per booster (flights/year)", Assumptions!$A$1:$A$257, 0))</f>
        <v>6</v>
      </c>
      <c r="L9" s="101">
        <f>INDEX(Assumptions!$B:$B, MATCH("F9 cadence per booster (flights/year)", Assumptions!$A$1:$A$257, 0))</f>
        <v>6</v>
      </c>
      <c r="M9" s="101">
        <f>INDEX(Assumptions!$B:$B, MATCH("F9 cadence per booster (flights/year)", Assumptions!$A$1:$A$257, 0))</f>
        <v>6</v>
      </c>
      <c r="N9" s="101">
        <f>INDEX(Assumptions!$B:$B, MATCH("F9 cadence per booster (flights/year)", Assumptions!$A$1:$A$257, 0))</f>
        <v>6</v>
      </c>
      <c r="O9" s="101">
        <f>INDEX(Assumptions!$B:$B, MATCH("F9 cadence per booster (flights/year)", Assumptions!$A$1:$A$257, 0))</f>
        <v>6</v>
      </c>
      <c r="P9" s="101">
        <f>INDEX(Assumptions!$B:$B, MATCH("F9 cadence per booster (flights/year)", Assumptions!$A$1:$A$257, 0))</f>
        <v>6</v>
      </c>
      <c r="Q9" s="101">
        <f>INDEX(Assumptions!$B:$B, MATCH("F9 cadence per booster (flights/year)", Assumptions!$A$1:$A$257, 0))</f>
        <v>6</v>
      </c>
      <c r="R9" s="101">
        <f>INDEX(Assumptions!$B:$B, MATCH("F9 cadence per booster (flights/year)", Assumptions!$A$1:$A$257, 0))</f>
        <v>6</v>
      </c>
      <c r="S9" s="101">
        <f>INDEX(Assumptions!$B:$B, MATCH("F9 cadence per booster (flights/year)", Assumptions!$A$1:$A$257, 0))</f>
        <v>6</v>
      </c>
    </row>
    <row r="10" spans="1:19">
      <c r="A10" s="5" t="s">
        <v>965</v>
      </c>
      <c r="B10" s="3"/>
      <c r="C10" s="3"/>
      <c r="D10" s="29">
        <f t="shared" ref="D10:S10" si="0">D44</f>
        <v>100000</v>
      </c>
      <c r="E10" s="29">
        <f t="shared" si="0"/>
        <v>114869.83549970351</v>
      </c>
      <c r="F10" s="29">
        <f t="shared" si="0"/>
        <v>131950.79107728941</v>
      </c>
      <c r="G10" s="29">
        <f t="shared" si="0"/>
        <v>151571.65665103981</v>
      </c>
      <c r="H10" s="29">
        <f t="shared" si="0"/>
        <v>174110.11265922483</v>
      </c>
      <c r="I10" s="29">
        <f t="shared" si="0"/>
        <v>200000</v>
      </c>
      <c r="J10" s="29">
        <f t="shared" si="0"/>
        <v>200000</v>
      </c>
      <c r="K10" s="29">
        <f t="shared" si="0"/>
        <v>200000</v>
      </c>
      <c r="L10" s="29">
        <f t="shared" si="0"/>
        <v>200000</v>
      </c>
      <c r="M10" s="29">
        <f t="shared" si="0"/>
        <v>200000</v>
      </c>
      <c r="N10" s="29">
        <f t="shared" si="0"/>
        <v>200000</v>
      </c>
      <c r="O10" s="29">
        <f t="shared" si="0"/>
        <v>200000</v>
      </c>
      <c r="P10" s="29">
        <f t="shared" si="0"/>
        <v>200000</v>
      </c>
      <c r="Q10" s="29">
        <f t="shared" si="0"/>
        <v>200000</v>
      </c>
      <c r="R10" s="29">
        <f t="shared" si="0"/>
        <v>200000</v>
      </c>
      <c r="S10" s="29">
        <f t="shared" si="0"/>
        <v>200000</v>
      </c>
    </row>
    <row r="11" spans="1:19">
      <c r="A11" s="5" t="s">
        <v>1652</v>
      </c>
      <c r="B11" s="3"/>
      <c r="C11" s="3"/>
      <c r="D11" s="152">
        <f>MAX( IF(D$4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(years/flight)",Assumptions!$A$1:$A$257,0)))*(INDEX(Assumptions!$B:$B,MATCH("Starship cum-upmass Wright's anchor (kg)",Assumptions!$A$1:$A$257,0))/INDEX(Assumptions!$B:$B,MATCH("Starship cum-upmass Wright's anchor (kg)",Assumptions!$A$1:$A$257,0)))^(-LOG(1-INDEX(Assumptions!$B:$B,MATCH("WL learning rate: turnaround vs cum upmass doubling",Assumptions!$A$1:$A$257,0)),2))) )</f>
        <v>1</v>
      </c>
      <c r="E11" s="152">
        <f ca="1">MAX( IF(E$4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(years/flight)",Assumptions!$A$1:$A$257,0)))*(D53/INDEX(Assumptions!$B:$B,MATCH("Starship cum-upmass Wright's anchor (kg)",Assumptions!$A$1:$A$257,0)))^(-LOG(1-INDEX(Assumptions!$B:$B,MATCH("WL learning rate: turnaround vs cum upmass doubling",Assumptions!$A$1:$A$257,0)),2))) )</f>
        <v>2</v>
      </c>
      <c r="F11" s="152">
        <f ca="1">MAX( IF(F$4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(years/flight)",Assumptions!$A$1:$A$257,0)))*(E53/INDEX(Assumptions!$B:$B,MATCH("Starship cum-upmass Wright's anchor (kg)",Assumptions!$A$1:$A$257,0)))^(-LOG(1-INDEX(Assumptions!$B:$B,MATCH("WL learning rate: turnaround vs cum upmass doubling",Assumptions!$A$1:$A$257,0)),2))) )</f>
        <v>2</v>
      </c>
      <c r="G11" s="152">
        <f ca="1">MAX( IF(G$4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(years/flight)",Assumptions!$A$1:$A$257,0)))*(F53/INDEX(Assumptions!$B:$B,MATCH("Starship cum-upmass Wright's anchor (kg)",Assumptions!$A$1:$A$257,0)))^(-LOG(1-INDEX(Assumptions!$B:$B,MATCH("WL learning rate: turnaround vs cum upmass doubling",Assumptions!$A$1:$A$257,0)),2))) )</f>
        <v>3.5133635135342258</v>
      </c>
      <c r="H11" s="152">
        <f ca="1">MAX( IF(H$4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(years/flight)",Assumptions!$A$1:$A$257,0)))*(G53/INDEX(Assumptions!$B:$B,MATCH("Starship cum-upmass Wright's anchor (kg)",Assumptions!$A$1:$A$257,0)))^(-LOG(1-INDEX(Assumptions!$B:$B,MATCH("WL learning rate: turnaround vs cum upmass doubling",Assumptions!$A$1:$A$257,0)),2))) )</f>
        <v>5.3222907742108729</v>
      </c>
      <c r="I11" s="152">
        <f ca="1">MAX( IF(I$4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(years/flight)",Assumptions!$A$1:$A$257,0)))*(H53/INDEX(Assumptions!$B:$B,MATCH("Starship cum-upmass Wright's anchor (kg)",Assumptions!$A$1:$A$257,0)))^(-LOG(1-INDEX(Assumptions!$B:$B,MATCH("WL learning rate: turnaround vs cum upmass doubling",Assumptions!$A$1:$A$257,0)),2))) )</f>
        <v>7.7186960647053722</v>
      </c>
      <c r="J11" s="152">
        <f ca="1">MAX( IF(J$4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(years/flight)",Assumptions!$A$1:$A$257,0)))*(I53/INDEX(Assumptions!$B:$B,MATCH("Starship cum-upmass Wright's anchor (kg)",Assumptions!$A$1:$A$257,0)))^(-LOG(1-INDEX(Assumptions!$B:$B,MATCH("WL learning rate: turnaround vs cum upmass doubling",Assumptions!$A$1:$A$257,0)),2))) )</f>
        <v>10.446735201626849</v>
      </c>
      <c r="K11" s="152">
        <f ca="1">MAX( IF(K$4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(years/flight)",Assumptions!$A$1:$A$257,0)))*(J53/INDEX(Assumptions!$B:$B,MATCH("Starship cum-upmass Wright's anchor (kg)",Assumptions!$A$1:$A$257,0)))^(-LOG(1-INDEX(Assumptions!$B:$B,MATCH("WL learning rate: turnaround vs cum upmass doubling",Assumptions!$A$1:$A$257,0)),2))) )</f>
        <v>12.277402603099272</v>
      </c>
      <c r="L11" s="152">
        <f ca="1">MAX( IF(L$4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(years/flight)",Assumptions!$A$1:$A$257,0)))*(K53/INDEX(Assumptions!$B:$B,MATCH("Starship cum-upmass Wright's anchor (kg)",Assumptions!$A$1:$A$257,0)))^(-LOG(1-INDEX(Assumptions!$B:$B,MATCH("WL learning rate: turnaround vs cum upmass doubling",Assumptions!$A$1:$A$257,0)),2))) )</f>
        <v>14.565239605409241</v>
      </c>
      <c r="M11" s="152">
        <f ca="1">MAX( IF(M$4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(years/flight)",Assumptions!$A$1:$A$257,0)))*(L53/INDEX(Assumptions!$B:$B,MATCH("Starship cum-upmass Wright's anchor (kg)",Assumptions!$A$1:$A$257,0)))^(-LOG(1-INDEX(Assumptions!$B:$B,MATCH("WL learning rate: turnaround vs cum upmass doubling",Assumptions!$A$1:$A$257,0)),2))) )</f>
        <v>15.696781154952236</v>
      </c>
      <c r="N11" s="152">
        <f ca="1">MAX( IF(N$4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(years/flight)",Assumptions!$A$1:$A$257,0)))*(M53/INDEX(Assumptions!$B:$B,MATCH("Starship cum-upmass Wright's anchor (kg)",Assumptions!$A$1:$A$257,0)))^(-LOG(1-INDEX(Assumptions!$B:$B,MATCH("WL learning rate: turnaround vs cum upmass doubling",Assumptions!$A$1:$A$257,0)),2))) )</f>
        <v>17.380496810755709</v>
      </c>
      <c r="O11" s="152">
        <f ca="1">MAX( IF(O$4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(years/flight)",Assumptions!$A$1:$A$257,0)))*(N53/INDEX(Assumptions!$B:$B,MATCH("Starship cum-upmass Wright's anchor (kg)",Assumptions!$A$1:$A$257,0)))^(-LOG(1-INDEX(Assumptions!$B:$B,MATCH("WL learning rate: turnaround vs cum upmass doubling",Assumptions!$A$1:$A$257,0)),2))) )</f>
        <v>19.08308295329681</v>
      </c>
      <c r="P11" s="152">
        <f ca="1">MAX( IF(P$4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(years/flight)",Assumptions!$A$1:$A$257,0)))*(O53/INDEX(Assumptions!$B:$B,MATCH("Starship cum-upmass Wright's anchor (kg)",Assumptions!$A$1:$A$257,0)))^(-LOG(1-INDEX(Assumptions!$B:$B,MATCH("WL learning rate: turnaround vs cum upmass doubling",Assumptions!$A$1:$A$257,0)),2))) )</f>
        <v>21.022867380758971</v>
      </c>
      <c r="Q11" s="152">
        <f ca="1">MAX( IF(Q$4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(years/flight)",Assumptions!$A$1:$A$257,0)))*(P53/INDEX(Assumptions!$B:$B,MATCH("Starship cum-upmass Wright's anchor (kg)",Assumptions!$A$1:$A$257,0)))^(-LOG(1-INDEX(Assumptions!$B:$B,MATCH("WL learning rate: turnaround vs cum upmass doubling",Assumptions!$A$1:$A$257,0)),2))) )</f>
        <v>22.331263636906321</v>
      </c>
      <c r="R11" s="152">
        <f ca="1">MAX( IF(R$4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(years/flight)",Assumptions!$A$1:$A$257,0)))*(Q53/INDEX(Assumptions!$B:$B,MATCH("Starship cum-upmass Wright's anchor (kg)",Assumptions!$A$1:$A$257,0)))^(-LOG(1-INDEX(Assumptions!$B:$B,MATCH("WL learning rate: turnaround vs cum upmass doubling",Assumptions!$A$1:$A$257,0)),2))) )</f>
        <v>23.373783516327883</v>
      </c>
      <c r="S11" s="152">
        <f ca="1">MAX( IF(S$4 &lt; INDEX(Assumptions!$B:$B,MATCH("Starship operational year",Assumptions!$A$1:$A$257,0)), 1, INDEX(Assumptions!$B:$B,MATCH("Booster cadence floor (flights/yr, operational)",Assumptions!$A$1:$A$257,0))), MIN(INDEX(Assumptions!$B:$B,MATCH("Cadence ceiling (flights/booster/year)",Assumptions!$A$1:$A$257,0)),(1/INDEX(Assumptions!$B:$B,MATCH("Base turnaround time per booster (years/flight)",Assumptions!$A$1:$A$257,0)))*(R53/INDEX(Assumptions!$B:$B,MATCH("Starship cum-upmass Wright's anchor (kg)",Assumptions!$A$1:$A$257,0)))^(-LOG(1-INDEX(Assumptions!$B:$B,MATCH("WL learning rate: turnaround vs cum upmass doubling",Assumptions!$A$1:$A$257,0)),2))) )</f>
        <v>24.270968716342445</v>
      </c>
    </row>
    <row r="12" spans="1:19">
      <c r="A12" s="5" t="s">
        <v>1653</v>
      </c>
      <c r="B12" s="3"/>
      <c r="C12" s="3"/>
      <c r="D12" s="77">
        <f>MAX( IF(D$4 &lt; INDEX(Assumptions!$B:$B,MATCH("Starship operational year",Assumptions!$A$1:$A$257,0)), 1, INDEX(Assumptions!$B:$B,MATCH("Ship cadence floor (flights/yr, operational)",Assumptions!$A$1:$A$257,0))), D11*INDEX(Assumptions!$B:$B,MATCH("Ship-to-booster cadence ratio",Assumptions!$A$1:$A$257,0)) )</f>
        <v>1</v>
      </c>
      <c r="E12" s="77">
        <f ca="1">MAX( IF(E$4 &lt; INDEX(Assumptions!$B:$B,MATCH("Starship operational year",Assumptions!$A$1:$A$257,0)), 1, INDEX(Assumptions!$B:$B,MATCH("Ship cadence floor (flights/yr, operational)",Assumptions!$A$1:$A$257,0))), E11*INDEX(Assumptions!$B:$B,MATCH("Ship-to-booster cadence ratio",Assumptions!$A$1:$A$257,0)) )</f>
        <v>1</v>
      </c>
      <c r="F12" s="77">
        <f ca="1">MAX( IF(F$4 &lt; INDEX(Assumptions!$B:$B,MATCH("Starship operational year",Assumptions!$A$1:$A$257,0)), 1, INDEX(Assumptions!$B:$B,MATCH("Ship cadence floor (flights/yr, operational)",Assumptions!$A$1:$A$257,0))), F11*INDEX(Assumptions!$B:$B,MATCH("Ship-to-booster cadence ratio",Assumptions!$A$1:$A$257,0)) )</f>
        <v>1</v>
      </c>
      <c r="G12" s="77">
        <f ca="1">MAX( IF(G$4 &lt; INDEX(Assumptions!$B:$B,MATCH("Starship operational year",Assumptions!$A$1:$A$257,0)), 1, INDEX(Assumptions!$B:$B,MATCH("Ship cadence floor (flights/yr, operational)",Assumptions!$A$1:$A$257,0))), G11*INDEX(Assumptions!$B:$B,MATCH("Ship-to-booster cadence ratio",Assumptions!$A$1:$A$257,0)) )</f>
        <v>1.7566817567671129</v>
      </c>
      <c r="H12" s="77">
        <f ca="1">MAX( IF(H$4 &lt; INDEX(Assumptions!$B:$B,MATCH("Starship operational year",Assumptions!$A$1:$A$257,0)), 1, INDEX(Assumptions!$B:$B,MATCH("Ship cadence floor (flights/yr, operational)",Assumptions!$A$1:$A$257,0))), H11*INDEX(Assumptions!$B:$B,MATCH("Ship-to-booster cadence ratio",Assumptions!$A$1:$A$257,0)) )</f>
        <v>2.6611453871054365</v>
      </c>
      <c r="I12" s="77">
        <f ca="1">MAX( IF(I$4 &lt; INDEX(Assumptions!$B:$B,MATCH("Starship operational year",Assumptions!$A$1:$A$257,0)), 1, INDEX(Assumptions!$B:$B,MATCH("Ship cadence floor (flights/yr, operational)",Assumptions!$A$1:$A$257,0))), I11*INDEX(Assumptions!$B:$B,MATCH("Ship-to-booster cadence ratio",Assumptions!$A$1:$A$257,0)) )</f>
        <v>3.8593480323526861</v>
      </c>
      <c r="J12" s="77">
        <f ca="1">MAX( IF(J$4 &lt; INDEX(Assumptions!$B:$B,MATCH("Starship operational year",Assumptions!$A$1:$A$257,0)), 1, INDEX(Assumptions!$B:$B,MATCH("Ship cadence floor (flights/yr, operational)",Assumptions!$A$1:$A$257,0))), J11*INDEX(Assumptions!$B:$B,MATCH("Ship-to-booster cadence ratio",Assumptions!$A$1:$A$257,0)) )</f>
        <v>5.2233676008134244</v>
      </c>
      <c r="K12" s="77">
        <f ca="1">MAX( IF(K$4 &lt; INDEX(Assumptions!$B:$B,MATCH("Starship operational year",Assumptions!$A$1:$A$257,0)), 1, INDEX(Assumptions!$B:$B,MATCH("Ship cadence floor (flights/yr, operational)",Assumptions!$A$1:$A$257,0))), K11*INDEX(Assumptions!$B:$B,MATCH("Ship-to-booster cadence ratio",Assumptions!$A$1:$A$257,0)) )</f>
        <v>6.1387013015496361</v>
      </c>
      <c r="L12" s="77">
        <f ca="1">MAX( IF(L$4 &lt; INDEX(Assumptions!$B:$B,MATCH("Starship operational year",Assumptions!$A$1:$A$257,0)), 1, INDEX(Assumptions!$B:$B,MATCH("Ship cadence floor (flights/yr, operational)",Assumptions!$A$1:$A$257,0))), L11*INDEX(Assumptions!$B:$B,MATCH("Ship-to-booster cadence ratio",Assumptions!$A$1:$A$257,0)) )</f>
        <v>7.2826198027046205</v>
      </c>
      <c r="M12" s="77">
        <f ca="1">MAX( IF(M$4 &lt; INDEX(Assumptions!$B:$B,MATCH("Starship operational year",Assumptions!$A$1:$A$257,0)), 1, INDEX(Assumptions!$B:$B,MATCH("Ship cadence floor (flights/yr, operational)",Assumptions!$A$1:$A$257,0))), M11*INDEX(Assumptions!$B:$B,MATCH("Ship-to-booster cadence ratio",Assumptions!$A$1:$A$257,0)) )</f>
        <v>7.8483905774761178</v>
      </c>
      <c r="N12" s="77">
        <f ca="1">MAX( IF(N$4 &lt; INDEX(Assumptions!$B:$B,MATCH("Starship operational year",Assumptions!$A$1:$A$257,0)), 1, INDEX(Assumptions!$B:$B,MATCH("Ship cadence floor (flights/yr, operational)",Assumptions!$A$1:$A$257,0))), N11*INDEX(Assumptions!$B:$B,MATCH("Ship-to-booster cadence ratio",Assumptions!$A$1:$A$257,0)) )</f>
        <v>8.6902484053778544</v>
      </c>
      <c r="O12" s="77">
        <f ca="1">MAX( IF(O$4 &lt; INDEX(Assumptions!$B:$B,MATCH("Starship operational year",Assumptions!$A$1:$A$257,0)), 1, INDEX(Assumptions!$B:$B,MATCH("Ship cadence floor (flights/yr, operational)",Assumptions!$A$1:$A$257,0))), O11*INDEX(Assumptions!$B:$B,MATCH("Ship-to-booster cadence ratio",Assumptions!$A$1:$A$257,0)) )</f>
        <v>9.5415414766484048</v>
      </c>
      <c r="P12" s="77">
        <f ca="1">MAX( IF(P$4 &lt; INDEX(Assumptions!$B:$B,MATCH("Starship operational year",Assumptions!$A$1:$A$257,0)), 1, INDEX(Assumptions!$B:$B,MATCH("Ship cadence floor (flights/yr, operational)",Assumptions!$A$1:$A$257,0))), P11*INDEX(Assumptions!$B:$B,MATCH("Ship-to-booster cadence ratio",Assumptions!$A$1:$A$257,0)) )</f>
        <v>10.511433690379485</v>
      </c>
      <c r="Q12" s="77">
        <f ca="1">MAX( IF(Q$4 &lt; INDEX(Assumptions!$B:$B,MATCH("Starship operational year",Assumptions!$A$1:$A$257,0)), 1, INDEX(Assumptions!$B:$B,MATCH("Ship cadence floor (flights/yr, operational)",Assumptions!$A$1:$A$257,0))), Q11*INDEX(Assumptions!$B:$B,MATCH("Ship-to-booster cadence ratio",Assumptions!$A$1:$A$257,0)) )</f>
        <v>11.165631818453161</v>
      </c>
      <c r="R12" s="77">
        <f ca="1">MAX( IF(R$4 &lt; INDEX(Assumptions!$B:$B,MATCH("Starship operational year",Assumptions!$A$1:$A$257,0)), 1, INDEX(Assumptions!$B:$B,MATCH("Ship cadence floor (flights/yr, operational)",Assumptions!$A$1:$A$257,0))), R11*INDEX(Assumptions!$B:$B,MATCH("Ship-to-booster cadence ratio",Assumptions!$A$1:$A$257,0)) )</f>
        <v>11.686891758163942</v>
      </c>
      <c r="S12" s="77">
        <f ca="1">MAX( IF(S$4 &lt; INDEX(Assumptions!$B:$B,MATCH("Starship operational year",Assumptions!$A$1:$A$257,0)), 1, INDEX(Assumptions!$B:$B,MATCH("Ship cadence floor (flights/yr, operational)",Assumptions!$A$1:$A$257,0))), S11*INDEX(Assumptions!$B:$B,MATCH("Ship-to-booster cadence ratio",Assumptions!$A$1:$A$257,0)) )</f>
        <v>12.135484358171222</v>
      </c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171" t="s">
        <v>1654</v>
      </c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</row>
    <row r="15" spans="1:19">
      <c r="A15" s="5" t="s">
        <v>238</v>
      </c>
      <c r="B15" s="3"/>
      <c r="C15" s="3"/>
      <c r="D15" s="14">
        <f t="array" ref="D15">INDEX(Assumptions!$D:$S, MATCH("F9 at-cost rate per launch ($mm)", Assumptions!$A$1:$A$257, 0), D$5+1)</f>
        <v>20</v>
      </c>
      <c r="E15" s="14">
        <f t="array" ref="E15">INDEX(Assumptions!$D:$S, MATCH("F9 at-cost rate per launch ($mm)", Assumptions!$A$1:$A$257, 0), E$5+1)</f>
        <v>19.600000000000001</v>
      </c>
      <c r="F15" s="14">
        <f t="array" ref="F15">INDEX(Assumptions!$D:$S, MATCH("F9 at-cost rate per launch ($mm)", Assumptions!$A$1:$A$257, 0), F$5+1)</f>
        <v>19.207999999999998</v>
      </c>
      <c r="G15" s="14">
        <f t="array" ref="G15">INDEX(Assumptions!$D:$S, MATCH("F9 at-cost rate per launch ($mm)", Assumptions!$A$1:$A$257, 0), G$5+1)</f>
        <v>18.824000000000002</v>
      </c>
      <c r="H15" s="14">
        <f t="array" ref="H15">INDEX(Assumptions!$D:$S, MATCH("F9 at-cost rate per launch ($mm)", Assumptions!$A$1:$A$257, 0), H$5+1)</f>
        <v>18.446999999999999</v>
      </c>
      <c r="I15" s="14">
        <f t="array" ref="I15">INDEX(Assumptions!$D:$S, MATCH("F9 at-cost rate per launch ($mm)", Assumptions!$A$1:$A$257, 0), I$5+1)</f>
        <v>18.077999999999999</v>
      </c>
      <c r="J15" s="14">
        <f t="array" ref="J15">INDEX(Assumptions!$D:$S, MATCH("F9 at-cost rate per launch ($mm)", Assumptions!$A$1:$A$257, 0), J$5+1)</f>
        <v>17.716999999999999</v>
      </c>
      <c r="K15" s="14">
        <f t="array" ref="K15">INDEX(Assumptions!$D:$S, MATCH("F9 at-cost rate per launch ($mm)", Assumptions!$A$1:$A$257, 0), K$5+1)</f>
        <v>17.363</v>
      </c>
      <c r="L15" s="14">
        <f t="array" ref="L15">INDEX(Assumptions!$D:$S, MATCH("F9 at-cost rate per launch ($mm)", Assumptions!$A$1:$A$257, 0), L$5+1)</f>
        <v>17.015000000000001</v>
      </c>
      <c r="M15" s="14">
        <f t="array" ref="M15">INDEX(Assumptions!$D:$S, MATCH("F9 at-cost rate per launch ($mm)", Assumptions!$A$1:$A$257, 0), M$5+1)</f>
        <v>16.675000000000001</v>
      </c>
      <c r="N15" s="14">
        <f t="array" ref="N15">INDEX(Assumptions!$D:$S, MATCH("F9 at-cost rate per launch ($mm)", Assumptions!$A$1:$A$257, 0), N$5+1)</f>
        <v>16.341999999999999</v>
      </c>
      <c r="O15" s="14">
        <f t="array" ref="O15">INDEX(Assumptions!$D:$S, MATCH("F9 at-cost rate per launch ($mm)", Assumptions!$A$1:$A$257, 0), O$5+1)</f>
        <v>16.015000000000001</v>
      </c>
      <c r="P15" s="14">
        <f t="array" ref="P15">INDEX(Assumptions!$D:$S, MATCH("F9 at-cost rate per launch ($mm)", Assumptions!$A$1:$A$257, 0), P$5+1)</f>
        <v>15.695</v>
      </c>
      <c r="Q15" s="14">
        <f t="array" ref="Q15">INDEX(Assumptions!$D:$S, MATCH("F9 at-cost rate per launch ($mm)", Assumptions!$A$1:$A$257, 0), Q$5+1)</f>
        <v>15.381</v>
      </c>
      <c r="R15" s="14">
        <f t="array" ref="R15">INDEX(Assumptions!$D:$S, MATCH("F9 at-cost rate per launch ($mm)", Assumptions!$A$1:$A$257, 0), R$5+1)</f>
        <v>15.073</v>
      </c>
      <c r="S15" s="14">
        <f t="array" ref="S15">INDEX(Assumptions!$D:$S, MATCH("F9 at-cost rate per launch ($mm)", Assumptions!$A$1:$A$257, 0), S$5+1)</f>
        <v>14.772</v>
      </c>
    </row>
    <row r="16" spans="1:19">
      <c r="A16" s="5" t="s">
        <v>240</v>
      </c>
      <c r="B16" s="3"/>
      <c r="C16" s="3"/>
      <c r="D16" s="105">
        <f t="array" aca="1" ref="D16" ca="1">INDEX('Vehicle Build'!$D:$AC,MATCH("Starship at-cost rate, fully reusable ($mm/launch)",'Vehicle Build'!$A$1:$A$119,0),D$5+1)</f>
        <v>18.192564285070283</v>
      </c>
      <c r="E16" s="14">
        <f t="array" aca="1" ref="E16" ca="1">INDEX('Vehicle Build'!$D:$AC,MATCH("Starship at-cost rate, fully reusable ($mm/launch)",'Vehicle Build'!$A$1:$A$119,0),E$5+1)</f>
        <v>14.499423754028511</v>
      </c>
      <c r="F16" s="14">
        <f t="array" aca="1" ref="F16" ca="1">INDEX('Vehicle Build'!$D:$AC,MATCH("Starship at-cost rate, fully reusable ($mm/launch)",'Vehicle Build'!$A$1:$A$119,0),F$5+1)</f>
        <v>11.804892604145198</v>
      </c>
      <c r="G16" s="14">
        <f t="array" aca="1" ref="G16" ca="1">INDEX('Vehicle Build'!$D:$AC,MATCH("Starship at-cost rate, fully reusable ($mm/launch)",'Vehicle Build'!$A$1:$A$119,0),G$5+1)</f>
        <v>9.9704187366340875</v>
      </c>
      <c r="H16" s="14">
        <f t="array" aca="1" ref="H16" ca="1">INDEX('Vehicle Build'!$D:$AC,MATCH("Starship at-cost rate, fully reusable ($mm/launch)",'Vehicle Build'!$A$1:$A$119,0),H$5+1)</f>
        <v>8.8283342988931413</v>
      </c>
      <c r="I16" s="14">
        <f t="array" aca="1" ref="I16" ca="1">INDEX('Vehicle Build'!$D:$AC,MATCH("Starship at-cost rate, fully reusable ($mm/launch)",'Vehicle Build'!$A$1:$A$119,0),I$5+1)</f>
        <v>8.1203650367351585</v>
      </c>
      <c r="J16" s="14">
        <f t="array" aca="1" ref="J16" ca="1">INDEX('Vehicle Build'!$D:$AC,MATCH("Starship at-cost rate, fully reusable ($mm/launch)",'Vehicle Build'!$A$1:$A$119,0),J$5+1)</f>
        <v>7.5835393237515065</v>
      </c>
      <c r="K16" s="14">
        <f t="array" aca="1" ref="K16" ca="1">INDEX('Vehicle Build'!$D:$AC,MATCH("Starship at-cost rate, fully reusable ($mm/launch)",'Vehicle Build'!$A$1:$A$119,0),K$5+1)</f>
        <v>7.13549686064413</v>
      </c>
      <c r="L16" s="14">
        <f t="array" aca="1" ref="L16" ca="1">INDEX('Vehicle Build'!$D:$AC,MATCH("Starship at-cost rate, fully reusable ($mm/launch)",'Vehicle Build'!$A$1:$A$119,0),L$5+1)</f>
        <v>6.8774909056606406</v>
      </c>
      <c r="M16" s="14">
        <f t="array" aca="1" ref="M16" ca="1">INDEX('Vehicle Build'!$D:$AC,MATCH("Starship at-cost rate, fully reusable ($mm/launch)",'Vehicle Build'!$A$1:$A$119,0),M$5+1)</f>
        <v>6.700159664732225</v>
      </c>
      <c r="N16" s="14">
        <f t="array" aca="1" ref="N16" ca="1">INDEX('Vehicle Build'!$D:$AC,MATCH("Starship at-cost rate, fully reusable ($mm/launch)",'Vehicle Build'!$A$1:$A$119,0),N$5+1)</f>
        <v>6.5509332055833784</v>
      </c>
      <c r="O16" s="14">
        <f t="array" aca="1" ref="O16" ca="1">INDEX('Vehicle Build'!$D:$AC,MATCH("Starship at-cost rate, fully reusable ($mm/launch)",'Vehicle Build'!$A$1:$A$119,0),O$5+1)</f>
        <v>6.4264100193559504</v>
      </c>
      <c r="P16" s="14">
        <f t="array" aca="1" ref="P16" ca="1">INDEX('Vehicle Build'!$D:$AC,MATCH("Starship at-cost rate, fully reusable ($mm/launch)",'Vehicle Build'!$A$1:$A$119,0),P$5+1)</f>
        <v>6.3783552645310202</v>
      </c>
      <c r="Q16" s="14">
        <f t="array" aca="1" ref="Q16" ca="1">INDEX('Vehicle Build'!$D:$AC,MATCH("Starship at-cost rate, fully reusable ($mm/launch)",'Vehicle Build'!$A$1:$A$119,0),Q$5+1)</f>
        <v>6.3201067572887686</v>
      </c>
      <c r="R16" s="14">
        <f t="array" aca="1" ref="R16" ca="1">INDEX('Vehicle Build'!$D:$AC,MATCH("Starship at-cost rate, fully reusable ($mm/launch)",'Vehicle Build'!$A$1:$A$119,0),R$5+1)</f>
        <v>6.239301444498274</v>
      </c>
      <c r="S16" s="14">
        <f t="array" aca="1" ref="S16" ca="1">INDEX('Vehicle Build'!$D:$AC,MATCH("Starship at-cost rate, fully reusable ($mm/launch)",'Vehicle Build'!$A$1:$A$119,0),S$5+1)</f>
        <v>6.1470555951976724</v>
      </c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171" t="s">
        <v>1655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</row>
    <row r="19" spans="1:19">
      <c r="A19" s="5" t="s">
        <v>1656</v>
      </c>
      <c r="B19" s="3"/>
      <c r="C19" s="3"/>
      <c r="D19" s="18">
        <f t="array" ref="D19">INDEX(Assumptions!$D:$S, MATCH("F9 launches glide path (per year)", Assumptions!$A$1:$A$257, 0), D$5+1)</f>
        <v>171</v>
      </c>
      <c r="E19" s="18">
        <f t="array" ref="E19">INDEX(Assumptions!$D:$S, MATCH("F9 launches glide path (per year)", Assumptions!$A$1:$A$257, 0), E$5+1)</f>
        <v>150</v>
      </c>
      <c r="F19" s="18">
        <f t="array" ref="F19">INDEX(Assumptions!$D:$S, MATCH("F9 launches glide path (per year)", Assumptions!$A$1:$A$257, 0), F$5+1)</f>
        <v>100</v>
      </c>
      <c r="G19" s="18">
        <f t="array" ref="G19">INDEX(Assumptions!$D:$S, MATCH("F9 launches glide path (per year)", Assumptions!$A$1:$A$257, 0), G$5+1)</f>
        <v>60</v>
      </c>
      <c r="H19" s="18">
        <f t="array" ref="H19">INDEX(Assumptions!$D:$S, MATCH("F9 launches glide path (per year)", Assumptions!$A$1:$A$257, 0), H$5+1)</f>
        <v>30</v>
      </c>
      <c r="I19" s="18">
        <f t="array" ref="I19">INDEX(Assumptions!$D:$S, MATCH("F9 launches glide path (per year)", Assumptions!$A$1:$A$257, 0), I$5+1)</f>
        <v>10</v>
      </c>
      <c r="J19" s="18">
        <f t="array" ref="J19">INDEX(Assumptions!$D:$S, MATCH("F9 launches glide path (per year)", Assumptions!$A$1:$A$257, 0), J$5+1)</f>
        <v>0</v>
      </c>
      <c r="K19" s="18">
        <f t="array" ref="K19">INDEX(Assumptions!$D:$S, MATCH("F9 launches glide path (per year)", Assumptions!$A$1:$A$257, 0), K$5+1)</f>
        <v>0</v>
      </c>
      <c r="L19" s="18">
        <f t="array" ref="L19">INDEX(Assumptions!$D:$S, MATCH("F9 launches glide path (per year)", Assumptions!$A$1:$A$257, 0), L$5+1)</f>
        <v>0</v>
      </c>
      <c r="M19" s="18">
        <f t="array" ref="M19">INDEX(Assumptions!$D:$S, MATCH("F9 launches glide path (per year)", Assumptions!$A$1:$A$257, 0), M$5+1)</f>
        <v>0</v>
      </c>
      <c r="N19" s="18">
        <f t="array" ref="N19">INDEX(Assumptions!$D:$S, MATCH("F9 launches glide path (per year)", Assumptions!$A$1:$A$257, 0), N$5+1)</f>
        <v>0</v>
      </c>
      <c r="O19" s="18">
        <f t="array" ref="O19">INDEX(Assumptions!$D:$S, MATCH("F9 launches glide path (per year)", Assumptions!$A$1:$A$257, 0), O$5+1)</f>
        <v>0</v>
      </c>
      <c r="P19" s="18">
        <f t="array" ref="P19">INDEX(Assumptions!$D:$S, MATCH("F9 launches glide path (per year)", Assumptions!$A$1:$A$257, 0), P$5+1)</f>
        <v>0</v>
      </c>
      <c r="Q19" s="18">
        <f t="array" ref="Q19">INDEX(Assumptions!$D:$S, MATCH("F9 launches glide path (per year)", Assumptions!$A$1:$A$257, 0), Q$5+1)</f>
        <v>0</v>
      </c>
      <c r="R19" s="18">
        <f t="array" ref="R19">INDEX(Assumptions!$D:$S, MATCH("F9 launches glide path (per year)", Assumptions!$A$1:$A$257, 0), R$5+1)</f>
        <v>0</v>
      </c>
      <c r="S19" s="18">
        <f t="array" ref="S19">INDEX(Assumptions!$D:$S, MATCH("F9 launches glide path (per year)", Assumptions!$A$1:$A$257, 0), S$5+1)</f>
        <v>0</v>
      </c>
    </row>
    <row r="20" spans="1:19">
      <c r="A20" s="5" t="s">
        <v>1657</v>
      </c>
      <c r="B20" s="3"/>
      <c r="C20" s="3"/>
      <c r="D20" s="18">
        <f t="array" aca="1" ref="D20" ca="1">IFERROR(INDEX(Starlink!$D:$AC,MATCH("Starship internal launches per year (Starlink-driven)",Starlink!$A$1:$A$204,0),D$5+1),0)+IFERROR(INDEX('Customer Launch'!$D:$S,MATCH("Starship commercial launches",'Customer Launch'!$A$1:$A$153,0),D$5+1),0)+IFERROR(INDEX('AI - Compute'!$D:$AC,MATCH("Starship launches per year (ODC-driven)",'AI - Compute'!$A$1:$A$33,0),D$5+1),0)+IFERROR(INDEX('Lunar - Mars'!$D:$AC,MATCH("Starship launches per year (Lunar/Mars)",'Lunar - Mars'!$A$1:$A$133,0),D$5+1),0)</f>
        <v>0</v>
      </c>
      <c r="E20" s="18">
        <f t="array" aca="1" ref="E20" ca="1">IFERROR(INDEX(Starlink!$D:$AC,MATCH("Starship internal launches per year (Starlink-driven)",Starlink!$A$1:$A$204,0),E$5+1),0)+IFERROR(INDEX('Customer Launch'!$D:$S,MATCH("Starship commercial launches",'Customer Launch'!$A$1:$A$153,0),E$5+1),0)+IFERROR(INDEX('AI - Compute'!$D:$AC,MATCH("Starship launches per year (ODC-driven)",'AI - Compute'!$A$1:$A$33,0),E$5+1),0)+IFERROR(INDEX('Lunar - Mars'!$D:$AC,MATCH("Starship launches per year (Lunar/Mars)",'Lunar - Mars'!$A$1:$A$133,0),E$5+1),0)</f>
        <v>0</v>
      </c>
      <c r="F20" s="18">
        <f t="array" aca="1" ref="F20" ca="1">IFERROR(INDEX(Starlink!$D:$AC,MATCH("Starship internal launches per year (Starlink-driven)",Starlink!$A$1:$A$204,0),F$5+1),0)+IFERROR(INDEX('Customer Launch'!$D:$S,MATCH("Starship commercial launches",'Customer Launch'!$A$1:$A$153,0),F$5+1),0)+IFERROR(INDEX('AI - Compute'!$D:$AC,MATCH("Starship launches per year (ODC-driven)",'AI - Compute'!$A$1:$A$33,0),F$5+1),0)+IFERROR(INDEX('Lunar - Mars'!$D:$AC,MATCH("Starship launches per year (Lunar/Mars)",'Lunar - Mars'!$A$1:$A$133,0),F$5+1),0)</f>
        <v>61</v>
      </c>
      <c r="G20" s="18">
        <f t="array" aca="1" ref="G20" ca="1">IFERROR(INDEX(Starlink!$D:$AC,MATCH("Starship internal launches per year (Starlink-driven)",Starlink!$A$1:$A$204,0),G$5+1),0)+IFERROR(INDEX('Customer Launch'!$D:$S,MATCH("Starship commercial launches",'Customer Launch'!$A$1:$A$153,0),G$5+1),0)+IFERROR(INDEX('AI - Compute'!$D:$AC,MATCH("Starship launches per year (ODC-driven)",'AI - Compute'!$A$1:$A$33,0),G$5+1),0)+IFERROR(INDEX('Lunar - Mars'!$D:$AC,MATCH("Starship launches per year (Lunar/Mars)",'Lunar - Mars'!$A$1:$A$133,0),G$5+1),0)</f>
        <v>127</v>
      </c>
      <c r="H20" s="18">
        <f t="array" aca="1" ref="H20" ca="1">IFERROR(INDEX(Starlink!$D:$AC,MATCH("Starship internal launches per year (Starlink-driven)",Starlink!$A$1:$A$204,0),H$5+1),0)+IFERROR(INDEX('Customer Launch'!$D:$S,MATCH("Starship commercial launches",'Customer Launch'!$A$1:$A$153,0),H$5+1),0)+IFERROR(INDEX('AI - Compute'!$D:$AC,MATCH("Starship launches per year (ODC-driven)",'AI - Compute'!$A$1:$A$33,0),H$5+1),0)+IFERROR(INDEX('Lunar - Mars'!$D:$AC,MATCH("Starship launches per year (Lunar/Mars)",'Lunar - Mars'!$A$1:$A$133,0),H$5+1),0)</f>
        <v>311.00000000000006</v>
      </c>
      <c r="I20" s="18">
        <f t="array" aca="1" ref="I20" ca="1">IFERROR(INDEX(Starlink!$D:$AC,MATCH("Starship internal launches per year (Starlink-driven)",Starlink!$A$1:$A$204,0),I$5+1),0)+IFERROR(INDEX('Customer Launch'!$D:$S,MATCH("Starship commercial launches",'Customer Launch'!$A$1:$A$153,0),I$5+1),0)+IFERROR(INDEX('AI - Compute'!$D:$AC,MATCH("Starship launches per year (ODC-driven)",'AI - Compute'!$A$1:$A$33,0),I$5+1),0)+IFERROR(INDEX('Lunar - Mars'!$D:$AC,MATCH("Starship launches per year (Lunar/Mars)",'Lunar - Mars'!$A$1:$A$133,0),I$5+1),0)</f>
        <v>584.3666007269087</v>
      </c>
      <c r="J20" s="18">
        <f t="array" aca="1" ref="J20" ca="1">IFERROR(INDEX(Starlink!$D:$AC,MATCH("Starship internal launches per year (Starlink-driven)",Starlink!$A$1:$A$204,0),J$5+1),0)+IFERROR(INDEX('Customer Launch'!$D:$S,MATCH("Starship commercial launches",'Customer Launch'!$A$1:$A$153,0),J$5+1),0)+IFERROR(INDEX('AI - Compute'!$D:$AC,MATCH("Starship launches per year (ODC-driven)",'AI - Compute'!$A$1:$A$33,0),J$5+1),0)+IFERROR(INDEX('Lunar - Mars'!$D:$AC,MATCH("Starship launches per year (Lunar/Mars)",'Lunar - Mars'!$A$1:$A$133,0),J$5+1),0)</f>
        <v>602.60283973452692</v>
      </c>
      <c r="K20" s="18">
        <f t="array" aca="1" ref="K20" ca="1">IFERROR(INDEX(Starlink!$D:$AC,MATCH("Starship internal launches per year (Starlink-driven)",Starlink!$A$1:$A$204,0),K$5+1),0)+IFERROR(INDEX('Customer Launch'!$D:$S,MATCH("Starship commercial launches",'Customer Launch'!$A$1:$A$153,0),K$5+1),0)+IFERROR(INDEX('AI - Compute'!$D:$AC,MATCH("Starship launches per year (ODC-driven)",'AI - Compute'!$A$1:$A$33,0),K$5+1),0)+IFERROR(INDEX('Lunar - Mars'!$D:$AC,MATCH("Starship launches per year (Lunar/Mars)",'Lunar - Mars'!$A$1:$A$133,0),K$5+1),0)</f>
        <v>1040.6920367495782</v>
      </c>
      <c r="L20" s="18">
        <f t="array" aca="1" ref="L20" ca="1">IFERROR(INDEX(Starlink!$D:$AC,MATCH("Starship internal launches per year (Starlink-driven)",Starlink!$A$1:$A$204,0),L$5+1),0)+IFERROR(INDEX('Customer Launch'!$D:$S,MATCH("Starship commercial launches",'Customer Launch'!$A$1:$A$153,0),L$5+1),0)+IFERROR(INDEX('AI - Compute'!$D:$AC,MATCH("Starship launches per year (ODC-driven)",'AI - Compute'!$A$1:$A$33,0),L$5+1),0)+IFERROR(INDEX('Lunar - Mars'!$D:$AC,MATCH("Starship launches per year (Lunar/Mars)",'Lunar - Mars'!$A$1:$A$133,0),L$5+1),0)</f>
        <v>648.39840459579204</v>
      </c>
      <c r="M20" s="18">
        <f t="array" aca="1" ref="M20" ca="1">IFERROR(INDEX(Starlink!$D:$AC,MATCH("Starship internal launches per year (Starlink-driven)",Starlink!$A$1:$A$204,0),M$5+1),0)+IFERROR(INDEX('Customer Launch'!$D:$S,MATCH("Starship commercial launches",'Customer Launch'!$A$1:$A$153,0),M$5+1),0)+IFERROR(INDEX('AI - Compute'!$D:$AC,MATCH("Starship launches per year (ODC-driven)",'AI - Compute'!$A$1:$A$33,0),M$5+1),0)+IFERROR(INDEX('Lunar - Mars'!$D:$AC,MATCH("Starship launches per year (Lunar/Mars)",'Lunar - Mars'!$A$1:$A$133,0),M$5+1),0)</f>
        <v>1147.0007239405763</v>
      </c>
      <c r="N20" s="18">
        <f t="array" aca="1" ref="N20" ca="1">IFERROR(INDEX(Starlink!$D:$AC,MATCH("Starship internal launches per year (Starlink-driven)",Starlink!$A$1:$A$204,0),N$5+1),0)+IFERROR(INDEX('Customer Launch'!$D:$S,MATCH("Starship commercial launches",'Customer Launch'!$A$1:$A$153,0),N$5+1),0)+IFERROR(INDEX('AI - Compute'!$D:$AC,MATCH("Starship launches per year (ODC-driven)",'AI - Compute'!$A$1:$A$33,0),N$5+1),0)+IFERROR(INDEX('Lunar - Mars'!$D:$AC,MATCH("Starship launches per year (Lunar/Mars)",'Lunar - Mars'!$A$1:$A$133,0),N$5+1),0)</f>
        <v>1401.1714760015641</v>
      </c>
      <c r="O20" s="18">
        <f t="array" aca="1" ref="O20" ca="1">IFERROR(INDEX(Starlink!$D:$AC,MATCH("Starship internal launches per year (Starlink-driven)",Starlink!$A$1:$A$204,0),O$5+1),0)+IFERROR(INDEX('Customer Launch'!$D:$S,MATCH("Starship commercial launches",'Customer Launch'!$A$1:$A$153,0),O$5+1),0)+IFERROR(INDEX('AI - Compute'!$D:$AC,MATCH("Starship launches per year (ODC-driven)",'AI - Compute'!$A$1:$A$33,0),O$5+1),0)+IFERROR(INDEX('Lunar - Mars'!$D:$AC,MATCH("Starship launches per year (Lunar/Mars)",'Lunar - Mars'!$A$1:$A$133,0),O$5+1),0)</f>
        <v>1920.420710124999</v>
      </c>
      <c r="P20" s="18">
        <f t="array" aca="1" ref="P20" ca="1">IFERROR(INDEX(Starlink!$D:$AC,MATCH("Starship internal launches per year (Starlink-driven)",Starlink!$A$1:$A$204,0),P$5+1),0)+IFERROR(INDEX('Customer Launch'!$D:$S,MATCH("Starship commercial launches",'Customer Launch'!$A$1:$A$153,0),P$5+1),0)+IFERROR(INDEX('AI - Compute'!$D:$AC,MATCH("Starship launches per year (ODC-driven)",'AI - Compute'!$A$1:$A$33,0),P$5+1),0)+IFERROR(INDEX('Lunar - Mars'!$D:$AC,MATCH("Starship launches per year (Lunar/Mars)",'Lunar - Mars'!$A$1:$A$133,0),P$5+1),0)</f>
        <v>1506.0013104415175</v>
      </c>
      <c r="Q20" s="18">
        <f t="array" aca="1" ref="Q20" ca="1">IFERROR(INDEX(Starlink!$D:$AC,MATCH("Starship internal launches per year (Starlink-driven)",Starlink!$A$1:$A$204,0),Q$5+1),0)+IFERROR(INDEX('Customer Launch'!$D:$S,MATCH("Starship commercial launches",'Customer Launch'!$A$1:$A$153,0),Q$5+1),0)+IFERROR(INDEX('AI - Compute'!$D:$AC,MATCH("Starship launches per year (ODC-driven)",'AI - Compute'!$A$1:$A$33,0),Q$5+1),0)+IFERROR(INDEX('Lunar - Mars'!$D:$AC,MATCH("Starship launches per year (Lunar/Mars)",'Lunar - Mars'!$A$1:$A$133,0),Q$5+1),0)</f>
        <v>1329.2974548713719</v>
      </c>
      <c r="R20" s="18">
        <f t="array" aca="1" ref="R20" ca="1">IFERROR(INDEX(Starlink!$D:$AC,MATCH("Starship internal launches per year (Starlink-driven)",Starlink!$A$1:$A$204,0),R$5+1),0)+IFERROR(INDEX('Customer Launch'!$D:$S,MATCH("Starship commercial launches",'Customer Launch'!$A$1:$A$153,0),R$5+1),0)+IFERROR(INDEX('AI - Compute'!$D:$AC,MATCH("Starship launches per year (ODC-driven)",'AI - Compute'!$A$1:$A$33,0),R$5+1),0)+IFERROR(INDEX('Lunar - Mars'!$D:$AC,MATCH("Starship launches per year (Lunar/Mars)",'Lunar - Mars'!$A$1:$A$133,0),R$5+1),0)</f>
        <v>1240.0130923729885</v>
      </c>
      <c r="S20" s="18">
        <f t="array" aca="1" ref="S20" ca="1">IFERROR(INDEX(Starlink!$D:$AC,MATCH("Starship internal launches per year (Starlink-driven)",Starlink!$A$1:$A$204,0),S$5+1),0)+IFERROR(INDEX('Customer Launch'!$D:$S,MATCH("Starship commercial launches",'Customer Launch'!$A$1:$A$153,0),S$5+1),0)+IFERROR(INDEX('AI - Compute'!$D:$AC,MATCH("Starship launches per year (ODC-driven)",'AI - Compute'!$A$1:$A$33,0),S$5+1),0)+IFERROR(INDEX('Lunar - Mars'!$D:$AC,MATCH("Starship launches per year (Lunar/Mars)",'Lunar - Mars'!$A$1:$A$133,0),S$5+1),0)</f>
        <v>864.96784505145433</v>
      </c>
    </row>
    <row r="21" spans="1:1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171" t="s">
        <v>1658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</row>
    <row r="23" spans="1:19">
      <c r="A23" s="78" t="s">
        <v>1659</v>
      </c>
      <c r="B23" s="78"/>
      <c r="C23" s="78"/>
      <c r="D23" s="125">
        <f ca="1">D58*D11*D44+D63*INDEX(Assumptions!$B:$B,MATCH("F9 cadence per booster (flights/year, flat)",Assumptions!$A$1:$A$257,0))*INDEX(Assumptions!$B:$B,MATCH("F9 payload to LEO (kg)",Assumptions!$A$1:$A$257,0))</f>
        <v>5675245.7142857146</v>
      </c>
      <c r="E23" s="125">
        <f ca="1">E58*E11*E44+E63*INDEX(Assumptions!$B:$B,MATCH("F9 cadence per booster (flights/year, flat)",Assumptions!$A$1:$A$257,0))*INDEX(Assumptions!$B:$B,MATCH("F9 payload to LEO (kg)",Assumptions!$A$1:$A$257,0))</f>
        <v>8190648.7965666857</v>
      </c>
      <c r="F23" s="125">
        <f ca="1">F58*F11*F44+F63*INDEX(Assumptions!$B:$B,MATCH("F9 cadence per booster (flights/year, flat)",Assumptions!$A$1:$A$257,0))*INDEX(Assumptions!$B:$B,MATCH("F9 payload to LEO (kg)",Assumptions!$A$1:$A$257,0))</f>
        <v>13833707.623220455</v>
      </c>
      <c r="G23" s="125">
        <f ca="1">G58*G11*G44+G63*INDEX(Assumptions!$B:$B,MATCH("F9 cadence per booster (flights/year, flat)",Assumptions!$A$1:$A$257,0))*INDEX(Assumptions!$B:$B,MATCH("F9 payload to LEO (kg)",Assumptions!$A$1:$A$257,0))</f>
        <v>37669271.172451057</v>
      </c>
      <c r="H23" s="125">
        <f ca="1">H58*H11*H44+H63*INDEX(Assumptions!$B:$B,MATCH("F9 cadence per booster (flights/year, flat)",Assumptions!$A$1:$A$257,0))*INDEX(Assumptions!$B:$B,MATCH("F9 payload to LEO (kg)",Assumptions!$A$1:$A$257,0))</f>
        <v>97839008.681652397</v>
      </c>
      <c r="I23" s="125">
        <f ca="1">I58*I11*I44+I63*INDEX(Assumptions!$B:$B,MATCH("F9 cadence per booster (flights/year, flat)",Assumptions!$A$1:$A$257,0))*INDEX(Assumptions!$B:$B,MATCH("F9 payload to LEO (kg)",Assumptions!$A$1:$A$257,0))</f>
        <v>232832412.95161673</v>
      </c>
      <c r="J23" s="125">
        <f ca="1">J58*J11*J44+J63*INDEX(Assumptions!$B:$B,MATCH("F9 cadence per booster (flights/year, flat)",Assumptions!$A$1:$A$257,0))*INDEX(Assumptions!$B:$B,MATCH("F9 payload to LEO (kg)",Assumptions!$A$1:$A$257,0))</f>
        <v>449696313.46796691</v>
      </c>
      <c r="K23" s="125">
        <f ca="1">K58*K11*K44+K63*INDEX(Assumptions!$B:$B,MATCH("F9 cadence per booster (flights/year, flat)",Assumptions!$A$1:$A$257,0))*INDEX(Assumptions!$B:$B,MATCH("F9 payload to LEO (kg)",Assumptions!$A$1:$A$257,0))</f>
        <v>466004959.7842322</v>
      </c>
      <c r="L23" s="125">
        <f ca="1">L58*L11*L44+L63*INDEX(Assumptions!$B:$B,MATCH("F9 cadence per booster (flights/year, flat)",Assumptions!$A$1:$A$257,0))*INDEX(Assumptions!$B:$B,MATCH("F9 payload to LEO (kg)",Assumptions!$A$1:$A$257,0))</f>
        <v>496573474.27415097</v>
      </c>
      <c r="M23" s="125">
        <f ca="1">M58*M11*M44+M63*INDEX(Assumptions!$B:$B,MATCH("F9 cadence per booster (flights/year, flat)",Assumptions!$A$1:$A$257,0))*INDEX(Assumptions!$B:$B,MATCH("F9 payload to LEO (kg)",Assumptions!$A$1:$A$257,0))</f>
        <v>471922029.10149622</v>
      </c>
      <c r="N23" s="125">
        <f ca="1">N58*N11*N44+N63*INDEX(Assumptions!$B:$B,MATCH("F9 cadence per booster (flights/year, flat)",Assumptions!$A$1:$A$257,0))*INDEX(Assumptions!$B:$B,MATCH("F9 payload to LEO (kg)",Assumptions!$A$1:$A$257,0))</f>
        <v>446587639.04584724</v>
      </c>
      <c r="O23" s="125">
        <f ca="1">O58*O11*O44+O63*INDEX(Assumptions!$B:$B,MATCH("F9 cadence per booster (flights/year, flat)",Assumptions!$A$1:$A$257,0))*INDEX(Assumptions!$B:$B,MATCH("F9 payload to LEO (kg)",Assumptions!$A$1:$A$257,0))</f>
        <v>419442990.40440494</v>
      </c>
      <c r="P23" s="125">
        <f ca="1">P58*P11*P44+P63*INDEX(Assumptions!$B:$B,MATCH("F9 cadence per booster (flights/year, flat)",Assumptions!$A$1:$A$257,0))*INDEX(Assumptions!$B:$B,MATCH("F9 payload to LEO (kg)",Assumptions!$A$1:$A$257,0))</f>
        <v>376703428.21616167</v>
      </c>
      <c r="Q23" s="125">
        <f ca="1">Q58*Q11*Q44+Q63*INDEX(Assumptions!$B:$B,MATCH("F9 cadence per booster (flights/year, flat)",Assumptions!$A$1:$A$257,0))*INDEX(Assumptions!$B:$B,MATCH("F9 payload to LEO (kg)",Assumptions!$A$1:$A$257,0))</f>
        <v>325249728.23412061</v>
      </c>
      <c r="R23" s="125">
        <f ca="1">R58*R11*R44+R63*INDEX(Assumptions!$B:$B,MATCH("F9 cadence per booster (flights/year, flat)",Assumptions!$A$1:$A$257,0))*INDEX(Assumptions!$B:$B,MATCH("F9 payload to LEO (kg)",Assumptions!$A$1:$A$257,0))</f>
        <v>271678169.26805532</v>
      </c>
      <c r="S23" s="125">
        <f ca="1">S58*S11*S44+S63*INDEX(Assumptions!$B:$B,MATCH("F9 cadence per booster (flights/year, flat)",Assumptions!$A$1:$A$257,0))*INDEX(Assumptions!$B:$B,MATCH("F9 payload to LEO (kg)",Assumptions!$A$1:$A$257,0))</f>
        <v>305625046.79436862</v>
      </c>
    </row>
    <row r="24" spans="1:19">
      <c r="A24" s="5" t="s">
        <v>1660</v>
      </c>
      <c r="B24" s="3"/>
      <c r="C24" s="3"/>
      <c r="D24" s="90">
        <f t="shared" ref="D24:S24" ca="1" si="1">D28</f>
        <v>240</v>
      </c>
      <c r="E24" s="90">
        <f t="shared" ca="1" si="1"/>
        <v>722.96808362611091</v>
      </c>
      <c r="F24" s="90">
        <f t="shared" ca="1" si="1"/>
        <v>1440.4823990592947</v>
      </c>
      <c r="G24" s="90">
        <f t="shared" ca="1" si="1"/>
        <v>1982.0723531648553</v>
      </c>
      <c r="H24" s="90">
        <f t="shared" ca="1" si="1"/>
        <v>2414.9063582777917</v>
      </c>
      <c r="I24" s="90">
        <f t="shared" ca="1" si="1"/>
        <v>2780.2172235181602</v>
      </c>
      <c r="J24" s="90">
        <f t="shared" ca="1" si="1"/>
        <v>3100.5294619616238</v>
      </c>
      <c r="K24" s="90">
        <f t="shared" ca="1" si="1"/>
        <v>1386.7730707989531</v>
      </c>
      <c r="L24" s="90">
        <f t="shared" ca="1" si="1"/>
        <v>909.54020976306322</v>
      </c>
      <c r="M24" s="90">
        <f t="shared" ca="1" si="1"/>
        <v>695.29583231626793</v>
      </c>
      <c r="N24" s="90">
        <f t="shared" ca="1" si="1"/>
        <v>717.18786503520778</v>
      </c>
      <c r="O24" s="90">
        <f t="shared" ca="1" si="1"/>
        <v>891.50163701938186</v>
      </c>
      <c r="P24" s="90">
        <f t="shared" ca="1" si="1"/>
        <v>229.26726211142741</v>
      </c>
      <c r="Q24" s="90">
        <f t="shared" ca="1" si="1"/>
        <v>334.19852442794001</v>
      </c>
      <c r="R24" s="90">
        <f t="shared" ca="1" si="1"/>
        <v>551.08939574005819</v>
      </c>
      <c r="S24" s="90">
        <f t="shared" ca="1" si="1"/>
        <v>958.11405753313784</v>
      </c>
    </row>
    <row r="25" spans="1:19">
      <c r="A25" s="5" t="s">
        <v>1661</v>
      </c>
      <c r="B25" s="3"/>
      <c r="C25" s="3"/>
      <c r="D25" s="15">
        <f t="shared" ref="D25:S25" ca="1" si="2">D24</f>
        <v>240</v>
      </c>
      <c r="E25" s="15">
        <f t="shared" ca="1" si="2"/>
        <v>722.96808362611091</v>
      </c>
      <c r="F25" s="15">
        <f t="shared" ca="1" si="2"/>
        <v>1440.4823990592947</v>
      </c>
      <c r="G25" s="15">
        <f t="shared" ca="1" si="2"/>
        <v>1982.0723531648553</v>
      </c>
      <c r="H25" s="15">
        <f t="shared" ca="1" si="2"/>
        <v>2414.9063582777917</v>
      </c>
      <c r="I25" s="15">
        <f t="shared" ca="1" si="2"/>
        <v>2780.2172235181602</v>
      </c>
      <c r="J25" s="15">
        <f t="shared" ca="1" si="2"/>
        <v>3100.5294619616238</v>
      </c>
      <c r="K25" s="15">
        <f t="shared" ca="1" si="2"/>
        <v>1386.7730707989531</v>
      </c>
      <c r="L25" s="15">
        <f t="shared" ca="1" si="2"/>
        <v>909.54020976306322</v>
      </c>
      <c r="M25" s="15">
        <f t="shared" ca="1" si="2"/>
        <v>695.29583231626793</v>
      </c>
      <c r="N25" s="15">
        <f t="shared" ca="1" si="2"/>
        <v>717.18786503520778</v>
      </c>
      <c r="O25" s="15">
        <f t="shared" ca="1" si="2"/>
        <v>891.50163701938186</v>
      </c>
      <c r="P25" s="15">
        <f t="shared" ca="1" si="2"/>
        <v>229.26726211142741</v>
      </c>
      <c r="Q25" s="15">
        <f t="shared" ca="1" si="2"/>
        <v>334.19852442794001</v>
      </c>
      <c r="R25" s="15">
        <f t="shared" ca="1" si="2"/>
        <v>551.08939574005819</v>
      </c>
      <c r="S25" s="15">
        <f t="shared" ca="1" si="2"/>
        <v>958.11405753313784</v>
      </c>
    </row>
    <row r="26" spans="1:1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3" t="s">
        <v>1662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>
      <c r="A28" s="78" t="s">
        <v>1663</v>
      </c>
      <c r="B28" s="78"/>
      <c r="C28" s="78"/>
      <c r="D28" s="97">
        <f ca="1">D92+D60*INDEX(Assumptions!$B:$B,MATCH("F9 booster (1st stage) mfg cost ($mm/unit)",Assumptions!$A$1:$A$257,0))*(1-INDEX(Assumptions!$B:$B,MATCH("F9 Wright's Law mfg learning rate",Assumptions!$A$1:$A$257,0)))^D$5</f>
        <v>240</v>
      </c>
      <c r="E28" s="97">
        <f ca="1">E92+E60*INDEX(Assumptions!$B:$B,MATCH("F9 booster (1st stage) mfg cost ($mm/unit)",Assumptions!$A$1:$A$257,0))*(1-INDEX(Assumptions!$B:$B,MATCH("F9 Wright's Law mfg learning rate",Assumptions!$A$1:$A$257,0)))^E$5</f>
        <v>722.96808362611091</v>
      </c>
      <c r="F28" s="97">
        <f ca="1">F92+F60*INDEX(Assumptions!$B:$B,MATCH("F9 booster (1st stage) mfg cost ($mm/unit)",Assumptions!$A$1:$A$257,0))*(1-INDEX(Assumptions!$B:$B,MATCH("F9 Wright's Law mfg learning rate",Assumptions!$A$1:$A$257,0)))^F$5</f>
        <v>1440.4823990592947</v>
      </c>
      <c r="G28" s="97">
        <f ca="1">G92+G60*INDEX(Assumptions!$B:$B,MATCH("F9 booster (1st stage) mfg cost ($mm/unit)",Assumptions!$A$1:$A$257,0))*(1-INDEX(Assumptions!$B:$B,MATCH("F9 Wright's Law mfg learning rate",Assumptions!$A$1:$A$257,0)))^G$5</f>
        <v>1982.0723531648553</v>
      </c>
      <c r="H28" s="97">
        <f ca="1">H92+H60*INDEX(Assumptions!$B:$B,MATCH("F9 booster (1st stage) mfg cost ($mm/unit)",Assumptions!$A$1:$A$257,0))*(1-INDEX(Assumptions!$B:$B,MATCH("F9 Wright's Law mfg learning rate",Assumptions!$A$1:$A$257,0)))^H$5</f>
        <v>2414.9063582777917</v>
      </c>
      <c r="I28" s="97">
        <f ca="1">I92+I60*INDEX(Assumptions!$B:$B,MATCH("F9 booster (1st stage) mfg cost ($mm/unit)",Assumptions!$A$1:$A$257,0))*(1-INDEX(Assumptions!$B:$B,MATCH("F9 Wright's Law mfg learning rate",Assumptions!$A$1:$A$257,0)))^I$5</f>
        <v>2780.2172235181602</v>
      </c>
      <c r="J28" s="97">
        <f ca="1">J92+J60*INDEX(Assumptions!$B:$B,MATCH("F9 booster (1st stage) mfg cost ($mm/unit)",Assumptions!$A$1:$A$257,0))*(1-INDEX(Assumptions!$B:$B,MATCH("F9 Wright's Law mfg learning rate",Assumptions!$A$1:$A$257,0)))^J$5</f>
        <v>3100.5294619616238</v>
      </c>
      <c r="K28" s="97">
        <f ca="1">K92+K60*INDEX(Assumptions!$B:$B,MATCH("F9 booster (1st stage) mfg cost ($mm/unit)",Assumptions!$A$1:$A$257,0))*(1-INDEX(Assumptions!$B:$B,MATCH("F9 Wright's Law mfg learning rate",Assumptions!$A$1:$A$257,0)))^K$5</f>
        <v>1386.7730707989531</v>
      </c>
      <c r="L28" s="97">
        <f ca="1">L92+L60*INDEX(Assumptions!$B:$B,MATCH("F9 booster (1st stage) mfg cost ($mm/unit)",Assumptions!$A$1:$A$257,0))*(1-INDEX(Assumptions!$B:$B,MATCH("F9 Wright's Law mfg learning rate",Assumptions!$A$1:$A$257,0)))^L$5</f>
        <v>909.54020976306322</v>
      </c>
      <c r="M28" s="97">
        <f ca="1">M92+M60*INDEX(Assumptions!$B:$B,MATCH("F9 booster (1st stage) mfg cost ($mm/unit)",Assumptions!$A$1:$A$257,0))*(1-INDEX(Assumptions!$B:$B,MATCH("F9 Wright's Law mfg learning rate",Assumptions!$A$1:$A$257,0)))^M$5</f>
        <v>695.29583231626793</v>
      </c>
      <c r="N28" s="97">
        <f ca="1">N92+N60*INDEX(Assumptions!$B:$B,MATCH("F9 booster (1st stage) mfg cost ($mm/unit)",Assumptions!$A$1:$A$257,0))*(1-INDEX(Assumptions!$B:$B,MATCH("F9 Wright's Law mfg learning rate",Assumptions!$A$1:$A$257,0)))^N$5</f>
        <v>717.18786503520778</v>
      </c>
      <c r="O28" s="97">
        <f ca="1">O92+O60*INDEX(Assumptions!$B:$B,MATCH("F9 booster (1st stage) mfg cost ($mm/unit)",Assumptions!$A$1:$A$257,0))*(1-INDEX(Assumptions!$B:$B,MATCH("F9 Wright's Law mfg learning rate",Assumptions!$A$1:$A$257,0)))^O$5</f>
        <v>891.50163701938186</v>
      </c>
      <c r="P28" s="97">
        <f ca="1">P92+P60*INDEX(Assumptions!$B:$B,MATCH("F9 booster (1st stage) mfg cost ($mm/unit)",Assumptions!$A$1:$A$257,0))*(1-INDEX(Assumptions!$B:$B,MATCH("F9 Wright's Law mfg learning rate",Assumptions!$A$1:$A$257,0)))^P$5</f>
        <v>229.26726211142741</v>
      </c>
      <c r="Q28" s="97">
        <f ca="1">Q92+Q60*INDEX(Assumptions!$B:$B,MATCH("F9 booster (1st stage) mfg cost ($mm/unit)",Assumptions!$A$1:$A$257,0))*(1-INDEX(Assumptions!$B:$B,MATCH("F9 Wright's Law mfg learning rate",Assumptions!$A$1:$A$257,0)))^Q$5</f>
        <v>334.19852442794001</v>
      </c>
      <c r="R28" s="97">
        <f ca="1">R92+R60*INDEX(Assumptions!$B:$B,MATCH("F9 booster (1st stage) mfg cost ($mm/unit)",Assumptions!$A$1:$A$257,0))*(1-INDEX(Assumptions!$B:$B,MATCH("F9 Wright's Law mfg learning rate",Assumptions!$A$1:$A$257,0)))^R$5</f>
        <v>551.08939574005819</v>
      </c>
      <c r="S28" s="97">
        <f ca="1">S92+S60*INDEX(Assumptions!$B:$B,MATCH("F9 booster (1st stage) mfg cost ($mm/unit)",Assumptions!$A$1:$A$257,0))*(1-INDEX(Assumptions!$B:$B,MATCH("F9 Wright's Law mfg learning rate",Assumptions!$A$1:$A$257,0)))^S$5</f>
        <v>958.11405753313784</v>
      </c>
    </row>
    <row r="29" spans="1:19">
      <c r="A29" s="5" t="s">
        <v>1664</v>
      </c>
      <c r="B29" s="3"/>
      <c r="C29" s="3"/>
      <c r="D29" s="42">
        <f t="array" aca="1" ref="D29" ca="1">IFERROR(INDEX(Starlink!$D:$AC,MATCH("Owned launch-vehicle CapEx ($mm)",Starlink!$A$1:$A$204,0),D$5+1),0)+IFERROR(INDEX('Customer Launch'!$D:$S,MATCH("F9 owned-vehicle build CapEx ($mm)*",'Customer Launch'!$A$1:$A$153,0),D$5+1),0)+IFERROR(INDEX('Customer Launch'!$D:$S,MATCH("Starship owned-vehicle build CapEx ($mm)*",'Customer Launch'!$A$1:$A$153,0),D$5+1),0)+IFERROR(INDEX('AI - Compute'!$D:$AC,MATCH("Owned launch-vehicle CapEx ($mm)",'AI - Compute'!$A$1:$A$33,0),D$5+1),0)+IFERROR(INDEX('Lunar - Mars'!$D:$AC,MATCH("Owned launch-vehicle CapEx ($mm)",'Lunar - Mars'!$A$1:$A$133,0),D$5+1),0)</f>
        <v>240</v>
      </c>
      <c r="E29" s="42">
        <f t="array" aca="1" ref="E29" ca="1">IFERROR(INDEX(Starlink!$D:$AC,MATCH("Owned launch-vehicle CapEx ($mm)",Starlink!$A$1:$A$204,0),E$5+1),0)+IFERROR(INDEX('Customer Launch'!$D:$S,MATCH("F9 owned-vehicle build CapEx ($mm)*",'Customer Launch'!$A$1:$A$153,0),E$5+1),0)+IFERROR(INDEX('Customer Launch'!$D:$S,MATCH("Starship owned-vehicle build CapEx ($mm)*",'Customer Launch'!$A$1:$A$153,0),E$5+1),0)+IFERROR(INDEX('AI - Compute'!$D:$AC,MATCH("Owned launch-vehicle CapEx ($mm)",'AI - Compute'!$A$1:$A$33,0),E$5+1),0)+IFERROR(INDEX('Lunar - Mars'!$D:$AC,MATCH("Owned launch-vehicle CapEx ($mm)",'Lunar - Mars'!$A$1:$A$133,0),E$5+1),0)</f>
        <v>235.2</v>
      </c>
      <c r="F29" s="42">
        <f t="array" aca="1" ref="F29" ca="1">IFERROR(INDEX(Starlink!$D:$AC,MATCH("Owned launch-vehicle CapEx ($mm)",Starlink!$A$1:$A$204,0),F$5+1),0)+IFERROR(INDEX('Customer Launch'!$D:$S,MATCH("F9 owned-vehicle build CapEx ($mm)*",'Customer Launch'!$A$1:$A$153,0),F$5+1),0)+IFERROR(INDEX('Customer Launch'!$D:$S,MATCH("Starship owned-vehicle build CapEx ($mm)*",'Customer Launch'!$A$1:$A$153,0),F$5+1),0)+IFERROR(INDEX('AI - Compute'!$D:$AC,MATCH("Owned launch-vehicle CapEx ($mm)",'AI - Compute'!$A$1:$A$33,0),F$5+1),0)+IFERROR(INDEX('Lunar - Mars'!$D:$AC,MATCH("Owned launch-vehicle CapEx ($mm)",'Lunar - Mars'!$A$1:$A$133,0),F$5+1),0)</f>
        <v>1440.4823990592947</v>
      </c>
      <c r="G29" s="42">
        <f t="array" aca="1" ref="G29" ca="1">IFERROR(INDEX(Starlink!$D:$AC,MATCH("Owned launch-vehicle CapEx ($mm)",Starlink!$A$1:$A$204,0),G$5+1),0)+IFERROR(INDEX('Customer Launch'!$D:$S,MATCH("F9 owned-vehicle build CapEx ($mm)*",'Customer Launch'!$A$1:$A$153,0),G$5+1),0)+IFERROR(INDEX('Customer Launch'!$D:$S,MATCH("Starship owned-vehicle build CapEx ($mm)*",'Customer Launch'!$A$1:$A$153,0),G$5+1),0)+IFERROR(INDEX('AI - Compute'!$D:$AC,MATCH("Owned launch-vehicle CapEx ($mm)",'AI - Compute'!$A$1:$A$33,0),G$5+1),0)+IFERROR(INDEX('Lunar - Mars'!$D:$AC,MATCH("Owned launch-vehicle CapEx ($mm)",'Lunar - Mars'!$A$1:$A$133,0),G$5+1),0)</f>
        <v>1982.0723531648553</v>
      </c>
      <c r="H29" s="42">
        <f t="array" aca="1" ref="H29" ca="1">IFERROR(INDEX(Starlink!$D:$AC,MATCH("Owned launch-vehicle CapEx ($mm)",Starlink!$A$1:$A$204,0),H$5+1),0)+IFERROR(INDEX('Customer Launch'!$D:$S,MATCH("F9 owned-vehicle build CapEx ($mm)*",'Customer Launch'!$A$1:$A$153,0),H$5+1),0)+IFERROR(INDEX('Customer Launch'!$D:$S,MATCH("Starship owned-vehicle build CapEx ($mm)*",'Customer Launch'!$A$1:$A$153,0),H$5+1),0)+IFERROR(INDEX('AI - Compute'!$D:$AC,MATCH("Owned launch-vehicle CapEx ($mm)",'AI - Compute'!$A$1:$A$33,0),H$5+1),0)+IFERROR(INDEX('Lunar - Mars'!$D:$AC,MATCH("Owned launch-vehicle CapEx ($mm)",'Lunar - Mars'!$A$1:$A$133,0),H$5+1),0)</f>
        <v>2414.9063582777917</v>
      </c>
      <c r="I29" s="42">
        <f t="array" aca="1" ref="I29" ca="1">IFERROR(INDEX(Starlink!$D:$AC,MATCH("Owned launch-vehicle CapEx ($mm)",Starlink!$A$1:$A$204,0),I$5+1),0)+IFERROR(INDEX('Customer Launch'!$D:$S,MATCH("F9 owned-vehicle build CapEx ($mm)*",'Customer Launch'!$A$1:$A$153,0),I$5+1),0)+IFERROR(INDEX('Customer Launch'!$D:$S,MATCH("Starship owned-vehicle build CapEx ($mm)*",'Customer Launch'!$A$1:$A$153,0),I$5+1),0)+IFERROR(INDEX('AI - Compute'!$D:$AC,MATCH("Owned launch-vehicle CapEx ($mm)",'AI - Compute'!$A$1:$A$33,0),I$5+1),0)+IFERROR(INDEX('Lunar - Mars'!$D:$AC,MATCH("Owned launch-vehicle CapEx ($mm)",'Lunar - Mars'!$A$1:$A$133,0),I$5+1),0)</f>
        <v>2412.7780128280851</v>
      </c>
      <c r="J29" s="42">
        <f t="array" aca="1" ref="J29" ca="1">IFERROR(INDEX(Starlink!$D:$AC,MATCH("Owned launch-vehicle CapEx ($mm)",Starlink!$A$1:$A$204,0),J$5+1),0)+IFERROR(INDEX('Customer Launch'!$D:$S,MATCH("F9 owned-vehicle build CapEx ($mm)*",'Customer Launch'!$A$1:$A$153,0),J$5+1),0)+IFERROR(INDEX('Customer Launch'!$D:$S,MATCH("Starship owned-vehicle build CapEx ($mm)*",'Customer Launch'!$A$1:$A$153,0),J$5+1),0)+IFERROR(INDEX('AI - Compute'!$D:$AC,MATCH("Owned launch-vehicle CapEx ($mm)",'AI - Compute'!$A$1:$A$33,0),J$5+1),0)+IFERROR(INDEX('Lunar - Mars'!$D:$AC,MATCH("Owned launch-vehicle CapEx ($mm)",'Lunar - Mars'!$A$1:$A$133,0),J$5+1),0)</f>
        <v>2771.6672586972268</v>
      </c>
      <c r="K29" s="42">
        <f t="array" aca="1" ref="K29" ca="1">IFERROR(INDEX(Starlink!$D:$AC,MATCH("Owned launch-vehicle CapEx ($mm)",Starlink!$A$1:$A$204,0),K$5+1),0)+IFERROR(INDEX('Customer Launch'!$D:$S,MATCH("F9 owned-vehicle build CapEx ($mm)*",'Customer Launch'!$A$1:$A$153,0),K$5+1),0)+IFERROR(INDEX('Customer Launch'!$D:$S,MATCH("Starship owned-vehicle build CapEx ($mm)*",'Customer Launch'!$A$1:$A$153,0),K$5+1),0)+IFERROR(INDEX('AI - Compute'!$D:$AC,MATCH("Owned launch-vehicle CapEx ($mm)",'AI - Compute'!$A$1:$A$33,0),K$5+1),0)+IFERROR(INDEX('Lunar - Mars'!$D:$AC,MATCH("Owned launch-vehicle CapEx ($mm)",'Lunar - Mars'!$A$1:$A$133,0),K$5+1),0)</f>
        <v>1218.9180835613533</v>
      </c>
      <c r="L29" s="42">
        <f t="array" aca="1" ref="L29" ca="1">IFERROR(INDEX(Starlink!$D:$AC,MATCH("Owned launch-vehicle CapEx ($mm)",Starlink!$A$1:$A$204,0),L$5+1),0)+IFERROR(INDEX('Customer Launch'!$D:$S,MATCH("F9 owned-vehicle build CapEx ($mm)*",'Customer Launch'!$A$1:$A$153,0),L$5+1),0)+IFERROR(INDEX('Customer Launch'!$D:$S,MATCH("Starship owned-vehicle build CapEx ($mm)*",'Customer Launch'!$A$1:$A$153,0),L$5+1),0)+IFERROR(INDEX('AI - Compute'!$D:$AC,MATCH("Owned launch-vehicle CapEx ($mm)",'AI - Compute'!$A$1:$A$33,0),L$5+1),0)+IFERROR(INDEX('Lunar - Mars'!$D:$AC,MATCH("Owned launch-vehicle CapEx ($mm)",'Lunar - Mars'!$A$1:$A$133,0),L$5+1),0)</f>
        <v>839.44816681302814</v>
      </c>
      <c r="M29" s="42">
        <f t="array" aca="1" ref="M29" ca="1">IFERROR(INDEX(Starlink!$D:$AC,MATCH("Owned launch-vehicle CapEx ($mm)",Starlink!$A$1:$A$204,0),M$5+1),0)+IFERROR(INDEX('Customer Launch'!$D:$S,MATCH("F9 owned-vehicle build CapEx ($mm)*",'Customer Launch'!$A$1:$A$153,0),M$5+1),0)+IFERROR(INDEX('Customer Launch'!$D:$S,MATCH("Starship owned-vehicle build CapEx ($mm)*",'Customer Launch'!$A$1:$A$153,0),M$5+1),0)+IFERROR(INDEX('AI - Compute'!$D:$AC,MATCH("Owned launch-vehicle CapEx ($mm)",'AI - Compute'!$A$1:$A$33,0),M$5+1),0)+IFERROR(INDEX('Lunar - Mars'!$D:$AC,MATCH("Owned launch-vehicle CapEx ($mm)",'Lunar - Mars'!$A$1:$A$133,0),M$5+1),0)</f>
        <v>608.57311059384756</v>
      </c>
      <c r="N29" s="42">
        <f t="array" aca="1" ref="N29" ca="1">IFERROR(INDEX(Starlink!$D:$AC,MATCH("Owned launch-vehicle CapEx ($mm)",Starlink!$A$1:$A$204,0),N$5+1),0)+IFERROR(INDEX('Customer Launch'!$D:$S,MATCH("F9 owned-vehicle build CapEx ($mm)*",'Customer Launch'!$A$1:$A$153,0),N$5+1),0)+IFERROR(INDEX('Customer Launch'!$D:$S,MATCH("Starship owned-vehicle build CapEx ($mm)*",'Customer Launch'!$A$1:$A$153,0),N$5+1),0)+IFERROR(INDEX('AI - Compute'!$D:$AC,MATCH("Owned launch-vehicle CapEx ($mm)",'AI - Compute'!$A$1:$A$33,0),N$5+1),0)+IFERROR(INDEX('Lunar - Mars'!$D:$AC,MATCH("Owned launch-vehicle CapEx ($mm)",'Lunar - Mars'!$A$1:$A$133,0),N$5+1),0)</f>
        <v>660.07878018679378</v>
      </c>
      <c r="O29" s="42">
        <f t="array" aca="1" ref="O29" ca="1">IFERROR(INDEX(Starlink!$D:$AC,MATCH("Owned launch-vehicle CapEx ($mm)",Starlink!$A$1:$A$204,0),O$5+1),0)+IFERROR(INDEX('Customer Launch'!$D:$S,MATCH("F9 owned-vehicle build CapEx ($mm)*",'Customer Launch'!$A$1:$A$153,0),O$5+1),0)+IFERROR(INDEX('Customer Launch'!$D:$S,MATCH("Starship owned-vehicle build CapEx ($mm)*",'Customer Launch'!$A$1:$A$153,0),O$5+1),0)+IFERROR(INDEX('AI - Compute'!$D:$AC,MATCH("Owned launch-vehicle CapEx ($mm)",'AI - Compute'!$A$1:$A$33,0),O$5+1),0)+IFERROR(INDEX('Lunar - Mars'!$D:$AC,MATCH("Owned launch-vehicle CapEx ($mm)",'Lunar - Mars'!$A$1:$A$133,0),O$5+1),0)</f>
        <v>831.12242403334835</v>
      </c>
      <c r="P29" s="42">
        <f t="array" aca="1" ref="P29" ca="1">IFERROR(INDEX(Starlink!$D:$AC,MATCH("Owned launch-vehicle CapEx ($mm)",Starlink!$A$1:$A$204,0),P$5+1),0)+IFERROR(INDEX('Customer Launch'!$D:$S,MATCH("F9 owned-vehicle build CapEx ($mm)*",'Customer Launch'!$A$1:$A$153,0),P$5+1),0)+IFERROR(INDEX('Customer Launch'!$D:$S,MATCH("Starship owned-vehicle build CapEx ($mm)*",'Customer Launch'!$A$1:$A$153,0),P$5+1),0)+IFERROR(INDEX('AI - Compute'!$D:$AC,MATCH("Owned launch-vehicle CapEx ($mm)",'AI - Compute'!$A$1:$A$33,0),P$5+1),0)+IFERROR(INDEX('Lunar - Mars'!$D:$AC,MATCH("Owned launch-vehicle CapEx ($mm)",'Lunar - Mars'!$A$1:$A$133,0),P$5+1),0)</f>
        <v>209.4414441141322</v>
      </c>
      <c r="Q29" s="42">
        <f t="array" aca="1" ref="Q29" ca="1">IFERROR(INDEX(Starlink!$D:$AC,MATCH("Owned launch-vehicle CapEx ($mm)",Starlink!$A$1:$A$204,0),Q$5+1),0)+IFERROR(INDEX('Customer Launch'!$D:$S,MATCH("F9 owned-vehicle build CapEx ($mm)*",'Customer Launch'!$A$1:$A$153,0),Q$5+1),0)+IFERROR(INDEX('Customer Launch'!$D:$S,MATCH("Starship owned-vehicle build CapEx ($mm)*",'Customer Launch'!$A$1:$A$153,0),Q$5+1),0)+IFERROR(INDEX('AI - Compute'!$D:$AC,MATCH("Owned launch-vehicle CapEx ($mm)",'AI - Compute'!$A$1:$A$33,0),Q$5+1),0)+IFERROR(INDEX('Lunar - Mars'!$D:$AC,MATCH("Owned launch-vehicle CapEx ($mm)",'Lunar - Mars'!$A$1:$A$133,0),Q$5+1),0)</f>
        <v>265.74534281435569</v>
      </c>
      <c r="R29" s="42">
        <f t="array" aca="1" ref="R29" ca="1">IFERROR(INDEX(Starlink!$D:$AC,MATCH("Owned launch-vehicle CapEx ($mm)",Starlink!$A$1:$A$204,0),R$5+1),0)+IFERROR(INDEX('Customer Launch'!$D:$S,MATCH("F9 owned-vehicle build CapEx ($mm)*",'Customer Launch'!$A$1:$A$153,0),R$5+1),0)+IFERROR(INDEX('Customer Launch'!$D:$S,MATCH("Starship owned-vehicle build CapEx ($mm)*",'Customer Launch'!$A$1:$A$153,0),R$5+1),0)+IFERROR(INDEX('AI - Compute'!$D:$AC,MATCH("Owned launch-vehicle CapEx ($mm)",'AI - Compute'!$A$1:$A$33,0),R$5+1),0)+IFERROR(INDEX('Lunar - Mars'!$D:$AC,MATCH("Owned launch-vehicle CapEx ($mm)",'Lunar - Mars'!$A$1:$A$133,0),R$5+1),0)</f>
        <v>373.18348535797156</v>
      </c>
      <c r="S29" s="42">
        <f t="array" aca="1" ref="S29" ca="1">IFERROR(INDEX(Starlink!$D:$AC,MATCH("Owned launch-vehicle CapEx ($mm)",Starlink!$A$1:$A$204,0),S$5+1),0)+IFERROR(INDEX('Customer Launch'!$D:$S,MATCH("F9 owned-vehicle build CapEx ($mm)*",'Customer Launch'!$A$1:$A$153,0),S$5+1),0)+IFERROR(INDEX('Customer Launch'!$D:$S,MATCH("Starship owned-vehicle build CapEx ($mm)*",'Customer Launch'!$A$1:$A$153,0),S$5+1),0)+IFERROR(INDEX('AI - Compute'!$D:$AC,MATCH("Owned launch-vehicle CapEx ($mm)",'AI - Compute'!$A$1:$A$33,0),S$5+1),0)+IFERROR(INDEX('Lunar - Mars'!$D:$AC,MATCH("Owned launch-vehicle CapEx ($mm)",'Lunar - Mars'!$A$1:$A$133,0),S$5+1),0)</f>
        <v>372.1829952094738</v>
      </c>
    </row>
    <row r="30" spans="1:19">
      <c r="A30" s="5" t="s">
        <v>1665</v>
      </c>
      <c r="B30" s="3"/>
      <c r="C30" s="3"/>
      <c r="D30" s="90">
        <f t="shared" ref="D30:S30" ca="1" si="3">D28-D29</f>
        <v>0</v>
      </c>
      <c r="E30" s="90">
        <f t="shared" ca="1" si="3"/>
        <v>487.76808362611092</v>
      </c>
      <c r="F30" s="90">
        <f t="shared" ca="1" si="3"/>
        <v>0</v>
      </c>
      <c r="G30" s="90">
        <f t="shared" ca="1" si="3"/>
        <v>0</v>
      </c>
      <c r="H30" s="90">
        <f t="shared" ca="1" si="3"/>
        <v>0</v>
      </c>
      <c r="I30" s="90">
        <f t="shared" ca="1" si="3"/>
        <v>367.43921069007502</v>
      </c>
      <c r="J30" s="90">
        <f t="shared" ca="1" si="3"/>
        <v>328.86220326439707</v>
      </c>
      <c r="K30" s="90">
        <f t="shared" ca="1" si="3"/>
        <v>167.85498723759974</v>
      </c>
      <c r="L30" s="90">
        <f t="shared" ca="1" si="3"/>
        <v>70.092042950035079</v>
      </c>
      <c r="M30" s="90">
        <f t="shared" ca="1" si="3"/>
        <v>86.722721722420374</v>
      </c>
      <c r="N30" s="90">
        <f t="shared" ca="1" si="3"/>
        <v>57.109084848414</v>
      </c>
      <c r="O30" s="90">
        <f t="shared" ca="1" si="3"/>
        <v>60.379212986033508</v>
      </c>
      <c r="P30" s="90">
        <f t="shared" ca="1" si="3"/>
        <v>19.825817997295218</v>
      </c>
      <c r="Q30" s="90">
        <f t="shared" ca="1" si="3"/>
        <v>68.45318161358432</v>
      </c>
      <c r="R30" s="90">
        <f t="shared" ca="1" si="3"/>
        <v>177.90591038208663</v>
      </c>
      <c r="S30" s="90">
        <f t="shared" ca="1" si="3"/>
        <v>585.93106232366404</v>
      </c>
    </row>
    <row r="31" spans="1:1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173" t="s">
        <v>1666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</row>
    <row r="33" spans="1:19">
      <c r="A33" s="5" t="s">
        <v>1667</v>
      </c>
      <c r="B33" s="3"/>
      <c r="C33" s="3"/>
      <c r="D33" s="70">
        <f ca="1">INDEX(Assumptions!$B:$B,MATCH("Starship cost WL anchor cum units (= cum stacks at end-2024 baseline)",Assumptions!$A$1:$A$257,0))+INDEX(Assumptions!$B:$B,MATCH("Starship F9-inherited experience seed (F9-equiv cum stacks at 2025 entry)",Assumptions!$A$1:$A$257,0))+D84</f>
        <v>25</v>
      </c>
      <c r="E33" s="29">
        <f t="shared" ref="E33:S33" ca="1" si="4">D33+E84</f>
        <v>33</v>
      </c>
      <c r="F33" s="29">
        <f t="shared" ca="1" si="4"/>
        <v>56</v>
      </c>
      <c r="G33" s="29">
        <f t="shared" ca="1" si="4"/>
        <v>94</v>
      </c>
      <c r="H33" s="29">
        <f t="shared" ca="1" si="4"/>
        <v>147</v>
      </c>
      <c r="I33" s="29">
        <f t="shared" ca="1" si="4"/>
        <v>215</v>
      </c>
      <c r="J33" s="29">
        <f t="shared" ca="1" si="4"/>
        <v>298</v>
      </c>
      <c r="K33" s="29">
        <f t="shared" ca="1" si="4"/>
        <v>396</v>
      </c>
      <c r="L33" s="29">
        <f t="shared" ca="1" si="4"/>
        <v>463.34423690646969</v>
      </c>
      <c r="M33" s="29">
        <f t="shared" ca="1" si="4"/>
        <v>517.70756030744303</v>
      </c>
      <c r="N33" s="29">
        <f t="shared" ca="1" si="4"/>
        <v>575.10439988778535</v>
      </c>
      <c r="O33" s="29">
        <f t="shared" ca="1" si="4"/>
        <v>634.5179580038108</v>
      </c>
      <c r="P33" s="29">
        <f t="shared" ca="1" si="4"/>
        <v>653.44964563771453</v>
      </c>
      <c r="Q33" s="29">
        <f t="shared" ca="1" si="4"/>
        <v>681.31755671774545</v>
      </c>
      <c r="R33" s="29">
        <f t="shared" ca="1" si="4"/>
        <v>727.99090983442306</v>
      </c>
      <c r="S33" s="29">
        <f t="shared" ca="1" si="4"/>
        <v>788.84811659910088</v>
      </c>
    </row>
    <row r="34" spans="1:19">
      <c r="A34" s="5" t="s">
        <v>1668</v>
      </c>
      <c r="B34" s="3"/>
      <c r="C34" s="3"/>
      <c r="D34" s="174">
        <f ca="1">INDEX(Assumptions!$B:$B,MATCH("Starship manufacturing cost anchor ($mm/stack, 2024 baseline)",Assumptions!$A$1:$A$257,0))*(D33/INDEX(Assumptions!$B:$B,MATCH("Starship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65.071945281952225</v>
      </c>
      <c r="E34" s="174">
        <f ca="1">INDEX(Assumptions!$B:$B,MATCH("Starship manufacturing cost anchor ($mm/stack, 2024 baseline)",Assumptions!$A$1:$A$257,0))*(E33/INDEX(Assumptions!$B:$B,MATCH("Starship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60.971010453263865</v>
      </c>
      <c r="F34" s="174">
        <f ca="1">INDEX(Assumptions!$B:$B,MATCH("Starship manufacturing cost anchor ($mm/stack, 2024 baseline)",Assumptions!$A$1:$A$257,0))*(F33/INDEX(Assumptions!$B:$B,MATCH("Starship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53.860799959099772</v>
      </c>
      <c r="G34" s="174">
        <f ca="1">INDEX(Assumptions!$B:$B,MATCH("Starship manufacturing cost anchor ($mm/stack, 2024 baseline)",Assumptions!$A$1:$A$257,0))*(G33/INDEX(Assumptions!$B:$B,MATCH("Starship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47.701520872759353</v>
      </c>
      <c r="H34" s="174">
        <f ca="1">INDEX(Assumptions!$B:$B,MATCH("Starship manufacturing cost anchor ($mm/stack, 2024 baseline)",Assumptions!$A$1:$A$257,0))*(H33/INDEX(Assumptions!$B:$B,MATCH("Starship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42.953794986373431</v>
      </c>
      <c r="I34" s="174">
        <f ca="1">INDEX(Assumptions!$B:$B,MATCH("Starship manufacturing cost anchor ($mm/stack, 2024 baseline)",Assumptions!$A$1:$A$257,0))*(I33/INDEX(Assumptions!$B:$B,MATCH("Starship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39.290393057384712</v>
      </c>
      <c r="J34" s="174">
        <f ca="1">INDEX(Assumptions!$B:$B,MATCH("Starship manufacturing cost anchor ($mm/stack, 2024 baseline)",Assumptions!$A$1:$A$257,0))*(J33/INDEX(Assumptions!$B:$B,MATCH("Starship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36.395224670889924</v>
      </c>
      <c r="K34" s="174">
        <f ca="1">INDEX(Assumptions!$B:$B,MATCH("Starship manufacturing cost anchor ($mm/stack, 2024 baseline)",Assumptions!$A$1:$A$257,0))*(K33/INDEX(Assumptions!$B:$B,MATCH("Starship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34.048100479697702</v>
      </c>
      <c r="L34" s="174">
        <f ca="1">INDEX(Assumptions!$B:$B,MATCH("Starship manufacturing cost anchor ($mm/stack, 2024 baseline)",Assumptions!$A$1:$A$257,0))*(L33/INDEX(Assumptions!$B:$B,MATCH("Starship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32.817110999170112</v>
      </c>
      <c r="M34" s="174">
        <f ca="1">INDEX(Assumptions!$B:$B,MATCH("Starship manufacturing cost anchor ($mm/stack, 2024 baseline)",Assumptions!$A$1:$A$257,0))*(M33/INDEX(Assumptions!$B:$B,MATCH("Starship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31.974490742034877</v>
      </c>
      <c r="N34" s="174">
        <f ca="1">INDEX(Assumptions!$B:$B,MATCH("Starship manufacturing cost anchor ($mm/stack, 2024 baseline)",Assumptions!$A$1:$A$257,0))*(N33/INDEX(Assumptions!$B:$B,MATCH("Starship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31.195894350917925</v>
      </c>
      <c r="O34" s="174">
        <f ca="1">INDEX(Assumptions!$B:$B,MATCH("Starship manufacturing cost anchor ($mm/stack, 2024 baseline)",Assumptions!$A$1:$A$257,0))*(O33/INDEX(Assumptions!$B:$B,MATCH("Starship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30.485015807356262</v>
      </c>
      <c r="P34" s="174">
        <f ca="1">INDEX(Assumptions!$B:$B,MATCH("Starship manufacturing cost anchor ($mm/stack, 2024 baseline)",Assumptions!$A$1:$A$257,0))*(P33/INDEX(Assumptions!$B:$B,MATCH("Starship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30.275597525289456</v>
      </c>
      <c r="Q34" s="174">
        <f ca="1">INDEX(Assumptions!$B:$B,MATCH("Starship manufacturing cost anchor ($mm/stack, 2024 baseline)",Assumptions!$A$1:$A$257,0))*(Q33/INDEX(Assumptions!$B:$B,MATCH("Starship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29.98058622587374</v>
      </c>
      <c r="R34" s="174">
        <f ca="1">INDEX(Assumptions!$B:$B,MATCH("Starship manufacturing cost anchor ($mm/stack, 2024 baseline)",Assumptions!$A$1:$A$257,0))*(R33/INDEX(Assumptions!$B:$B,MATCH("Starship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29.518416769971672</v>
      </c>
      <c r="S34" s="174">
        <f ca="1">INDEX(Assumptions!$B:$B,MATCH("Starship manufacturing cost anchor ($mm/stack, 2024 baseline)",Assumptions!$A$1:$A$257,0))*(S33/INDEX(Assumptions!$B:$B,MATCH("Starship cost WL anchor cum units (= cum stacks at end-2024 baseline)",Assumptions!$A$1:$A$257,0)))^(LOG(1-INDEX(Assumptions!$B:$B,MATCH("Starship manufacturing WL learning rate (% reduction per doubling cum stacks)",Assumptions!$A$1:$A$257,0)),2))</f>
        <v>28.96795638360225</v>
      </c>
    </row>
    <row r="35" spans="1:19">
      <c r="A35" s="5" t="s">
        <v>1669</v>
      </c>
      <c r="B35" s="3"/>
      <c r="C35" s="3"/>
      <c r="D35" s="174">
        <f ca="1">D34*INDEX(Assumptions!$B:$B,MATCH("Starship booster share of manufacturing cost (% of stack mfg)",Assumptions!$A$1:$A$257,0))</f>
        <v>39.043167169171333</v>
      </c>
      <c r="E35" s="174">
        <f ca="1">E34*INDEX(Assumptions!$B:$B,MATCH("Starship booster share of manufacturing cost (% of stack mfg)",Assumptions!$A$1:$A$257,0))</f>
        <v>36.582606271958319</v>
      </c>
      <c r="F35" s="174">
        <f ca="1">F34*INDEX(Assumptions!$B:$B,MATCH("Starship booster share of manufacturing cost (% of stack mfg)",Assumptions!$A$1:$A$257,0))</f>
        <v>32.316479975459863</v>
      </c>
      <c r="G35" s="174">
        <f ca="1">G34*INDEX(Assumptions!$B:$B,MATCH("Starship booster share of manufacturing cost (% of stack mfg)",Assumptions!$A$1:$A$257,0))</f>
        <v>28.620912523655612</v>
      </c>
      <c r="H35" s="174">
        <f ca="1">H34*INDEX(Assumptions!$B:$B,MATCH("Starship booster share of manufacturing cost (% of stack mfg)",Assumptions!$A$1:$A$257,0))</f>
        <v>25.772276991824057</v>
      </c>
      <c r="I35" s="174">
        <f ca="1">I34*INDEX(Assumptions!$B:$B,MATCH("Starship booster share of manufacturing cost (% of stack mfg)",Assumptions!$A$1:$A$257,0))</f>
        <v>23.574235834430826</v>
      </c>
      <c r="J35" s="174">
        <f ca="1">J34*INDEX(Assumptions!$B:$B,MATCH("Starship booster share of manufacturing cost (% of stack mfg)",Assumptions!$A$1:$A$257,0))</f>
        <v>21.837134802533953</v>
      </c>
      <c r="K35" s="174">
        <f ca="1">K34*INDEX(Assumptions!$B:$B,MATCH("Starship booster share of manufacturing cost (% of stack mfg)",Assumptions!$A$1:$A$257,0))</f>
        <v>20.428860287818619</v>
      </c>
      <c r="L35" s="174">
        <f ca="1">L34*INDEX(Assumptions!$B:$B,MATCH("Starship booster share of manufacturing cost (% of stack mfg)",Assumptions!$A$1:$A$257,0))</f>
        <v>19.690266599502067</v>
      </c>
      <c r="M35" s="174">
        <f ca="1">M34*INDEX(Assumptions!$B:$B,MATCH("Starship booster share of manufacturing cost (% of stack mfg)",Assumptions!$A$1:$A$257,0))</f>
        <v>19.184694445220927</v>
      </c>
      <c r="N35" s="174">
        <f ca="1">N34*INDEX(Assumptions!$B:$B,MATCH("Starship booster share of manufacturing cost (% of stack mfg)",Assumptions!$A$1:$A$257,0))</f>
        <v>18.717536610550756</v>
      </c>
      <c r="O35" s="174">
        <f ca="1">O34*INDEX(Assumptions!$B:$B,MATCH("Starship booster share of manufacturing cost (% of stack mfg)",Assumptions!$A$1:$A$257,0))</f>
        <v>18.291009484413756</v>
      </c>
      <c r="P35" s="174">
        <f ca="1">P34*INDEX(Assumptions!$B:$B,MATCH("Starship booster share of manufacturing cost (% of stack mfg)",Assumptions!$A$1:$A$257,0))</f>
        <v>18.165358515173672</v>
      </c>
      <c r="Q35" s="174">
        <f ca="1">Q34*INDEX(Assumptions!$B:$B,MATCH("Starship booster share of manufacturing cost (% of stack mfg)",Assumptions!$A$1:$A$257,0))</f>
        <v>17.988351735524244</v>
      </c>
      <c r="R35" s="174">
        <f ca="1">R34*INDEX(Assumptions!$B:$B,MATCH("Starship booster share of manufacturing cost (% of stack mfg)",Assumptions!$A$1:$A$257,0))</f>
        <v>17.711050061983002</v>
      </c>
      <c r="S35" s="174">
        <f ca="1">S34*INDEX(Assumptions!$B:$B,MATCH("Starship booster share of manufacturing cost (% of stack mfg)",Assumptions!$A$1:$A$257,0))</f>
        <v>17.380773830161349</v>
      </c>
    </row>
    <row r="36" spans="1:19">
      <c r="A36" s="5" t="s">
        <v>1670</v>
      </c>
      <c r="B36" s="3"/>
      <c r="C36" s="3"/>
      <c r="D36" s="174">
        <f ca="1">D34*(1-INDEX(Assumptions!$B:$B,MATCH("Starship booster share of manufacturing cost (% of stack mfg)",Assumptions!$A$1:$A$257,0)))</f>
        <v>26.028778112780891</v>
      </c>
      <c r="E36" s="174">
        <f ca="1">E34*(1-INDEX(Assumptions!$B:$B,MATCH("Starship booster share of manufacturing cost (% of stack mfg)",Assumptions!$A$1:$A$257,0)))</f>
        <v>24.388404181305546</v>
      </c>
      <c r="F36" s="174">
        <f ca="1">F34*(1-INDEX(Assumptions!$B:$B,MATCH("Starship booster share of manufacturing cost (% of stack mfg)",Assumptions!$A$1:$A$257,0)))</f>
        <v>21.544319983639909</v>
      </c>
      <c r="G36" s="174">
        <f ca="1">G34*(1-INDEX(Assumptions!$B:$B,MATCH("Starship booster share of manufacturing cost (% of stack mfg)",Assumptions!$A$1:$A$257,0)))</f>
        <v>19.080608349103741</v>
      </c>
      <c r="H36" s="174">
        <f ca="1">H34*(1-INDEX(Assumptions!$B:$B,MATCH("Starship booster share of manufacturing cost (% of stack mfg)",Assumptions!$A$1:$A$257,0)))</f>
        <v>17.181517994549374</v>
      </c>
      <c r="I36" s="174">
        <f ca="1">I34*(1-INDEX(Assumptions!$B:$B,MATCH("Starship booster share of manufacturing cost (% of stack mfg)",Assumptions!$A$1:$A$257,0)))</f>
        <v>15.716157222953886</v>
      </c>
      <c r="J36" s="174">
        <f ca="1">J34*(1-INDEX(Assumptions!$B:$B,MATCH("Starship booster share of manufacturing cost (% of stack mfg)",Assumptions!$A$1:$A$257,0)))</f>
        <v>14.558089868355971</v>
      </c>
      <c r="K36" s="174">
        <f ca="1">K34*(1-INDEX(Assumptions!$B:$B,MATCH("Starship booster share of manufacturing cost (% of stack mfg)",Assumptions!$A$1:$A$257,0)))</f>
        <v>13.619240191879081</v>
      </c>
      <c r="L36" s="174">
        <f ca="1">L34*(1-INDEX(Assumptions!$B:$B,MATCH("Starship booster share of manufacturing cost (% of stack mfg)",Assumptions!$A$1:$A$257,0)))</f>
        <v>13.126844399668045</v>
      </c>
      <c r="M36" s="174">
        <f ca="1">M34*(1-INDEX(Assumptions!$B:$B,MATCH("Starship booster share of manufacturing cost (% of stack mfg)",Assumptions!$A$1:$A$257,0)))</f>
        <v>12.789796296813952</v>
      </c>
      <c r="N36" s="174">
        <f ca="1">N34*(1-INDEX(Assumptions!$B:$B,MATCH("Starship booster share of manufacturing cost (% of stack mfg)",Assumptions!$A$1:$A$257,0)))</f>
        <v>12.478357740367171</v>
      </c>
      <c r="O36" s="174">
        <f ca="1">O34*(1-INDEX(Assumptions!$B:$B,MATCH("Starship booster share of manufacturing cost (% of stack mfg)",Assumptions!$A$1:$A$257,0)))</f>
        <v>12.194006322942506</v>
      </c>
      <c r="P36" s="174">
        <f ca="1">P34*(1-INDEX(Assumptions!$B:$B,MATCH("Starship booster share of manufacturing cost (% of stack mfg)",Assumptions!$A$1:$A$257,0)))</f>
        <v>12.110239010115784</v>
      </c>
      <c r="Q36" s="174">
        <f ca="1">Q34*(1-INDEX(Assumptions!$B:$B,MATCH("Starship booster share of manufacturing cost (% of stack mfg)",Assumptions!$A$1:$A$257,0)))</f>
        <v>11.992234490349496</v>
      </c>
      <c r="R36" s="174">
        <f ca="1">R34*(1-INDEX(Assumptions!$B:$B,MATCH("Starship booster share of manufacturing cost (% of stack mfg)",Assumptions!$A$1:$A$257,0)))</f>
        <v>11.80736670798867</v>
      </c>
      <c r="S36" s="174">
        <f ca="1">S34*(1-INDEX(Assumptions!$B:$B,MATCH("Starship booster share of manufacturing cost (% of stack mfg)",Assumptions!$A$1:$A$257,0)))</f>
        <v>11.587182553440901</v>
      </c>
    </row>
    <row r="37" spans="1:19">
      <c r="A37" s="5" t="s">
        <v>1671</v>
      </c>
      <c r="B37" s="3"/>
      <c r="C37" s="3"/>
      <c r="D37" s="174">
        <f ca="1">INDEX(Assumptions!$B:$B,MATCH("Starship ops + fuel cost anchor ($mm/launch, 2024 baseline)",Assumptions!$A$1:$A$257,0))*(D33/INDEX(Assumptions!$B:$B,MATCH("Starship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7.568743287997477</v>
      </c>
      <c r="E37" s="174">
        <f ca="1">INDEX(Assumptions!$B:$B,MATCH("Starship ops + fuel cost anchor ($mm/launch, 2024 baseline)",Assumptions!$A$1:$A$257,0))*(E33/INDEX(Assumptions!$B:$B,MATCH("Starship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7.2559814674737027</v>
      </c>
      <c r="F37" s="174">
        <f ca="1">INDEX(Assumptions!$B:$B,MATCH("Starship ops + fuel cost anchor ($mm/launch, 2024 baseline)",Assumptions!$A$1:$A$257,0))*(F33/INDEX(Assumptions!$B:$B,MATCH("Starship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6.6955305058401793</v>
      </c>
      <c r="G37" s="174">
        <f ca="1">INDEX(Assumptions!$B:$B,MATCH("Starship ops + fuel cost anchor ($mm/launch, 2024 baseline)",Assumptions!$A$1:$A$257,0))*(G33/INDEX(Assumptions!$B:$B,MATCH("Starship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6.1886146861835467</v>
      </c>
      <c r="H37" s="174">
        <f ca="1">INDEX(Assumptions!$B:$B,MATCH("Starship ops + fuel cost anchor ($mm/launch, 2024 baseline)",Assumptions!$A$1:$A$257,0))*(H33/INDEX(Assumptions!$B:$B,MATCH("Starship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5.7819727662439258</v>
      </c>
      <c r="I37" s="174">
        <f ca="1">INDEX(Assumptions!$B:$B,MATCH("Starship ops + fuel cost anchor ($mm/launch, 2024 baseline)",Assumptions!$A$1:$A$257,0))*(I33/INDEX(Assumptions!$B:$B,MATCH("Starship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5.4572910953664744</v>
      </c>
      <c r="J37" s="174">
        <f ca="1">INDEX(Assumptions!$B:$B,MATCH("Starship ops + fuel cost anchor ($mm/launch, 2024 baseline)",Assumptions!$A$1:$A$257,0))*(J33/INDEX(Assumptions!$B:$B,MATCH("Starship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5.1930972442653767</v>
      </c>
      <c r="K37" s="174">
        <f ca="1">INDEX(Assumptions!$B:$B,MATCH("Starship ops + fuel cost anchor ($mm/launch, 2024 baseline)",Assumptions!$A$1:$A$257,0))*(K33/INDEX(Assumptions!$B:$B,MATCH("Starship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4.9734445130216018</v>
      </c>
      <c r="L37" s="174">
        <f ca="1">INDEX(Assumptions!$B:$B,MATCH("Starship ops + fuel cost anchor ($mm/launch, 2024 baseline)",Assumptions!$A$1:$A$257,0))*(L33/INDEX(Assumptions!$B:$B,MATCH("Starship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4.8561194614059975</v>
      </c>
      <c r="M37" s="174">
        <f ca="1">INDEX(Assumptions!$B:$B,MATCH("Starship ops + fuel cost anchor ($mm/launch, 2024 baseline)",Assumptions!$A$1:$A$257,0))*(M33/INDEX(Assumptions!$B:$B,MATCH("Starship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4.7749160466736731</v>
      </c>
      <c r="N37" s="174">
        <f ca="1">INDEX(Assumptions!$B:$B,MATCH("Starship ops + fuel cost anchor ($mm/launch, 2024 baseline)",Assumptions!$A$1:$A$257,0))*(N33/INDEX(Assumptions!$B:$B,MATCH("Starship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4.6992110140535326</v>
      </c>
      <c r="O37" s="174">
        <f ca="1">INDEX(Assumptions!$B:$B,MATCH("Starship ops + fuel cost anchor ($mm/launch, 2024 baseline)",Assumptions!$A$1:$A$257,0))*(O33/INDEX(Assumptions!$B:$B,MATCH("Starship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4.6295079730976667</v>
      </c>
      <c r="P37" s="174">
        <f ca="1">INDEX(Assumptions!$B:$B,MATCH("Starship ops + fuel cost anchor ($mm/launch, 2024 baseline)",Assumptions!$A$1:$A$257,0))*(P33/INDEX(Assumptions!$B:$B,MATCH("Starship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4.6088654448524293</v>
      </c>
      <c r="Q37" s="174">
        <f ca="1">INDEX(Assumptions!$B:$B,MATCH("Starship ops + fuel cost anchor ($mm/launch, 2024 baseline)",Assumptions!$A$1:$A$257,0))*(Q33/INDEX(Assumptions!$B:$B,MATCH("Starship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4.5797005300643674</v>
      </c>
      <c r="R37" s="174">
        <f ca="1">INDEX(Assumptions!$B:$B,MATCH("Starship ops + fuel cost anchor ($mm/launch, 2024 baseline)",Assumptions!$A$1:$A$257,0))*(R33/INDEX(Assumptions!$B:$B,MATCH("Starship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4.5338065118766515</v>
      </c>
      <c r="S37" s="174">
        <f ca="1">INDEX(Assumptions!$B:$B,MATCH("Starship ops + fuel cost anchor ($mm/launch, 2024 baseline)",Assumptions!$A$1:$A$257,0))*(S33/INDEX(Assumptions!$B:$B,MATCH("Starship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4.4788139652513435</v>
      </c>
    </row>
    <row r="38" spans="1:19">
      <c r="A38" s="5" t="s">
        <v>1672</v>
      </c>
      <c r="B38" s="3"/>
      <c r="C38" s="3"/>
      <c r="D38" s="174">
        <f ca="1">INDEX(Assumptions!$B:$B,MATCH("Starship booster refurb cost anchor ($mm/flight, 2024 baseline)",Assumptions!$A$1:$A$257,0))*(D33/INDEX(Assumptions!$B:$B,MATCH("Starship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0.90824919455969721</v>
      </c>
      <c r="E38" s="174">
        <f ca="1">INDEX(Assumptions!$B:$B,MATCH("Starship booster refurb cost anchor ($mm/flight, 2024 baseline)",Assumptions!$A$1:$A$257,0))*(E33/INDEX(Assumptions!$B:$B,MATCH("Starship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0.8707177760968442</v>
      </c>
      <c r="F38" s="174">
        <f ca="1">INDEX(Assumptions!$B:$B,MATCH("Starship booster refurb cost anchor ($mm/flight, 2024 baseline)",Assumptions!$A$1:$A$257,0))*(F33/INDEX(Assumptions!$B:$B,MATCH("Starship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0.80346366070082154</v>
      </c>
      <c r="G38" s="174">
        <f ca="1">INDEX(Assumptions!$B:$B,MATCH("Starship booster refurb cost anchor ($mm/flight, 2024 baseline)",Assumptions!$A$1:$A$257,0))*(G33/INDEX(Assumptions!$B:$B,MATCH("Starship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0.74263376234202561</v>
      </c>
      <c r="H38" s="174">
        <f ca="1">INDEX(Assumptions!$B:$B,MATCH("Starship booster refurb cost anchor ($mm/flight, 2024 baseline)",Assumptions!$A$1:$A$257,0))*(H33/INDEX(Assumptions!$B:$B,MATCH("Starship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0.69383673194927109</v>
      </c>
      <c r="I38" s="174">
        <f ca="1">INDEX(Assumptions!$B:$B,MATCH("Starship booster refurb cost anchor ($mm/flight, 2024 baseline)",Assumptions!$A$1:$A$257,0))*(I33/INDEX(Assumptions!$B:$B,MATCH("Starship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0.6548749314439769</v>
      </c>
      <c r="J38" s="174">
        <f ca="1">INDEX(Assumptions!$B:$B,MATCH("Starship booster refurb cost anchor ($mm/flight, 2024 baseline)",Assumptions!$A$1:$A$257,0))*(J33/INDEX(Assumptions!$B:$B,MATCH("Starship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0.6231716693118452</v>
      </c>
      <c r="K38" s="174">
        <f ca="1">INDEX(Assumptions!$B:$B,MATCH("Starship booster refurb cost anchor ($mm/flight, 2024 baseline)",Assumptions!$A$1:$A$257,0))*(K33/INDEX(Assumptions!$B:$B,MATCH("Starship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0.59681334156259214</v>
      </c>
      <c r="L38" s="174">
        <f ca="1">INDEX(Assumptions!$B:$B,MATCH("Starship booster refurb cost anchor ($mm/flight, 2024 baseline)",Assumptions!$A$1:$A$257,0))*(L33/INDEX(Assumptions!$B:$B,MATCH("Starship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0.58273433536871966</v>
      </c>
      <c r="M38" s="174">
        <f ca="1">INDEX(Assumptions!$B:$B,MATCH("Starship booster refurb cost anchor ($mm/flight, 2024 baseline)",Assumptions!$A$1:$A$257,0))*(M33/INDEX(Assumptions!$B:$B,MATCH("Starship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0.57298992560084072</v>
      </c>
      <c r="N38" s="174">
        <f ca="1">INDEX(Assumptions!$B:$B,MATCH("Starship booster refurb cost anchor ($mm/flight, 2024 baseline)",Assumptions!$A$1:$A$257,0))*(N33/INDEX(Assumptions!$B:$B,MATCH("Starship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0.56390532168642393</v>
      </c>
      <c r="O38" s="174">
        <f ca="1">INDEX(Assumptions!$B:$B,MATCH("Starship booster refurb cost anchor ($mm/flight, 2024 baseline)",Assumptions!$A$1:$A$257,0))*(O33/INDEX(Assumptions!$B:$B,MATCH("Starship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0.55554095677172</v>
      </c>
      <c r="P38" s="174">
        <f ca="1">INDEX(Assumptions!$B:$B,MATCH("Starship booster refurb cost anchor ($mm/flight, 2024 baseline)",Assumptions!$A$1:$A$257,0))*(P33/INDEX(Assumptions!$B:$B,MATCH("Starship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0.55306385338229147</v>
      </c>
      <c r="Q38" s="174">
        <f ca="1">INDEX(Assumptions!$B:$B,MATCH("Starship booster refurb cost anchor ($mm/flight, 2024 baseline)",Assumptions!$A$1:$A$257,0))*(Q33/INDEX(Assumptions!$B:$B,MATCH("Starship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0.54956406360772403</v>
      </c>
      <c r="R38" s="174">
        <f ca="1">INDEX(Assumptions!$B:$B,MATCH("Starship booster refurb cost anchor ($mm/flight, 2024 baseline)",Assumptions!$A$1:$A$257,0))*(R33/INDEX(Assumptions!$B:$B,MATCH("Starship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0.5440567814251982</v>
      </c>
      <c r="S38" s="174">
        <f ca="1">INDEX(Assumptions!$B:$B,MATCH("Starship booster refurb cost anchor ($mm/flight, 2024 baseline)",Assumptions!$A$1:$A$257,0))*(S33/INDEX(Assumptions!$B:$B,MATCH("Starship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0.53745767583016113</v>
      </c>
    </row>
    <row r="39" spans="1:19">
      <c r="A39" s="5" t="s">
        <v>1673</v>
      </c>
      <c r="B39" s="3"/>
      <c r="C39" s="3"/>
      <c r="D39" s="174">
        <f ca="1">INDEX(Assumptions!$B:$B,MATCH("Starship ship refurb cost anchor ($mm/flight, 2024 baseline)",Assumptions!$A$1:$A$257,0))*(D33/INDEX(Assumptions!$B:$B,MATCH("Starship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0.60549946303979818</v>
      </c>
      <c r="E39" s="174">
        <f ca="1">INDEX(Assumptions!$B:$B,MATCH("Starship ship refurb cost anchor ($mm/flight, 2024 baseline)",Assumptions!$A$1:$A$257,0))*(E33/INDEX(Assumptions!$B:$B,MATCH("Starship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0.58047851739789624</v>
      </c>
      <c r="F39" s="174">
        <f ca="1">INDEX(Assumptions!$B:$B,MATCH("Starship ship refurb cost anchor ($mm/flight, 2024 baseline)",Assumptions!$A$1:$A$257,0))*(F33/INDEX(Assumptions!$B:$B,MATCH("Starship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0.53564244046721432</v>
      </c>
      <c r="G39" s="174">
        <f ca="1">INDEX(Assumptions!$B:$B,MATCH("Starship ship refurb cost anchor ($mm/flight, 2024 baseline)",Assumptions!$A$1:$A$257,0))*(G33/INDEX(Assumptions!$B:$B,MATCH("Starship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0.49508917489468374</v>
      </c>
      <c r="H39" s="174">
        <f ca="1">INDEX(Assumptions!$B:$B,MATCH("Starship ship refurb cost anchor ($mm/flight, 2024 baseline)",Assumptions!$A$1:$A$257,0))*(H33/INDEX(Assumptions!$B:$B,MATCH("Starship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0.46255782129951406</v>
      </c>
      <c r="I39" s="174">
        <f ca="1">INDEX(Assumptions!$B:$B,MATCH("Starship ship refurb cost anchor ($mm/flight, 2024 baseline)",Assumptions!$A$1:$A$257,0))*(I33/INDEX(Assumptions!$B:$B,MATCH("Starship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0.43658328762931797</v>
      </c>
      <c r="J39" s="174">
        <f ca="1">INDEX(Assumptions!$B:$B,MATCH("Starship ship refurb cost anchor ($mm/flight, 2024 baseline)",Assumptions!$A$1:$A$257,0))*(J33/INDEX(Assumptions!$B:$B,MATCH("Starship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0.41544777954123013</v>
      </c>
      <c r="K39" s="174">
        <f ca="1">INDEX(Assumptions!$B:$B,MATCH("Starship ship refurb cost anchor ($mm/flight, 2024 baseline)",Assumptions!$A$1:$A$257,0))*(K33/INDEX(Assumptions!$B:$B,MATCH("Starship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0.39787556104172817</v>
      </c>
      <c r="L39" s="174">
        <f ca="1">INDEX(Assumptions!$B:$B,MATCH("Starship ship refurb cost anchor ($mm/flight, 2024 baseline)",Assumptions!$A$1:$A$257,0))*(L33/INDEX(Assumptions!$B:$B,MATCH("Starship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0.38848955691247977</v>
      </c>
      <c r="M39" s="174">
        <f ca="1">INDEX(Assumptions!$B:$B,MATCH("Starship ship refurb cost anchor ($mm/flight, 2024 baseline)",Assumptions!$A$1:$A$257,0))*(M33/INDEX(Assumptions!$B:$B,MATCH("Starship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0.38199328373389385</v>
      </c>
      <c r="N39" s="174">
        <f ca="1">INDEX(Assumptions!$B:$B,MATCH("Starship ship refurb cost anchor ($mm/flight, 2024 baseline)",Assumptions!$A$1:$A$257,0))*(N33/INDEX(Assumptions!$B:$B,MATCH("Starship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0.37593688112428264</v>
      </c>
      <c r="O39" s="174">
        <f ca="1">INDEX(Assumptions!$B:$B,MATCH("Starship ship refurb cost anchor ($mm/flight, 2024 baseline)",Assumptions!$A$1:$A$257,0))*(O33/INDEX(Assumptions!$B:$B,MATCH("Starship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0.37036063784781337</v>
      </c>
      <c r="P39" s="174">
        <f ca="1">INDEX(Assumptions!$B:$B,MATCH("Starship ship refurb cost anchor ($mm/flight, 2024 baseline)",Assumptions!$A$1:$A$257,0))*(P33/INDEX(Assumptions!$B:$B,MATCH("Starship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0.36870923558819435</v>
      </c>
      <c r="Q39" s="174">
        <f ca="1">INDEX(Assumptions!$B:$B,MATCH("Starship ship refurb cost anchor ($mm/flight, 2024 baseline)",Assumptions!$A$1:$A$257,0))*(Q33/INDEX(Assumptions!$B:$B,MATCH("Starship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0.36637604240514943</v>
      </c>
      <c r="R39" s="174">
        <f ca="1">INDEX(Assumptions!$B:$B,MATCH("Starship ship refurb cost anchor ($mm/flight, 2024 baseline)",Assumptions!$A$1:$A$257,0))*(R33/INDEX(Assumptions!$B:$B,MATCH("Starship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0.36270452095013217</v>
      </c>
      <c r="S39" s="174">
        <f ca="1">INDEX(Assumptions!$B:$B,MATCH("Starship ship refurb cost anchor ($mm/flight, 2024 baseline)",Assumptions!$A$1:$A$257,0))*(S33/INDEX(Assumptions!$B:$B,MATCH("Starship cost WL anchor cum units (= cum stacks at end-2024 baseline)",Assumptions!$A$1:$A$257,0)))^(LOG(1-INDEX(Assumptions!$B:$B,MATCH("Starship ops/refurb WL learning rate (% reduction per doubling cum stacks)",Assumptions!$A$1:$A$257,0)),2))</f>
        <v>0.35830511722010749</v>
      </c>
    </row>
    <row r="40" spans="1:19">
      <c r="A40" s="5" t="s">
        <v>1674</v>
      </c>
      <c r="B40" s="3"/>
      <c r="C40" s="3"/>
      <c r="D40" s="175">
        <f t="array" aca="1" ref="D40" ca="1">IFERROR(D35/INDEX(Assumptions!$D:$S,MATCH("Lifetime reuses per booster (year cap)",Assumptions!$A$1:$A$257,0),D$5+1)+D36/INDEX(Assumptions!$B:$B,MATCH("Starship ship reuse life (flights per ship)",Assumptions!$A$1:$A$257,0)),0)</f>
        <v>9.1100723394733105</v>
      </c>
      <c r="E40" s="175">
        <f t="array" aca="1" ref="E40" ca="1">IFERROR(E35/INDEX(Assumptions!$D:$S,MATCH("Lifetime reuses per booster (year cap)",Assumptions!$A$1:$A$257,0),E$5+1)+E36/INDEX(Assumptions!$B:$B,MATCH("Starship ship reuse life (flights per ship)",Assumptions!$A$1:$A$257,0)),0)</f>
        <v>5.7922459930600674</v>
      </c>
      <c r="F40" s="175">
        <f t="array" aca="1" ref="F40" ca="1">IFERROR(F35/INDEX(Assumptions!$D:$S,MATCH("Lifetime reuses per booster (year cap)",Assumptions!$A$1:$A$257,0),F$5+1)+F36/INDEX(Assumptions!$B:$B,MATCH("Starship ship reuse life (flights per ship)",Assumptions!$A$1:$A$257,0)),0)</f>
        <v>3.7702559971369842</v>
      </c>
      <c r="G40" s="175">
        <f t="array" aca="1" ref="G40" ca="1">IFERROR(G35/INDEX(Assumptions!$D:$S,MATCH("Lifetime reuses per booster (year cap)",Assumptions!$A$1:$A$257,0),G$5+1)+G36/INDEX(Assumptions!$B:$B,MATCH("Starship ship reuse life (flights per ship)",Assumptions!$A$1:$A$257,0)),0)</f>
        <v>2.5440811132138323</v>
      </c>
      <c r="H40" s="175">
        <f t="array" aca="1" ref="H40" ca="1">IFERROR(H35/INDEX(Assumptions!$D:$S,MATCH("Lifetime reuses per booster (year cap)",Assumptions!$A$1:$A$257,0),H$5+1)+H36/INDEX(Assumptions!$B:$B,MATCH("Starship ship reuse life (flights per ship)",Assumptions!$A$1:$A$257,0)),0)</f>
        <v>1.8899669794004308</v>
      </c>
      <c r="I40" s="175">
        <f t="array" aca="1" ref="I40" ca="1">IFERROR(I35/INDEX(Assumptions!$D:$S,MATCH("Lifetime reuses per booster (year cap)",Assumptions!$A$1:$A$257,0),I$5+1)+I36/INDEX(Assumptions!$B:$B,MATCH("Starship ship reuse life (flights per ship)",Assumptions!$A$1:$A$257,0)),0)</f>
        <v>1.5716157222953884</v>
      </c>
      <c r="J40" s="175">
        <f t="array" aca="1" ref="J40" ca="1">IFERROR(J35/INDEX(Assumptions!$D:$S,MATCH("Lifetime reuses per booster (year cap)",Assumptions!$A$1:$A$257,0),J$5+1)+J36/INDEX(Assumptions!$B:$B,MATCH("Starship ship reuse life (flights per ship)",Assumptions!$A$1:$A$257,0)),0)</f>
        <v>1.3518226306330543</v>
      </c>
      <c r="K40" s="175">
        <f t="array" aca="1" ref="K40" ca="1">IFERROR(K35/INDEX(Assumptions!$D:$S,MATCH("Lifetime reuses per booster (year cap)",Assumptions!$A$1:$A$257,0),K$5+1)+K36/INDEX(Assumptions!$B:$B,MATCH("Starship ship reuse life (flights per ship)",Assumptions!$A$1:$A$257,0)),0)</f>
        <v>1.1673634450182069</v>
      </c>
      <c r="L40" s="175">
        <f t="array" aca="1" ref="L40" ca="1">IFERROR(L35/INDEX(Assumptions!$D:$S,MATCH("Lifetime reuses per booster (year cap)",Assumptions!$A$1:$A$257,0),L$5+1)+L36/INDEX(Assumptions!$B:$B,MATCH("Starship ship reuse life (flights per ship)",Assumptions!$A$1:$A$257,0)),0)</f>
        <v>1.0501475519734436</v>
      </c>
      <c r="M40" s="175">
        <f t="array" aca="1" ref="M40" ca="1">IFERROR(M35/INDEX(Assumptions!$D:$S,MATCH("Lifetime reuses per booster (year cap)",Assumptions!$A$1:$A$257,0),M$5+1)+M36/INDEX(Assumptions!$B:$B,MATCH("Starship ship reuse life (flights per ship)",Assumptions!$A$1:$A$257,0)),0)</f>
        <v>0.97026040872381691</v>
      </c>
      <c r="N40" s="175">
        <f t="array" aca="1" ref="N40" ca="1">IFERROR(N35/INDEX(Assumptions!$D:$S,MATCH("Lifetime reuses per booster (year cap)",Assumptions!$A$1:$A$257,0),N$5+1)+N36/INDEX(Assumptions!$B:$B,MATCH("Starship ship reuse life (flights per ship)",Assumptions!$A$1:$A$257,0)),0)</f>
        <v>0.91187998871913944</v>
      </c>
      <c r="O40" s="175">
        <f t="array" aca="1" ref="O40" ca="1">IFERROR(O35/INDEX(Assumptions!$D:$S,MATCH("Lifetime reuses per booster (year cap)",Assumptions!$A$1:$A$257,0),O$5+1)+O36/INDEX(Assumptions!$B:$B,MATCH("Starship ship reuse life (flights per ship)",Assumptions!$A$1:$A$257,0)),0)</f>
        <v>0.87100045163875039</v>
      </c>
      <c r="P40" s="175">
        <f t="array" aca="1" ref="P40" ca="1">IFERROR(P35/INDEX(Assumptions!$D:$S,MATCH("Lifetime reuses per booster (year cap)",Assumptions!$A$1:$A$257,0),P$5+1)+P36/INDEX(Assumptions!$B:$B,MATCH("Starship ship reuse life (flights per ship)",Assumptions!$A$1:$A$257,0)),0)</f>
        <v>0.84771673070810483</v>
      </c>
      <c r="Q40" s="175">
        <f t="array" aca="1" ref="Q40" ca="1">IFERROR(Q35/INDEX(Assumptions!$D:$S,MATCH("Lifetime reuses per booster (year cap)",Assumptions!$A$1:$A$257,0),Q$5+1)+Q36/INDEX(Assumptions!$B:$B,MATCH("Starship ship reuse life (flights per ship)",Assumptions!$A$1:$A$257,0)),0)</f>
        <v>0.82446612121152785</v>
      </c>
      <c r="R40" s="175">
        <f t="array" aca="1" ref="R40" ca="1">IFERROR(R35/INDEX(Assumptions!$D:$S,MATCH("Lifetime reuses per booster (year cap)",Assumptions!$A$1:$A$257,0),R$5+1)+R36/INDEX(Assumptions!$B:$B,MATCH("Starship ship reuse life (flights per ship)",Assumptions!$A$1:$A$257,0)),0)</f>
        <v>0.7987336302462924</v>
      </c>
      <c r="S40" s="175">
        <f t="array" aca="1" ref="S40" ca="1">IFERROR(S35/INDEX(Assumptions!$D:$S,MATCH("Lifetime reuses per booster (year cap)",Assumptions!$A$1:$A$257,0),S$5+1)+S36/INDEX(Assumptions!$B:$B,MATCH("Starship ship reuse life (flights per ship)",Assumptions!$A$1:$A$257,0)),0)</f>
        <v>0.77247883689606001</v>
      </c>
    </row>
    <row r="41" spans="1:19">
      <c r="A41" s="5" t="s">
        <v>1675</v>
      </c>
      <c r="B41" s="3"/>
      <c r="C41" s="3"/>
      <c r="D41" s="176">
        <f t="shared" ref="D41:S41" ca="1" si="5">D37+D38+D39+D40</f>
        <v>18.192564285070283</v>
      </c>
      <c r="E41" s="176">
        <f t="shared" ca="1" si="5"/>
        <v>14.499423754028511</v>
      </c>
      <c r="F41" s="176">
        <f t="shared" ca="1" si="5"/>
        <v>11.804892604145198</v>
      </c>
      <c r="G41" s="176">
        <f t="shared" ca="1" si="5"/>
        <v>9.9704187366340875</v>
      </c>
      <c r="H41" s="176">
        <f t="shared" ca="1" si="5"/>
        <v>8.8283342988931413</v>
      </c>
      <c r="I41" s="176">
        <f t="shared" ca="1" si="5"/>
        <v>8.1203650367351585</v>
      </c>
      <c r="J41" s="176">
        <f t="shared" ca="1" si="5"/>
        <v>7.5835393237515065</v>
      </c>
      <c r="K41" s="176">
        <f t="shared" ca="1" si="5"/>
        <v>7.13549686064413</v>
      </c>
      <c r="L41" s="176">
        <f t="shared" ca="1" si="5"/>
        <v>6.8774909056606406</v>
      </c>
      <c r="M41" s="176">
        <f t="shared" ca="1" si="5"/>
        <v>6.700159664732225</v>
      </c>
      <c r="N41" s="176">
        <f t="shared" ca="1" si="5"/>
        <v>6.5509332055833784</v>
      </c>
      <c r="O41" s="176">
        <f t="shared" ca="1" si="5"/>
        <v>6.4264100193559504</v>
      </c>
      <c r="P41" s="176">
        <f t="shared" ca="1" si="5"/>
        <v>6.3783552645310202</v>
      </c>
      <c r="Q41" s="176">
        <f t="shared" ca="1" si="5"/>
        <v>6.3201067572887686</v>
      </c>
      <c r="R41" s="176">
        <f t="shared" ca="1" si="5"/>
        <v>6.239301444498274</v>
      </c>
      <c r="S41" s="176">
        <f t="shared" ca="1" si="5"/>
        <v>6.1470555951976724</v>
      </c>
    </row>
    <row r="42" spans="1:19">
      <c r="A42" s="5" t="s">
        <v>1676</v>
      </c>
      <c r="B42" s="3"/>
      <c r="C42" s="3"/>
      <c r="D42" s="175">
        <f t="array" aca="1" ref="D42" ca="1">D37+D38+IFERROR(D35/INDEX(Assumptions!$D:$S,MATCH("Lifetime reuses per booster (year cap)",Assumptions!$A$1:$A$257,0),D$5+1),0)+D36</f>
        <v>42.31440402917233</v>
      </c>
      <c r="E42" s="175">
        <f t="array" aca="1" ref="E42" ca="1">E37+E38+IFERROR(E35/INDEX(Assumptions!$D:$S,MATCH("Lifetime reuses per booster (year cap)",Assumptions!$A$1:$A$257,0),E$5+1),0)+E36</f>
        <v>37.087929208870882</v>
      </c>
      <c r="F42" s="175">
        <f t="array" aca="1" ref="F42" ca="1">F37+F38+IFERROR(F35/INDEX(Assumptions!$D:$S,MATCH("Lifetime reuses per booster (year cap)",Assumptions!$A$1:$A$257,0),F$5+1),0)+F36</f>
        <v>31.736354148135899</v>
      </c>
      <c r="G42" s="175">
        <f t="array" aca="1" ref="G42" ca="1">G37+G38+IFERROR(G35/INDEX(Assumptions!$D:$S,MATCH("Lifetime reuses per booster (year cap)",Assumptions!$A$1:$A$257,0),G$5+1),0)+G36</f>
        <v>27.601907493387959</v>
      </c>
      <c r="H42" s="175">
        <f t="array" aca="1" ref="H42" ca="1">H37+H38+IFERROR(H35/INDEX(Assumptions!$D:$S,MATCH("Lifetime reuses per booster (year cap)",Assumptions!$A$1:$A$257,0),H$5+1),0)+H36</f>
        <v>24.688218572415533</v>
      </c>
      <c r="I42" s="175">
        <f t="array" aca="1" ref="I42" ca="1">I37+I38+IFERROR(I35/INDEX(Assumptions!$D:$S,MATCH("Lifetime reuses per booster (year cap)",Assumptions!$A$1:$A$257,0),I$5+1),0)+I36</f>
        <v>22.61413111091203</v>
      </c>
      <c r="J42" s="175">
        <f t="array" aca="1" ref="J42" ca="1">J37+J38+IFERROR(J35/INDEX(Assumptions!$D:$S,MATCH("Lifetime reuses per booster (year cap)",Assumptions!$A$1:$A$257,0),J$5+1),0)+J36</f>
        <v>20.998276919148449</v>
      </c>
      <c r="K42" s="175">
        <f t="array" aca="1" ref="K42" ca="1">K37+K38+IFERROR(K35/INDEX(Assumptions!$D:$S,MATCH("Lifetime reuses per booster (year cap)",Assumptions!$A$1:$A$257,0),K$5+1),0)+K36</f>
        <v>19.675899481887527</v>
      </c>
      <c r="L42" s="175">
        <f t="array" aca="1" ref="L42" ca="1">L37+L38+IFERROR(L35/INDEX(Assumptions!$D:$S,MATCH("Lifetime reuses per booster (year cap)",Assumptions!$A$1:$A$257,0),L$5+1),0)+L36</f>
        <v>18.959503528432805</v>
      </c>
      <c r="M42" s="175">
        <f t="array" aca="1" ref="M42" ca="1">M37+M38+IFERROR(M35/INDEX(Assumptions!$D:$S,MATCH("Lifetime reuses per booster (year cap)",Assumptions!$A$1:$A$257,0),M$5+1),0)+M36</f>
        <v>18.468472862971588</v>
      </c>
      <c r="N42" s="175">
        <f t="array" aca="1" ref="N42" ca="1">N37+N38+IFERROR(N35/INDEX(Assumptions!$D:$S,MATCH("Lifetime reuses per booster (year cap)",Assumptions!$A$1:$A$257,0),N$5+1),0)+N36</f>
        <v>18.029436177807909</v>
      </c>
      <c r="O42" s="175">
        <f t="array" aca="1" ref="O42" ca="1">O37+O38+IFERROR(O35/INDEX(Assumptions!$D:$S,MATCH("Lifetime reuses per booster (year cap)",Assumptions!$A$1:$A$257,0),O$5+1),0)+O36</f>
        <v>17.640355388303519</v>
      </c>
      <c r="P42" s="175">
        <f t="array" aca="1" ref="P42" ca="1">P37+P38+IFERROR(P35/INDEX(Assumptions!$D:$S,MATCH("Lifetime reuses per booster (year cap)",Assumptions!$A$1:$A$257,0),P$5+1),0)+P36</f>
        <v>17.514373088552819</v>
      </c>
      <c r="Q42" s="175">
        <f t="array" aca="1" ref="Q42" ca="1">Q37+Q38+IFERROR(Q35/INDEX(Assumptions!$D:$S,MATCH("Lifetime reuses per booster (year cap)",Assumptions!$A$1:$A$257,0),Q$5+1),0)+Q36</f>
        <v>17.346353480715642</v>
      </c>
      <c r="R42" s="175">
        <f t="array" aca="1" ref="R42" ca="1">R37+R38+IFERROR(R35/INDEX(Assumptions!$D:$S,MATCH("Lifetime reuses per booster (year cap)",Assumptions!$A$1:$A$257,0),R$5+1),0)+R36</f>
        <v>17.09359529613738</v>
      </c>
      <c r="S42" s="175">
        <f t="array" aca="1" ref="S42" ca="1">S37+S38+IFERROR(S35/INDEX(Assumptions!$D:$S,MATCH("Lifetime reuses per booster (year cap)",Assumptions!$A$1:$A$257,0),S$5+1),0)+S36</f>
        <v>16.79657390374642</v>
      </c>
    </row>
    <row r="43" spans="1:19">
      <c r="A43" s="5" t="s">
        <v>1677</v>
      </c>
      <c r="B43" s="3"/>
      <c r="C43" s="3"/>
      <c r="D43" s="176">
        <f t="shared" ref="D43:S43" ca="1" si="6">D37+D35+D36</f>
        <v>72.640688569949702</v>
      </c>
      <c r="E43" s="176">
        <f t="shared" ca="1" si="6"/>
        <v>68.226991920737561</v>
      </c>
      <c r="F43" s="176">
        <f t="shared" ca="1" si="6"/>
        <v>60.556330464939954</v>
      </c>
      <c r="G43" s="176">
        <f t="shared" ca="1" si="6"/>
        <v>53.890135558942902</v>
      </c>
      <c r="H43" s="176">
        <f t="shared" ca="1" si="6"/>
        <v>48.735767752617356</v>
      </c>
      <c r="I43" s="176">
        <f t="shared" ca="1" si="6"/>
        <v>44.747684152751191</v>
      </c>
      <c r="J43" s="176">
        <f t="shared" ca="1" si="6"/>
        <v>41.588321915155305</v>
      </c>
      <c r="K43" s="176">
        <f t="shared" ca="1" si="6"/>
        <v>39.021544992719299</v>
      </c>
      <c r="L43" s="176">
        <f t="shared" ca="1" si="6"/>
        <v>37.673230460576107</v>
      </c>
      <c r="M43" s="176">
        <f t="shared" ca="1" si="6"/>
        <v>36.749406788708555</v>
      </c>
      <c r="N43" s="176">
        <f t="shared" ca="1" si="6"/>
        <v>35.895105364971457</v>
      </c>
      <c r="O43" s="176">
        <f t="shared" ca="1" si="6"/>
        <v>35.114523780453929</v>
      </c>
      <c r="P43" s="176">
        <f t="shared" ca="1" si="6"/>
        <v>34.884462970141882</v>
      </c>
      <c r="Q43" s="176">
        <f t="shared" ca="1" si="6"/>
        <v>34.560286755938108</v>
      </c>
      <c r="R43" s="176">
        <f t="shared" ca="1" si="6"/>
        <v>34.052223281848327</v>
      </c>
      <c r="S43" s="176">
        <f t="shared" ca="1" si="6"/>
        <v>33.44677034885359</v>
      </c>
    </row>
    <row r="44" spans="1:19">
      <c r="A44" s="5" t="s">
        <v>1678</v>
      </c>
      <c r="B44" s="3"/>
      <c r="C44" s="3"/>
      <c r="D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(kg-to-LEO)",Assumptions!$A:$A,0)))^MAX(0,MIN(1,(D$4-$D$4)/MAX(1,INDEX(Assumptions!$B:$B,MATCH("Starship payload ramp plateau year",Assumptions!$A:$A,0))-$D$4))))</f>
        <v>100000</v>
      </c>
      <c r="E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(kg-to-LEO)",Assumptions!$A:$A,0)))^MAX(0,MIN(1,(E$4-$D$4)/MAX(1,INDEX(Assumptions!$B:$B,MATCH("Starship payload ramp plateau year",Assumptions!$A:$A,0))-$D$4))))</f>
        <v>114869.83549970351</v>
      </c>
      <c r="F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(kg-to-LEO)",Assumptions!$A:$A,0)))^MAX(0,MIN(1,(F$4-$D$4)/MAX(1,INDEX(Assumptions!$B:$B,MATCH("Starship payload ramp plateau year",Assumptions!$A:$A,0))-$D$4))))</f>
        <v>131950.79107728941</v>
      </c>
      <c r="G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(kg-to-LEO)",Assumptions!$A:$A,0)))^MAX(0,MIN(1,(G$4-$D$4)/MAX(1,INDEX(Assumptions!$B:$B,MATCH("Starship payload ramp plateau year",Assumptions!$A:$A,0))-$D$4))))</f>
        <v>151571.65665103981</v>
      </c>
      <c r="H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(kg-to-LEO)",Assumptions!$A:$A,0)))^MAX(0,MIN(1,(H$4-$D$4)/MAX(1,INDEX(Assumptions!$B:$B,MATCH("Starship payload ramp plateau year",Assumptions!$A:$A,0))-$D$4))))</f>
        <v>174110.11265922483</v>
      </c>
      <c r="I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(kg-to-LEO)",Assumptions!$A:$A,0)))^MAX(0,MIN(1,(I$4-$D$4)/MAX(1,INDEX(Assumptions!$B:$B,MATCH("Starship payload ramp plateau year",Assumptions!$A:$A,0))-$D$4))))</f>
        <v>200000</v>
      </c>
      <c r="J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(kg-to-LEO)",Assumptions!$A:$A,0)))^MAX(0,MIN(1,(J$4-$D$4)/MAX(1,INDEX(Assumptions!$B:$B,MATCH("Starship payload ramp plateau year",Assumptions!$A:$A,0))-$D$4))))</f>
        <v>200000</v>
      </c>
      <c r="K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(kg-to-LEO)",Assumptions!$A:$A,0)))^MAX(0,MIN(1,(K$4-$D$4)/MAX(1,INDEX(Assumptions!$B:$B,MATCH("Starship payload ramp plateau year",Assumptions!$A:$A,0))-$D$4))))</f>
        <v>200000</v>
      </c>
      <c r="L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(kg-to-LEO)",Assumptions!$A:$A,0)))^MAX(0,MIN(1,(L$4-$D$4)/MAX(1,INDEX(Assumptions!$B:$B,MATCH("Starship payload ramp plateau year",Assumptions!$A:$A,0))-$D$4))))</f>
        <v>200000</v>
      </c>
      <c r="M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(kg-to-LEO)",Assumptions!$A:$A,0)))^MAX(0,MIN(1,(M$4-$D$4)/MAX(1,INDEX(Assumptions!$B:$B,MATCH("Starship payload ramp plateau year",Assumptions!$A:$A,0))-$D$4))))</f>
        <v>200000</v>
      </c>
      <c r="N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(kg-to-LEO)",Assumptions!$A:$A,0)))^MAX(0,MIN(1,(N$4-$D$4)/MAX(1,INDEX(Assumptions!$B:$B,MATCH("Starship payload ramp plateau year",Assumptions!$A:$A,0))-$D$4))))</f>
        <v>200000</v>
      </c>
      <c r="O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(kg-to-LEO)",Assumptions!$A:$A,0)))^MAX(0,MIN(1,(O$4-$D$4)/MAX(1,INDEX(Assumptions!$B:$B,MATCH("Starship payload ramp plateau year",Assumptions!$A:$A,0))-$D$4))))</f>
        <v>200000</v>
      </c>
      <c r="P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(kg-to-LEO)",Assumptions!$A:$A,0)))^MAX(0,MIN(1,(P$4-$D$4)/MAX(1,INDEX(Assumptions!$B:$B,MATCH("Starship payload ramp plateau year",Assumptions!$A:$A,0))-$D$4))))</f>
        <v>200000</v>
      </c>
      <c r="Q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(kg-to-LEO)",Assumptions!$A:$A,0)))^MAX(0,MIN(1,(Q$4-$D$4)/MAX(1,INDEX(Assumptions!$B:$B,MATCH("Starship payload ramp plateau year",Assumptions!$A:$A,0))-$D$4))))</f>
        <v>200000</v>
      </c>
      <c r="R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(kg-to-LEO)",Assumptions!$A:$A,0)))^MAX(0,MIN(1,(R$4-$D$4)/MAX(1,INDEX(Assumptions!$B:$B,MATCH("Starship payload ramp plateau year",Assumptions!$A:$A,0))-$D$4))))</f>
        <v>200000</v>
      </c>
      <c r="S44" s="70">
        <f>MIN(INDEX(Assumptions!$B:$B,MATCH("Starship payload max cap (kg-to-LEO, fully reusable)",Assumptions!$A:$A,0)),INDEX(Assumptions!$B:$B,MATCH("Payload: fully reusable mode (kg-to-LEO)",Assumptions!$A:$A,0))*(INDEX(Assumptions!$B:$B,MATCH("Starship payload ramp 2030 anchor (kg-to-LEO, fully reusable)",Assumptions!$A:$A,0))/INDEX(Assumptions!$B:$B,MATCH("Payload: fully reusable mode (kg-to-LEO)",Assumptions!$A:$A,0)))^MAX(0,MIN(1,(S$4-$D$4)/MAX(1,INDEX(Assumptions!$B:$B,MATCH("Starship payload ramp plateau year",Assumptions!$A:$A,0))-$D$4))))</f>
        <v>200000</v>
      </c>
    </row>
    <row r="45" spans="1:19">
      <c r="A45" s="5" t="s">
        <v>1679</v>
      </c>
      <c r="B45" s="3"/>
      <c r="C45" s="3"/>
      <c r="D45" s="70">
        <f>D44+(INDEX(Assumptions!$B:$B,MATCH("Payload: booster-only mode (kg-to-LEO)",Assumptions!$A$1:$A$257,0))-INDEX(Assumptions!$B:$B,MATCH("Payload: fully reusable mode (kg-to-LEO)",Assumptions!$A$1:$A$257,0)))</f>
        <v>150000</v>
      </c>
      <c r="E45" s="70">
        <f>E44+(INDEX(Assumptions!$B:$B,MATCH("Payload: booster-only mode (kg-to-LEO)",Assumptions!$A$1:$A$257,0))-INDEX(Assumptions!$B:$B,MATCH("Payload: fully reusable mode (kg-to-LEO)",Assumptions!$A$1:$A$257,0)))</f>
        <v>164869.83549970351</v>
      </c>
      <c r="F45" s="70">
        <f>F44+(INDEX(Assumptions!$B:$B,MATCH("Payload: booster-only mode (kg-to-LEO)",Assumptions!$A$1:$A$257,0))-INDEX(Assumptions!$B:$B,MATCH("Payload: fully reusable mode (kg-to-LEO)",Assumptions!$A$1:$A$257,0)))</f>
        <v>181950.79107728941</v>
      </c>
      <c r="G45" s="70">
        <f>G44+(INDEX(Assumptions!$B:$B,MATCH("Payload: booster-only mode (kg-to-LEO)",Assumptions!$A$1:$A$257,0))-INDEX(Assumptions!$B:$B,MATCH("Payload: fully reusable mode (kg-to-LEO)",Assumptions!$A$1:$A$257,0)))</f>
        <v>201571.65665103981</v>
      </c>
      <c r="H45" s="70">
        <f>H44+(INDEX(Assumptions!$B:$B,MATCH("Payload: booster-only mode (kg-to-LEO)",Assumptions!$A$1:$A$257,0))-INDEX(Assumptions!$B:$B,MATCH("Payload: fully reusable mode (kg-to-LEO)",Assumptions!$A$1:$A$257,0)))</f>
        <v>224110.11265922483</v>
      </c>
      <c r="I45" s="70">
        <f>I44+(INDEX(Assumptions!$B:$B,MATCH("Payload: booster-only mode (kg-to-LEO)",Assumptions!$A$1:$A$257,0))-INDEX(Assumptions!$B:$B,MATCH("Payload: fully reusable mode (kg-to-LEO)",Assumptions!$A$1:$A$257,0)))</f>
        <v>250000</v>
      </c>
      <c r="J45" s="70">
        <f>J44+(INDEX(Assumptions!$B:$B,MATCH("Payload: booster-only mode (kg-to-LEO)",Assumptions!$A$1:$A$257,0))-INDEX(Assumptions!$B:$B,MATCH("Payload: fully reusable mode (kg-to-LEO)",Assumptions!$A$1:$A$257,0)))</f>
        <v>250000</v>
      </c>
      <c r="K45" s="70">
        <f>K44+(INDEX(Assumptions!$B:$B,MATCH("Payload: booster-only mode (kg-to-LEO)",Assumptions!$A$1:$A$257,0))-INDEX(Assumptions!$B:$B,MATCH("Payload: fully reusable mode (kg-to-LEO)",Assumptions!$A$1:$A$257,0)))</f>
        <v>250000</v>
      </c>
      <c r="L45" s="70">
        <f>L44+(INDEX(Assumptions!$B:$B,MATCH("Payload: booster-only mode (kg-to-LEO)",Assumptions!$A$1:$A$257,0))-INDEX(Assumptions!$B:$B,MATCH("Payload: fully reusable mode (kg-to-LEO)",Assumptions!$A$1:$A$257,0)))</f>
        <v>250000</v>
      </c>
      <c r="M45" s="70">
        <f>M44+(INDEX(Assumptions!$B:$B,MATCH("Payload: booster-only mode (kg-to-LEO)",Assumptions!$A$1:$A$257,0))-INDEX(Assumptions!$B:$B,MATCH("Payload: fully reusable mode (kg-to-LEO)",Assumptions!$A$1:$A$257,0)))</f>
        <v>250000</v>
      </c>
      <c r="N45" s="70">
        <f>N44+(INDEX(Assumptions!$B:$B,MATCH("Payload: booster-only mode (kg-to-LEO)",Assumptions!$A$1:$A$257,0))-INDEX(Assumptions!$B:$B,MATCH("Payload: fully reusable mode (kg-to-LEO)",Assumptions!$A$1:$A$257,0)))</f>
        <v>250000</v>
      </c>
      <c r="O45" s="70">
        <f>O44+(INDEX(Assumptions!$B:$B,MATCH("Payload: booster-only mode (kg-to-LEO)",Assumptions!$A$1:$A$257,0))-INDEX(Assumptions!$B:$B,MATCH("Payload: fully reusable mode (kg-to-LEO)",Assumptions!$A$1:$A$257,0)))</f>
        <v>250000</v>
      </c>
      <c r="P45" s="70">
        <f>P44+(INDEX(Assumptions!$B:$B,MATCH("Payload: booster-only mode (kg-to-LEO)",Assumptions!$A$1:$A$257,0))-INDEX(Assumptions!$B:$B,MATCH("Payload: fully reusable mode (kg-to-LEO)",Assumptions!$A$1:$A$257,0)))</f>
        <v>250000</v>
      </c>
      <c r="Q45" s="70">
        <f>Q44+(INDEX(Assumptions!$B:$B,MATCH("Payload: booster-only mode (kg-to-LEO)",Assumptions!$A$1:$A$257,0))-INDEX(Assumptions!$B:$B,MATCH("Payload: fully reusable mode (kg-to-LEO)",Assumptions!$A$1:$A$257,0)))</f>
        <v>250000</v>
      </c>
      <c r="R45" s="70">
        <f>R44+(INDEX(Assumptions!$B:$B,MATCH("Payload: booster-only mode (kg-to-LEO)",Assumptions!$A$1:$A$257,0))-INDEX(Assumptions!$B:$B,MATCH("Payload: fully reusable mode (kg-to-LEO)",Assumptions!$A$1:$A$257,0)))</f>
        <v>250000</v>
      </c>
      <c r="S45" s="70">
        <f>S44+(INDEX(Assumptions!$B:$B,MATCH("Payload: booster-only mode (kg-to-LEO)",Assumptions!$A$1:$A$257,0))-INDEX(Assumptions!$B:$B,MATCH("Payload: fully reusable mode (kg-to-LEO)",Assumptions!$A$1:$A$257,0)))</f>
        <v>250000</v>
      </c>
    </row>
    <row r="46" spans="1:19">
      <c r="A46" s="5" t="s">
        <v>1680</v>
      </c>
      <c r="B46" s="3"/>
      <c r="C46" s="3"/>
      <c r="D46" s="29">
        <f t="shared" ref="D46:S46" si="7">D45</f>
        <v>150000</v>
      </c>
      <c r="E46" s="29">
        <f t="shared" si="7"/>
        <v>164869.83549970351</v>
      </c>
      <c r="F46" s="29">
        <f t="shared" si="7"/>
        <v>181950.79107728941</v>
      </c>
      <c r="G46" s="29">
        <f t="shared" si="7"/>
        <v>201571.65665103981</v>
      </c>
      <c r="H46" s="29">
        <f t="shared" si="7"/>
        <v>224110.11265922483</v>
      </c>
      <c r="I46" s="29">
        <f t="shared" si="7"/>
        <v>250000</v>
      </c>
      <c r="J46" s="29">
        <f t="shared" si="7"/>
        <v>250000</v>
      </c>
      <c r="K46" s="29">
        <f t="shared" si="7"/>
        <v>250000</v>
      </c>
      <c r="L46" s="29">
        <f t="shared" si="7"/>
        <v>250000</v>
      </c>
      <c r="M46" s="29">
        <f t="shared" si="7"/>
        <v>250000</v>
      </c>
      <c r="N46" s="29">
        <f t="shared" si="7"/>
        <v>250000</v>
      </c>
      <c r="O46" s="29">
        <f t="shared" si="7"/>
        <v>250000</v>
      </c>
      <c r="P46" s="29">
        <f t="shared" si="7"/>
        <v>250000</v>
      </c>
      <c r="Q46" s="29">
        <f t="shared" si="7"/>
        <v>250000</v>
      </c>
      <c r="R46" s="29">
        <f t="shared" si="7"/>
        <v>250000</v>
      </c>
      <c r="S46" s="29">
        <f t="shared" si="7"/>
        <v>250000</v>
      </c>
    </row>
    <row r="47" spans="1:19">
      <c r="A47" s="5" t="s">
        <v>1681</v>
      </c>
      <c r="B47" s="3"/>
      <c r="C47" s="3"/>
      <c r="D47" s="29">
        <f t="shared" ref="D47:S47" ca="1" si="8">IFERROR(D41*1000000/D44,0)</f>
        <v>181.92564285070281</v>
      </c>
      <c r="E47" s="29">
        <f t="shared" ca="1" si="8"/>
        <v>126.22481516538721</v>
      </c>
      <c r="F47" s="29">
        <f t="shared" ca="1" si="8"/>
        <v>89.464356429894778</v>
      </c>
      <c r="G47" s="29">
        <f t="shared" ca="1" si="8"/>
        <v>65.780231983534819</v>
      </c>
      <c r="H47" s="29">
        <f t="shared" ca="1" si="8"/>
        <v>50.705465432512263</v>
      </c>
      <c r="I47" s="29">
        <f t="shared" ca="1" si="8"/>
        <v>40.601825183675793</v>
      </c>
      <c r="J47" s="29">
        <f t="shared" ca="1" si="8"/>
        <v>37.917696618757532</v>
      </c>
      <c r="K47" s="29">
        <f t="shared" ca="1" si="8"/>
        <v>35.677484303220652</v>
      </c>
      <c r="L47" s="29">
        <f t="shared" ca="1" si="8"/>
        <v>34.387454528303202</v>
      </c>
      <c r="M47" s="29">
        <f t="shared" ca="1" si="8"/>
        <v>33.50079832366113</v>
      </c>
      <c r="N47" s="29">
        <f t="shared" ca="1" si="8"/>
        <v>32.75466602791689</v>
      </c>
      <c r="O47" s="29">
        <f t="shared" ca="1" si="8"/>
        <v>32.13205009677975</v>
      </c>
      <c r="P47" s="29">
        <f t="shared" ca="1" si="8"/>
        <v>31.891776322655101</v>
      </c>
      <c r="Q47" s="29">
        <f t="shared" ca="1" si="8"/>
        <v>31.600533786443844</v>
      </c>
      <c r="R47" s="29">
        <f t="shared" ca="1" si="8"/>
        <v>31.196507222491366</v>
      </c>
      <c r="S47" s="29">
        <f t="shared" ca="1" si="8"/>
        <v>30.73527797598836</v>
      </c>
    </row>
    <row r="48" spans="1:19">
      <c r="A48" s="5" t="s">
        <v>1682</v>
      </c>
      <c r="B48" s="3"/>
      <c r="C48" s="3"/>
      <c r="D48" s="29">
        <f t="shared" ref="D48:S48" ca="1" si="9">IFERROR(D42*1000000/D45,0)</f>
        <v>282.09602686114886</v>
      </c>
      <c r="E48" s="29">
        <f t="shared" ca="1" si="9"/>
        <v>224.95278834033638</v>
      </c>
      <c r="F48" s="29">
        <f t="shared" ca="1" si="9"/>
        <v>174.42273243349004</v>
      </c>
      <c r="G48" s="29">
        <f t="shared" ca="1" si="9"/>
        <v>136.93347542989287</v>
      </c>
      <c r="H48" s="29">
        <f t="shared" ca="1" si="9"/>
        <v>110.16110910602104</v>
      </c>
      <c r="I48" s="29">
        <f t="shared" ca="1" si="9"/>
        <v>90.456524443648121</v>
      </c>
      <c r="J48" s="29">
        <f t="shared" ca="1" si="9"/>
        <v>83.993107676593795</v>
      </c>
      <c r="K48" s="29">
        <f t="shared" ca="1" si="9"/>
        <v>78.703597927550106</v>
      </c>
      <c r="L48" s="29">
        <f t="shared" ca="1" si="9"/>
        <v>75.838014113731219</v>
      </c>
      <c r="M48" s="29">
        <f t="shared" ca="1" si="9"/>
        <v>73.873891451886351</v>
      </c>
      <c r="N48" s="29">
        <f t="shared" ca="1" si="9"/>
        <v>72.117744711231637</v>
      </c>
      <c r="O48" s="29">
        <f t="shared" ca="1" si="9"/>
        <v>70.561421553214075</v>
      </c>
      <c r="P48" s="29">
        <f t="shared" ca="1" si="9"/>
        <v>70.057492354211277</v>
      </c>
      <c r="Q48" s="29">
        <f t="shared" ca="1" si="9"/>
        <v>69.385413922862568</v>
      </c>
      <c r="R48" s="29">
        <f t="shared" ca="1" si="9"/>
        <v>68.37438118454952</v>
      </c>
      <c r="S48" s="29">
        <f t="shared" ca="1" si="9"/>
        <v>67.186295614985681</v>
      </c>
    </row>
    <row r="49" spans="1:19">
      <c r="A49" s="5" t="s">
        <v>1683</v>
      </c>
      <c r="B49" s="3"/>
      <c r="C49" s="3"/>
      <c r="D49" s="29">
        <f t="shared" ref="D49:S49" ca="1" si="10">IFERROR(D43*1000000/D46,0)</f>
        <v>484.27125713299802</v>
      </c>
      <c r="E49" s="29">
        <f t="shared" ca="1" si="10"/>
        <v>413.82337596170078</v>
      </c>
      <c r="F49" s="29">
        <f t="shared" ca="1" si="10"/>
        <v>332.81707711409024</v>
      </c>
      <c r="G49" s="29">
        <f t="shared" ca="1" si="10"/>
        <v>267.34976759275895</v>
      </c>
      <c r="H49" s="29">
        <f t="shared" ca="1" si="10"/>
        <v>217.46349227320908</v>
      </c>
      <c r="I49" s="29">
        <f t="shared" ca="1" si="10"/>
        <v>178.99073661100476</v>
      </c>
      <c r="J49" s="29">
        <f t="shared" ca="1" si="10"/>
        <v>166.35328766062122</v>
      </c>
      <c r="K49" s="29">
        <f t="shared" ca="1" si="10"/>
        <v>156.0861799708772</v>
      </c>
      <c r="L49" s="29">
        <f t="shared" ca="1" si="10"/>
        <v>150.69292184230443</v>
      </c>
      <c r="M49" s="29">
        <f t="shared" ca="1" si="10"/>
        <v>146.99762715483422</v>
      </c>
      <c r="N49" s="29">
        <f t="shared" ca="1" si="10"/>
        <v>143.58042145988583</v>
      </c>
      <c r="O49" s="29">
        <f t="shared" ca="1" si="10"/>
        <v>140.45809512181572</v>
      </c>
      <c r="P49" s="29">
        <f t="shared" ca="1" si="10"/>
        <v>139.53785188056753</v>
      </c>
      <c r="Q49" s="29">
        <f t="shared" ca="1" si="10"/>
        <v>138.24114702375243</v>
      </c>
      <c r="R49" s="29">
        <f t="shared" ca="1" si="10"/>
        <v>136.20889312739331</v>
      </c>
      <c r="S49" s="29">
        <f t="shared" ca="1" si="10"/>
        <v>133.78708139541436</v>
      </c>
    </row>
    <row r="50" spans="1:19">
      <c r="A50" s="5" t="s">
        <v>1684</v>
      </c>
      <c r="B50" s="3"/>
      <c r="C50" s="3"/>
      <c r="D50" s="176">
        <f t="shared" ref="D50:S50" ca="1" si="11">D34</f>
        <v>65.071945281952225</v>
      </c>
      <c r="E50" s="176">
        <f t="shared" ca="1" si="11"/>
        <v>60.971010453263865</v>
      </c>
      <c r="F50" s="176">
        <f t="shared" ca="1" si="11"/>
        <v>53.860799959099772</v>
      </c>
      <c r="G50" s="176">
        <f t="shared" ca="1" si="11"/>
        <v>47.701520872759353</v>
      </c>
      <c r="H50" s="176">
        <f t="shared" ca="1" si="11"/>
        <v>42.953794986373431</v>
      </c>
      <c r="I50" s="176">
        <f t="shared" ca="1" si="11"/>
        <v>39.290393057384712</v>
      </c>
      <c r="J50" s="176">
        <f t="shared" ca="1" si="11"/>
        <v>36.395224670889924</v>
      </c>
      <c r="K50" s="176">
        <f t="shared" ca="1" si="11"/>
        <v>34.048100479697702</v>
      </c>
      <c r="L50" s="176">
        <f t="shared" ca="1" si="11"/>
        <v>32.817110999170112</v>
      </c>
      <c r="M50" s="176">
        <f t="shared" ca="1" si="11"/>
        <v>31.974490742034877</v>
      </c>
      <c r="N50" s="176">
        <f t="shared" ca="1" si="11"/>
        <v>31.195894350917925</v>
      </c>
      <c r="O50" s="176">
        <f t="shared" ca="1" si="11"/>
        <v>30.485015807356262</v>
      </c>
      <c r="P50" s="176">
        <f t="shared" ca="1" si="11"/>
        <v>30.275597525289456</v>
      </c>
      <c r="Q50" s="176">
        <f t="shared" ca="1" si="11"/>
        <v>29.98058622587374</v>
      </c>
      <c r="R50" s="176">
        <f t="shared" ca="1" si="11"/>
        <v>29.518416769971672</v>
      </c>
      <c r="S50" s="176">
        <f t="shared" ca="1" si="11"/>
        <v>28.96795638360225</v>
      </c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173" t="s">
        <v>1685</v>
      </c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</row>
    <row r="53" spans="1:19">
      <c r="A53" s="5" t="s">
        <v>1686</v>
      </c>
      <c r="B53" s="3"/>
      <c r="C53" s="3"/>
      <c r="D53" s="29">
        <f ca="1">D20*D44</f>
        <v>0</v>
      </c>
      <c r="E53" s="29">
        <f t="shared" ref="E53:S53" ca="1" si="12">D53+E20*E44</f>
        <v>0</v>
      </c>
      <c r="F53" s="29">
        <f t="shared" ca="1" si="12"/>
        <v>8048998.255714654</v>
      </c>
      <c r="G53" s="29">
        <f t="shared" ca="1" si="12"/>
        <v>27298598.650396712</v>
      </c>
      <c r="H53" s="29">
        <f t="shared" ca="1" si="12"/>
        <v>81446843.687415645</v>
      </c>
      <c r="I53" s="29">
        <f t="shared" ca="1" si="12"/>
        <v>198320163.83279738</v>
      </c>
      <c r="J53" s="29">
        <f t="shared" ca="1" si="12"/>
        <v>318840731.77970278</v>
      </c>
      <c r="K53" s="29">
        <f t="shared" ca="1" si="12"/>
        <v>526979139.12961841</v>
      </c>
      <c r="L53" s="29">
        <f t="shared" ca="1" si="12"/>
        <v>656658820.04877687</v>
      </c>
      <c r="M53" s="29">
        <f t="shared" ca="1" si="12"/>
        <v>886058964.83689213</v>
      </c>
      <c r="N53" s="29">
        <f t="shared" ca="1" si="12"/>
        <v>1166293260.037205</v>
      </c>
      <c r="O53" s="29">
        <f t="shared" ca="1" si="12"/>
        <v>1550377402.0622048</v>
      </c>
      <c r="P53" s="29">
        <f t="shared" ca="1" si="12"/>
        <v>1851577664.1505084</v>
      </c>
      <c r="Q53" s="29">
        <f t="shared" ca="1" si="12"/>
        <v>2117437155.1247828</v>
      </c>
      <c r="R53" s="29">
        <f t="shared" ca="1" si="12"/>
        <v>2365439773.5993805</v>
      </c>
      <c r="S53" s="29">
        <f t="shared" ca="1" si="12"/>
        <v>2538433342.6096716</v>
      </c>
    </row>
    <row r="54" spans="1:19">
      <c r="A54" s="5" t="s">
        <v>1687</v>
      </c>
      <c r="B54" s="3"/>
      <c r="C54" s="3"/>
      <c r="D54" s="102">
        <f t="shared" ref="D54:S54" si="13">IFERROR(D106/D11,0)</f>
        <v>0</v>
      </c>
      <c r="E54" s="102">
        <f t="shared" ca="1" si="13"/>
        <v>121.38038820323764</v>
      </c>
      <c r="F54" s="102">
        <f t="shared" ca="1" si="13"/>
        <v>2013.7464846808805</v>
      </c>
      <c r="G54" s="102">
        <f t="shared" ca="1" si="13"/>
        <v>999.75341660935385</v>
      </c>
      <c r="H54" s="102">
        <f t="shared" ca="1" si="13"/>
        <v>566.62142115329539</v>
      </c>
      <c r="I54" s="102">
        <f t="shared" ca="1" si="13"/>
        <v>320.34718944165934</v>
      </c>
      <c r="J54" s="102">
        <f t="shared" ca="1" si="13"/>
        <v>228.87139449412359</v>
      </c>
      <c r="K54" s="102">
        <f t="shared" ca="1" si="13"/>
        <v>170.17386746677391</v>
      </c>
      <c r="L54" s="102">
        <f t="shared" ca="1" si="13"/>
        <v>134.7956214080647</v>
      </c>
      <c r="M54" s="102">
        <f t="shared" ca="1" si="13"/>
        <v>133.30226501003696</v>
      </c>
      <c r="N54" s="102">
        <f t="shared" ca="1" si="13"/>
        <v>126.97139790016902</v>
      </c>
      <c r="O54" s="102">
        <f t="shared" ca="1" si="13"/>
        <v>108.66765920505676</v>
      </c>
      <c r="P54" s="102">
        <f t="shared" ca="1" si="13"/>
        <v>80.483470260970677</v>
      </c>
      <c r="Q54" s="102">
        <f t="shared" ca="1" si="13"/>
        <v>61.184989429201856</v>
      </c>
      <c r="R54" s="102">
        <f t="shared" ca="1" si="13"/>
        <v>53.52133867821594</v>
      </c>
      <c r="S54" s="102">
        <f t="shared" ca="1" si="13"/>
        <v>62.325745934268504</v>
      </c>
    </row>
    <row r="55" spans="1:19">
      <c r="A55" s="5" t="s">
        <v>1688</v>
      </c>
      <c r="B55" s="3"/>
      <c r="C55" s="3"/>
      <c r="D55" s="102">
        <f t="shared" ref="D55:S55" ca="1" si="14">MIN( MAX(0,D54-D56+D57), D107 )</f>
        <v>0</v>
      </c>
      <c r="E55" s="102">
        <f t="shared" ca="1" si="14"/>
        <v>8</v>
      </c>
      <c r="F55" s="102">
        <f t="shared" ca="1" si="14"/>
        <v>23</v>
      </c>
      <c r="G55" s="102">
        <f t="shared" ca="1" si="14"/>
        <v>38</v>
      </c>
      <c r="H55" s="102">
        <f t="shared" ca="1" si="14"/>
        <v>53</v>
      </c>
      <c r="I55" s="102">
        <f t="shared" ca="1" si="14"/>
        <v>68</v>
      </c>
      <c r="J55" s="102">
        <f t="shared" ca="1" si="14"/>
        <v>83</v>
      </c>
      <c r="K55" s="102">
        <f t="shared" ca="1" si="14"/>
        <v>0</v>
      </c>
      <c r="L55" s="102">
        <f t="shared" ca="1" si="14"/>
        <v>0</v>
      </c>
      <c r="M55" s="102">
        <f t="shared" ca="1" si="14"/>
        <v>0</v>
      </c>
      <c r="N55" s="102">
        <f t="shared" ca="1" si="14"/>
        <v>5.1799956661163549E-2</v>
      </c>
      <c r="O55" s="102">
        <f t="shared" ca="1" si="14"/>
        <v>9.1308428781020119</v>
      </c>
      <c r="P55" s="102">
        <f t="shared" ca="1" si="14"/>
        <v>0</v>
      </c>
      <c r="Q55" s="102">
        <f t="shared" ca="1" si="14"/>
        <v>0</v>
      </c>
      <c r="R55" s="102">
        <f t="shared" ca="1" si="14"/>
        <v>0</v>
      </c>
      <c r="S55" s="102">
        <f t="shared" ca="1" si="14"/>
        <v>14.553465543597659</v>
      </c>
    </row>
    <row r="56" spans="1:19">
      <c r="A56" s="5" t="s">
        <v>1689</v>
      </c>
      <c r="B56" s="3"/>
      <c r="C56" s="3"/>
      <c r="D56" s="22">
        <v>0</v>
      </c>
      <c r="E56" s="102">
        <f t="shared" ref="E56:S56" ca="1" si="15">D58</f>
        <v>0</v>
      </c>
      <c r="F56" s="102">
        <f t="shared" ca="1" si="15"/>
        <v>8</v>
      </c>
      <c r="G56" s="102">
        <f t="shared" ca="1" si="15"/>
        <v>25.916666666666668</v>
      </c>
      <c r="H56" s="102">
        <f t="shared" ca="1" si="15"/>
        <v>56.861111111111114</v>
      </c>
      <c r="I56" s="102">
        <f t="shared" ca="1" si="15"/>
        <v>97.421111111111117</v>
      </c>
      <c r="J56" s="102">
        <f t="shared" ca="1" si="15"/>
        <v>145.94222442021416</v>
      </c>
      <c r="K56" s="102">
        <f t="shared" ca="1" si="15"/>
        <v>211.7250004277991</v>
      </c>
      <c r="L56" s="102">
        <f t="shared" ca="1" si="15"/>
        <v>186.9466186004282</v>
      </c>
      <c r="M56" s="102">
        <f t="shared" ca="1" si="15"/>
        <v>168.25195674038537</v>
      </c>
      <c r="N56" s="102">
        <f t="shared" ca="1" si="15"/>
        <v>148.47608218968577</v>
      </c>
      <c r="O56" s="102">
        <f t="shared" ca="1" si="15"/>
        <v>126.97139790016902</v>
      </c>
      <c r="P56" s="102">
        <f t="shared" ca="1" si="15"/>
        <v>108.66765920505676</v>
      </c>
      <c r="Q56" s="102">
        <f t="shared" ca="1" si="15"/>
        <v>88.587641732503201</v>
      </c>
      <c r="R56" s="102">
        <f t="shared" ca="1" si="15"/>
        <v>71.971423546611049</v>
      </c>
      <c r="S56" s="102">
        <f t="shared" ca="1" si="15"/>
        <v>57.383034224575894</v>
      </c>
    </row>
    <row r="57" spans="1:19">
      <c r="A57" s="5" t="s">
        <v>1690</v>
      </c>
      <c r="B57" s="3"/>
      <c r="C57" s="3"/>
      <c r="D57" s="22">
        <f t="array" aca="1" ref="D57" ca="1">MAX( IFERROR(D20/INDEX(Assumptions!$D:$S,MATCH("Lifetime reuses per booster (year cap)",Assumptions!$A$1:$A$257,0),D$5+1),0), IFERROR(D56/INDEX(Assumptions!$B:$B,MATCH("Launch vehicle calendar life (years)",Assumptions!$A$1:$A$257,0)),0) )</f>
        <v>0</v>
      </c>
      <c r="E57" s="22">
        <f t="array" aca="1" ref="E57" ca="1">MAX( IFERROR(E20/INDEX(Assumptions!$D:$S,MATCH("Lifetime reuses per booster (year cap)",Assumptions!$A$1:$A$257,0),E$5+1),0), IFERROR(E56/INDEX(Assumptions!$B:$B,MATCH("Launch vehicle calendar life (years)",Assumptions!$A$1:$A$257,0)),0) )</f>
        <v>0</v>
      </c>
      <c r="F57" s="22">
        <f t="array" aca="1" ref="F57" ca="1">MAX( IFERROR(F20/INDEX(Assumptions!$D:$S,MATCH("Lifetime reuses per booster (year cap)",Assumptions!$A$1:$A$257,0),F$5+1),0), IFERROR(F56/INDEX(Assumptions!$B:$B,MATCH("Launch vehicle calendar life (years)",Assumptions!$A$1:$A$257,0)),0) )</f>
        <v>5.083333333333333</v>
      </c>
      <c r="G57" s="22">
        <f t="array" aca="1" ref="G57" ca="1">MAX( IFERROR(G20/INDEX(Assumptions!$D:$S,MATCH("Lifetime reuses per booster (year cap)",Assumptions!$A$1:$A$257,0),G$5+1),0), IFERROR(G56/INDEX(Assumptions!$B:$B,MATCH("Launch vehicle calendar life (years)",Assumptions!$A$1:$A$257,0)),0) )</f>
        <v>7.0555555555555554</v>
      </c>
      <c r="H57" s="22">
        <f t="array" aca="1" ref="H57" ca="1">MAX( IFERROR(H20/INDEX(Assumptions!$D:$S,MATCH("Lifetime reuses per booster (year cap)",Assumptions!$A$1:$A$257,0),H$5+1),0), IFERROR(H56/INDEX(Assumptions!$B:$B,MATCH("Launch vehicle calendar life (years)",Assumptions!$A$1:$A$257,0)),0) )</f>
        <v>12.440000000000003</v>
      </c>
      <c r="I57" s="22">
        <f t="array" aca="1" ref="I57" ca="1">MAX( IFERROR(I20/INDEX(Assumptions!$D:$S,MATCH("Lifetime reuses per booster (year cap)",Assumptions!$A$1:$A$257,0),I$5+1),0), IFERROR(I56/INDEX(Assumptions!$B:$B,MATCH("Launch vehicle calendar life (years)",Assumptions!$A$1:$A$257,0)),0) )</f>
        <v>19.478886690896957</v>
      </c>
      <c r="J57" s="22">
        <f t="array" aca="1" ref="J57" ca="1">MAX( IFERROR(J20/INDEX(Assumptions!$D:$S,MATCH("Lifetime reuses per booster (year cap)",Assumptions!$A$1:$A$257,0),J$5+1),0), IFERROR(J56/INDEX(Assumptions!$B:$B,MATCH("Launch vehicle calendar life (years)",Assumptions!$A$1:$A$257,0)),0) )</f>
        <v>17.217223992415054</v>
      </c>
      <c r="K57" s="22">
        <f t="array" aca="1" ref="K57" ca="1">MAX( IFERROR(K20/INDEX(Assumptions!$D:$S,MATCH("Lifetime reuses per booster (year cap)",Assumptions!$A$1:$A$257,0),K$5+1),0), IFERROR(K56/INDEX(Assumptions!$B:$B,MATCH("Launch vehicle calendar life (years)",Assumptions!$A$1:$A$257,0)),0) )</f>
        <v>24.778381827370907</v>
      </c>
      <c r="L57" s="22">
        <f t="array" aca="1" ref="L57" ca="1">MAX( IFERROR(L20/INDEX(Assumptions!$D:$S,MATCH("Lifetime reuses per booster (year cap)",Assumptions!$A$1:$A$257,0),L$5+1),0), IFERROR(L56/INDEX(Assumptions!$B:$B,MATCH("Launch vehicle calendar life (years)",Assumptions!$A$1:$A$257,0)),0) )</f>
        <v>18.694661860042821</v>
      </c>
      <c r="M57" s="22">
        <f t="array" aca="1" ref="M57" ca="1">MAX( IFERROR(M20/INDEX(Assumptions!$D:$S,MATCH("Lifetime reuses per booster (year cap)",Assumptions!$A$1:$A$257,0),M$5+1),0), IFERROR(M56/INDEX(Assumptions!$B:$B,MATCH("Launch vehicle calendar life (years)",Assumptions!$A$1:$A$257,0)),0) )</f>
        <v>19.775874550699591</v>
      </c>
      <c r="N57" s="22">
        <f t="array" aca="1" ref="N57" ca="1">MAX( IFERROR(N20/INDEX(Assumptions!$D:$S,MATCH("Lifetime reuses per booster (year cap)",Assumptions!$A$1:$A$257,0),N$5+1),0), IFERROR(N56/INDEX(Assumptions!$B:$B,MATCH("Launch vehicle calendar life (years)",Assumptions!$A$1:$A$257,0)),0) )</f>
        <v>21.556484246177909</v>
      </c>
      <c r="O57" s="22">
        <f t="array" aca="1" ref="O57" ca="1">MAX( IFERROR(O20/INDEX(Assumptions!$D:$S,MATCH("Lifetime reuses per booster (year cap)",Assumptions!$A$1:$A$257,0),O$5+1),0), IFERROR(O56/INDEX(Assumptions!$B:$B,MATCH("Launch vehicle calendar life (years)",Assumptions!$A$1:$A$257,0)),0) )</f>
        <v>27.43458157321427</v>
      </c>
      <c r="P57" s="22">
        <f t="array" aca="1" ref="P57" ca="1">MAX( IFERROR(P20/INDEX(Assumptions!$D:$S,MATCH("Lifetime reuses per booster (year cap)",Assumptions!$A$1:$A$257,0),P$5+1),0), IFERROR(P56/INDEX(Assumptions!$B:$B,MATCH("Launch vehicle calendar life (years)",Assumptions!$A$1:$A$257,0)),0) )</f>
        <v>20.080017472553568</v>
      </c>
      <c r="Q57" s="22">
        <f t="array" aca="1" ref="Q57" ca="1">MAX( IFERROR(Q20/INDEX(Assumptions!$D:$S,MATCH("Lifetime reuses per booster (year cap)",Assumptions!$A$1:$A$257,0),Q$5+1),0), IFERROR(Q56/INDEX(Assumptions!$B:$B,MATCH("Launch vehicle calendar life (years)",Assumptions!$A$1:$A$257,0)),0) )</f>
        <v>16.616218185892148</v>
      </c>
      <c r="R57" s="22">
        <f t="array" aca="1" ref="R57" ca="1">MAX( IFERROR(R20/INDEX(Assumptions!$D:$S,MATCH("Lifetime reuses per booster (year cap)",Assumptions!$A$1:$A$257,0),R$5+1),0), IFERROR(R56/INDEX(Assumptions!$B:$B,MATCH("Launch vehicle calendar life (years)",Assumptions!$A$1:$A$257,0)),0) )</f>
        <v>14.588389322035159</v>
      </c>
      <c r="S57" s="22">
        <f t="array" aca="1" ref="S57" ca="1">MAX( IFERROR(S20/INDEX(Assumptions!$D:$S,MATCH("Lifetime reuses per booster (year cap)",Assumptions!$A$1:$A$257,0),S$5+1),0), IFERROR(S56/INDEX(Assumptions!$B:$B,MATCH("Launch vehicle calendar life (years)",Assumptions!$A$1:$A$257,0)),0) )</f>
        <v>9.6107538339050489</v>
      </c>
    </row>
    <row r="58" spans="1:19">
      <c r="A58" s="5" t="s">
        <v>1691</v>
      </c>
      <c r="B58" s="3"/>
      <c r="C58" s="3"/>
      <c r="D58" s="102">
        <f t="shared" ref="D58:S58" ca="1" si="16">D56+D55-D57</f>
        <v>0</v>
      </c>
      <c r="E58" s="102">
        <f t="shared" ca="1" si="16"/>
        <v>8</v>
      </c>
      <c r="F58" s="102">
        <f t="shared" ca="1" si="16"/>
        <v>25.916666666666668</v>
      </c>
      <c r="G58" s="102">
        <f t="shared" ca="1" si="16"/>
        <v>56.861111111111114</v>
      </c>
      <c r="H58" s="102">
        <f t="shared" ca="1" si="16"/>
        <v>97.421111111111117</v>
      </c>
      <c r="I58" s="102">
        <f t="shared" ca="1" si="16"/>
        <v>145.94222442021416</v>
      </c>
      <c r="J58" s="102">
        <f t="shared" ca="1" si="16"/>
        <v>211.7250004277991</v>
      </c>
      <c r="K58" s="102">
        <f t="shared" ca="1" si="16"/>
        <v>186.9466186004282</v>
      </c>
      <c r="L58" s="102">
        <f t="shared" ca="1" si="16"/>
        <v>168.25195674038537</v>
      </c>
      <c r="M58" s="102">
        <f t="shared" ca="1" si="16"/>
        <v>148.47608218968577</v>
      </c>
      <c r="N58" s="102">
        <f t="shared" ca="1" si="16"/>
        <v>126.97139790016902</v>
      </c>
      <c r="O58" s="102">
        <f t="shared" ca="1" si="16"/>
        <v>108.66765920505676</v>
      </c>
      <c r="P58" s="102">
        <f t="shared" ca="1" si="16"/>
        <v>88.587641732503201</v>
      </c>
      <c r="Q58" s="102">
        <f t="shared" ca="1" si="16"/>
        <v>71.971423546611049</v>
      </c>
      <c r="R58" s="102">
        <f t="shared" ca="1" si="16"/>
        <v>57.383034224575894</v>
      </c>
      <c r="S58" s="102">
        <f t="shared" ca="1" si="16"/>
        <v>62.325745934268497</v>
      </c>
    </row>
    <row r="59" spans="1:19">
      <c r="A59" s="5" t="s">
        <v>1692</v>
      </c>
      <c r="B59" s="3"/>
      <c r="C59" s="3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</row>
    <row r="60" spans="1:19">
      <c r="A60" s="5" t="s">
        <v>1693</v>
      </c>
      <c r="B60" s="3"/>
      <c r="C60" s="3"/>
      <c r="D60" s="101">
        <f>IF(D$4&lt;INDEX(Assumptions!$B:$B,MATCH("V3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pre-V3-trigger)",Assumptions!$A$1:$A$257,0))*(1-(D$4-INDEX(Assumptions!$B:$B,MATCH("V3 Starlink launch trigger year",Assumptions!$A$1:$A$257,0)))/INDEX(Assumptions!$B:$B,MATCH("F9 build-rate decay window (years)",Assumptions!$A$1:$A$257,0)))))</f>
        <v>8</v>
      </c>
      <c r="E60" s="101">
        <f>IF(E$4&lt;INDEX(Assumptions!$B:$B,MATCH("V3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pre-V3-trigger)",Assumptions!$A$1:$A$257,0))*(1-(E$4-INDEX(Assumptions!$B:$B,MATCH("V3 Starlink launch trigger year",Assumptions!$A$1:$A$257,0)))/INDEX(Assumptions!$B:$B,MATCH("F9 build-rate decay window (years)",Assumptions!$A$1:$A$257,0)))))</f>
        <v>8</v>
      </c>
      <c r="F60" s="101">
        <f>IF(F$4&lt;INDEX(Assumptions!$B:$B,MATCH("V3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pre-V3-trigger)",Assumptions!$A$1:$A$257,0))*(1-(F$4-INDEX(Assumptions!$B:$B,MATCH("V3 Starlink launch trigger year",Assumptions!$A$1:$A$257,0)))/INDEX(Assumptions!$B:$B,MATCH("F9 build-rate decay window (years)",Assumptions!$A$1:$A$257,0)))))</f>
        <v>7</v>
      </c>
      <c r="G60" s="101">
        <f>IF(G$4&lt;INDEX(Assumptions!$B:$B,MATCH("V3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pre-V3-trigger)",Assumptions!$A$1:$A$257,0))*(1-(G$4-INDEX(Assumptions!$B:$B,MATCH("V3 Starlink launch trigger year",Assumptions!$A$1:$A$257,0)))/INDEX(Assumptions!$B:$B,MATCH("F9 build-rate decay window (years)",Assumptions!$A$1:$A$257,0)))))</f>
        <v>6</v>
      </c>
      <c r="H60" s="101">
        <f>IF(H$4&lt;INDEX(Assumptions!$B:$B,MATCH("V3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pre-V3-trigger)",Assumptions!$A$1:$A$257,0))*(1-(H$4-INDEX(Assumptions!$B:$B,MATCH("V3 Starlink launch trigger year",Assumptions!$A$1:$A$257,0)))/INDEX(Assumptions!$B:$B,MATCH("F9 build-rate decay window (years)",Assumptions!$A$1:$A$257,0)))))</f>
        <v>5</v>
      </c>
      <c r="I60" s="101">
        <f>IF(I$4&lt;INDEX(Assumptions!$B:$B,MATCH("V3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pre-V3-trigger)",Assumptions!$A$1:$A$257,0))*(1-(I$4-INDEX(Assumptions!$B:$B,MATCH("V3 Starlink launch trigger year",Assumptions!$A$1:$A$257,0)))/INDEX(Assumptions!$B:$B,MATCH("F9 build-rate decay window (years)",Assumptions!$A$1:$A$257,0)))))</f>
        <v>4</v>
      </c>
      <c r="J60" s="101">
        <f>IF(J$4&lt;INDEX(Assumptions!$B:$B,MATCH("V3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pre-V3-trigger)",Assumptions!$A$1:$A$257,0))*(1-(J$4-INDEX(Assumptions!$B:$B,MATCH("V3 Starlink launch trigger year",Assumptions!$A$1:$A$257,0)))/INDEX(Assumptions!$B:$B,MATCH("F9 build-rate decay window (years)",Assumptions!$A$1:$A$257,0)))))</f>
        <v>3</v>
      </c>
      <c r="K60" s="101">
        <f>IF(K$4&lt;INDEX(Assumptions!$B:$B,MATCH("V3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pre-V3-trigger)",Assumptions!$A$1:$A$257,0))*(1-(K$4-INDEX(Assumptions!$B:$B,MATCH("V3 Starlink launch trigger year",Assumptions!$A$1:$A$257,0)))/INDEX(Assumptions!$B:$B,MATCH("F9 build-rate decay window (years)",Assumptions!$A$1:$A$257,0)))))</f>
        <v>2</v>
      </c>
      <c r="L60" s="101">
        <f>IF(L$4&lt;INDEX(Assumptions!$B:$B,MATCH("V3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pre-V3-trigger)",Assumptions!$A$1:$A$257,0))*(1-(L$4-INDEX(Assumptions!$B:$B,MATCH("V3 Starlink launch trigger year",Assumptions!$A$1:$A$257,0)))/INDEX(Assumptions!$B:$B,MATCH("F9 build-rate decay window (years)",Assumptions!$A$1:$A$257,0)))))</f>
        <v>1</v>
      </c>
      <c r="M60" s="101">
        <f>IF(M$4&lt;INDEX(Assumptions!$B:$B,MATCH("V3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pre-V3-trigger)",Assumptions!$A$1:$A$257,0))*(1-(M$4-INDEX(Assumptions!$B:$B,MATCH("V3 Starlink launch trigger year",Assumptions!$A$1:$A$257,0)))/INDEX(Assumptions!$B:$B,MATCH("F9 build-rate decay window (years)",Assumptions!$A$1:$A$257,0)))))</f>
        <v>0</v>
      </c>
      <c r="N60" s="101">
        <f>IF(N$4&lt;INDEX(Assumptions!$B:$B,MATCH("V3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pre-V3-trigger)",Assumptions!$A$1:$A$257,0))*(1-(N$4-INDEX(Assumptions!$B:$B,MATCH("V3 Starlink launch trigger year",Assumptions!$A$1:$A$257,0)))/INDEX(Assumptions!$B:$B,MATCH("F9 build-rate decay window (years)",Assumptions!$A$1:$A$257,0)))))</f>
        <v>0</v>
      </c>
      <c r="O60" s="101">
        <f>IF(O$4&lt;INDEX(Assumptions!$B:$B,MATCH("V3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pre-V3-trigger)",Assumptions!$A$1:$A$257,0))*(1-(O$4-INDEX(Assumptions!$B:$B,MATCH("V3 Starlink launch trigger year",Assumptions!$A$1:$A$257,0)))/INDEX(Assumptions!$B:$B,MATCH("F9 build-rate decay window (years)",Assumptions!$A$1:$A$257,0)))))</f>
        <v>0</v>
      </c>
      <c r="P60" s="101">
        <f>IF(P$4&lt;INDEX(Assumptions!$B:$B,MATCH("V3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pre-V3-trigger)",Assumptions!$A$1:$A$257,0))*(1-(P$4-INDEX(Assumptions!$B:$B,MATCH("V3 Starlink launch trigger year",Assumptions!$A$1:$A$257,0)))/INDEX(Assumptions!$B:$B,MATCH("F9 build-rate decay window (years)",Assumptions!$A$1:$A$257,0)))))</f>
        <v>0</v>
      </c>
      <c r="Q60" s="101">
        <f>IF(Q$4&lt;INDEX(Assumptions!$B:$B,MATCH("V3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pre-V3-trigger)",Assumptions!$A$1:$A$257,0))*(1-(Q$4-INDEX(Assumptions!$B:$B,MATCH("V3 Starlink launch trigger year",Assumptions!$A$1:$A$257,0)))/INDEX(Assumptions!$B:$B,MATCH("F9 build-rate decay window (years)",Assumptions!$A$1:$A$257,0)))))</f>
        <v>0</v>
      </c>
      <c r="R60" s="101">
        <f>IF(R$4&lt;INDEX(Assumptions!$B:$B,MATCH("V3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pre-V3-trigger)",Assumptions!$A$1:$A$257,0))*(1-(R$4-INDEX(Assumptions!$B:$B,MATCH("V3 Starlink launch trigger year",Assumptions!$A$1:$A$257,0)))/INDEX(Assumptions!$B:$B,MATCH("F9 build-rate decay window (years)",Assumptions!$A$1:$A$257,0)))))</f>
        <v>0</v>
      </c>
      <c r="S60" s="101">
        <f>IF(S$4&lt;INDEX(Assumptions!$B:$B,MATCH("V3 Starlink launch trigger year",Assumptions!$A$1:$A$257,0)),INDEX(Assumptions!$B:$B,MATCH("F9 base booster build rate (boosters/year, pre-V3-trigger)",Assumptions!$A$1:$A$257,0)),MAX(0,INDEX(Assumptions!$B:$B,MATCH("F9 base booster build rate (boosters/year, pre-V3-trigger)",Assumptions!$A$1:$A$257,0))*(1-(S$4-INDEX(Assumptions!$B:$B,MATCH("V3 Starlink launch trigger year",Assumptions!$A$1:$A$257,0)))/INDEX(Assumptions!$B:$B,MATCH("F9 build-rate decay window (years)",Assumptions!$A$1:$A$257,0)))))</f>
        <v>0</v>
      </c>
    </row>
    <row r="61" spans="1:19">
      <c r="A61" s="5" t="s">
        <v>1694</v>
      </c>
      <c r="B61" s="3"/>
      <c r="C61" s="3"/>
      <c r="D61" s="101">
        <f>MAX( IFERROR(D19/INDEX(Assumptions!$B:$B,MATCH("F9 lifetime reuses per booster",Assumptions!$A$1:$A$257,0)),0), IFERROR(D62/INDEX(Assumptions!$B:$B,MATCH("Launch vehicle calendar life (years)",Assumptions!$A$1:$A$257,0)),0) )</f>
        <v>4.8857142857142861</v>
      </c>
      <c r="E61" s="101">
        <f>MAX( IFERROR(E19/INDEX(Assumptions!$B:$B,MATCH("F9 lifetime reuses per booster",Assumptions!$A$1:$A$257,0)),0), IFERROR(E62/INDEX(Assumptions!$B:$B,MATCH("Launch vehicle calendar life (years)",Assumptions!$A$1:$A$257,0)),0) )</f>
        <v>4.2857142857142856</v>
      </c>
      <c r="F61" s="101">
        <f>MAX( IFERROR(F19/INDEX(Assumptions!$B:$B,MATCH("F9 lifetime reuses per booster",Assumptions!$A$1:$A$257,0)),0), IFERROR(F62/INDEX(Assumptions!$B:$B,MATCH("Launch vehicle calendar life (years)",Assumptions!$A$1:$A$257,0)),0) )</f>
        <v>3.4828571428571431</v>
      </c>
      <c r="G61" s="101">
        <f>MAX( IFERROR(G19/INDEX(Assumptions!$B:$B,MATCH("F9 lifetime reuses per booster",Assumptions!$A$1:$A$257,0)),0), IFERROR(G62/INDEX(Assumptions!$B:$B,MATCH("Launch vehicle calendar life (years)",Assumptions!$A$1:$A$257,0)),0) )</f>
        <v>3.8345714285714285</v>
      </c>
      <c r="H61" s="101">
        <f>MAX( IFERROR(H19/INDEX(Assumptions!$B:$B,MATCH("F9 lifetime reuses per booster",Assumptions!$A$1:$A$257,0)),0), IFERROR(H62/INDEX(Assumptions!$B:$B,MATCH("Launch vehicle calendar life (years)",Assumptions!$A$1:$A$257,0)),0) )</f>
        <v>4.0511142857142861</v>
      </c>
      <c r="I61" s="101">
        <f>MAX( IFERROR(I19/INDEX(Assumptions!$B:$B,MATCH("F9 lifetime reuses per booster",Assumptions!$A$1:$A$257,0)),0), IFERROR(I62/INDEX(Assumptions!$B:$B,MATCH("Launch vehicle calendar life (years)",Assumptions!$A$1:$A$257,0)),0) )</f>
        <v>4.1460028571428573</v>
      </c>
      <c r="J61" s="101">
        <f>MAX( IFERROR(J19/INDEX(Assumptions!$B:$B,MATCH("F9 lifetime reuses per booster",Assumptions!$A$1:$A$257,0)),0), IFERROR(J62/INDEX(Assumptions!$B:$B,MATCH("Launch vehicle calendar life (years)",Assumptions!$A$1:$A$257,0)),0) )</f>
        <v>4.1314025714285716</v>
      </c>
      <c r="K61" s="101">
        <f>MAX( IFERROR(K19/INDEX(Assumptions!$B:$B,MATCH("F9 lifetime reuses per booster",Assumptions!$A$1:$A$257,0)),0), IFERROR(K62/INDEX(Assumptions!$B:$B,MATCH("Launch vehicle calendar life (years)",Assumptions!$A$1:$A$257,0)),0) )</f>
        <v>4.0182623142857148</v>
      </c>
      <c r="L61" s="101">
        <f>MAX( IFERROR(L19/INDEX(Assumptions!$B:$B,MATCH("F9 lifetime reuses per booster",Assumptions!$A$1:$A$257,0)),0), IFERROR(L62/INDEX(Assumptions!$B:$B,MATCH("Launch vehicle calendar life (years)",Assumptions!$A$1:$A$257,0)),0) )</f>
        <v>3.8164360828571433</v>
      </c>
      <c r="M61" s="101">
        <f>MAX( IFERROR(M19/INDEX(Assumptions!$B:$B,MATCH("F9 lifetime reuses per booster",Assumptions!$A$1:$A$257,0)),0), IFERROR(M62/INDEX(Assumptions!$B:$B,MATCH("Launch vehicle calendar life (years)",Assumptions!$A$1:$A$257,0)),0) )</f>
        <v>3.5347924745714288</v>
      </c>
      <c r="N61" s="101">
        <f>MAX( IFERROR(N19/INDEX(Assumptions!$B:$B,MATCH("F9 lifetime reuses per booster",Assumptions!$A$1:$A$257,0)),0), IFERROR(N62/INDEX(Assumptions!$B:$B,MATCH("Launch vehicle calendar life (years)",Assumptions!$A$1:$A$257,0)),0) )</f>
        <v>3.1813132271142859</v>
      </c>
      <c r="O61" s="101">
        <f>MAX( IFERROR(O19/INDEX(Assumptions!$B:$B,MATCH("F9 lifetime reuses per booster",Assumptions!$A$1:$A$257,0)),0), IFERROR(O62/INDEX(Assumptions!$B:$B,MATCH("Launch vehicle calendar life (years)",Assumptions!$A$1:$A$257,0)),0) )</f>
        <v>2.8631819044028575</v>
      </c>
      <c r="P61" s="101">
        <f>MAX( IFERROR(P19/INDEX(Assumptions!$B:$B,MATCH("F9 lifetime reuses per booster",Assumptions!$A$1:$A$257,0)),0), IFERROR(P62/INDEX(Assumptions!$B:$B,MATCH("Launch vehicle calendar life (years)",Assumptions!$A$1:$A$257,0)),0) )</f>
        <v>2.5768637139625716</v>
      </c>
      <c r="Q61" s="101">
        <f>MAX( IFERROR(Q19/INDEX(Assumptions!$B:$B,MATCH("F9 lifetime reuses per booster",Assumptions!$A$1:$A$257,0)),0), IFERROR(Q62/INDEX(Assumptions!$B:$B,MATCH("Launch vehicle calendar life (years)",Assumptions!$A$1:$A$257,0)),0) )</f>
        <v>2.3191773425663147</v>
      </c>
      <c r="R61" s="101">
        <f>MAX( IFERROR(R19/INDEX(Assumptions!$B:$B,MATCH("F9 lifetime reuses per booster",Assumptions!$A$1:$A$257,0)),0), IFERROR(R62/INDEX(Assumptions!$B:$B,MATCH("Launch vehicle calendar life (years)",Assumptions!$A$1:$A$257,0)),0) )</f>
        <v>2.087259608309683</v>
      </c>
      <c r="S61" s="101">
        <f>MAX( IFERROR(S19/INDEX(Assumptions!$B:$B,MATCH("F9 lifetime reuses per booster",Assumptions!$A$1:$A$257,0)),0), IFERROR(S62/INDEX(Assumptions!$B:$B,MATCH("Launch vehicle calendar life (years)",Assumptions!$A$1:$A$257,0)),0) )</f>
        <v>1.8785336474787147</v>
      </c>
    </row>
    <row r="62" spans="1:19">
      <c r="A62" s="5" t="s">
        <v>1695</v>
      </c>
      <c r="B62" s="3"/>
      <c r="C62" s="3"/>
      <c r="D62" s="101">
        <f>INDEX(Assumptions!$B:$B,MATCH("F9 starting fleet at 2025 SoY (boosters)",Assumptions!$A$1:$A$257,0))</f>
        <v>28</v>
      </c>
      <c r="E62" s="102">
        <f t="shared" ref="E62:S62" si="17">D63</f>
        <v>31.114285714285714</v>
      </c>
      <c r="F62" s="102">
        <f t="shared" si="17"/>
        <v>34.828571428571429</v>
      </c>
      <c r="G62" s="102">
        <f t="shared" si="17"/>
        <v>38.345714285714287</v>
      </c>
      <c r="H62" s="102">
        <f t="shared" si="17"/>
        <v>40.511142857142858</v>
      </c>
      <c r="I62" s="102">
        <f t="shared" si="17"/>
        <v>41.460028571428573</v>
      </c>
      <c r="J62" s="102">
        <f t="shared" si="17"/>
        <v>41.314025714285719</v>
      </c>
      <c r="K62" s="102">
        <f t="shared" si="17"/>
        <v>40.182623142857146</v>
      </c>
      <c r="L62" s="102">
        <f t="shared" si="17"/>
        <v>38.164360828571432</v>
      </c>
      <c r="M62" s="102">
        <f t="shared" si="17"/>
        <v>35.347924745714288</v>
      </c>
      <c r="N62" s="102">
        <f t="shared" si="17"/>
        <v>31.813132271142859</v>
      </c>
      <c r="O62" s="102">
        <f t="shared" si="17"/>
        <v>28.631819044028575</v>
      </c>
      <c r="P62" s="102">
        <f t="shared" si="17"/>
        <v>25.768637139625717</v>
      </c>
      <c r="Q62" s="102">
        <f t="shared" si="17"/>
        <v>23.191773425663147</v>
      </c>
      <c r="R62" s="102">
        <f t="shared" si="17"/>
        <v>20.87259608309683</v>
      </c>
      <c r="S62" s="102">
        <f t="shared" si="17"/>
        <v>18.785336474787147</v>
      </c>
    </row>
    <row r="63" spans="1:19">
      <c r="A63" s="5" t="s">
        <v>1696</v>
      </c>
      <c r="B63" s="3"/>
      <c r="C63" s="3"/>
      <c r="D63" s="102">
        <f t="shared" ref="D63:S63" si="18">D62+D60-D61</f>
        <v>31.114285714285714</v>
      </c>
      <c r="E63" s="102">
        <f t="shared" si="18"/>
        <v>34.828571428571429</v>
      </c>
      <c r="F63" s="102">
        <f t="shared" si="18"/>
        <v>38.345714285714287</v>
      </c>
      <c r="G63" s="102">
        <f t="shared" si="18"/>
        <v>40.511142857142858</v>
      </c>
      <c r="H63" s="102">
        <f t="shared" si="18"/>
        <v>41.460028571428573</v>
      </c>
      <c r="I63" s="102">
        <f t="shared" si="18"/>
        <v>41.314025714285719</v>
      </c>
      <c r="J63" s="102">
        <f t="shared" si="18"/>
        <v>40.182623142857146</v>
      </c>
      <c r="K63" s="102">
        <f t="shared" si="18"/>
        <v>38.164360828571432</v>
      </c>
      <c r="L63" s="102">
        <f t="shared" si="18"/>
        <v>35.347924745714288</v>
      </c>
      <c r="M63" s="102">
        <f t="shared" si="18"/>
        <v>31.813132271142859</v>
      </c>
      <c r="N63" s="102">
        <f t="shared" si="18"/>
        <v>28.631819044028575</v>
      </c>
      <c r="O63" s="102">
        <f t="shared" si="18"/>
        <v>25.768637139625717</v>
      </c>
      <c r="P63" s="102">
        <f t="shared" si="18"/>
        <v>23.191773425663147</v>
      </c>
      <c r="Q63" s="102">
        <f t="shared" si="18"/>
        <v>20.87259608309683</v>
      </c>
      <c r="R63" s="102">
        <f t="shared" si="18"/>
        <v>18.785336474787147</v>
      </c>
      <c r="S63" s="102">
        <f t="shared" si="18"/>
        <v>16.906802827308432</v>
      </c>
    </row>
    <row r="64" spans="1:19">
      <c r="A64" s="5" t="s">
        <v>1697</v>
      </c>
      <c r="B64" s="3"/>
      <c r="C64" s="3"/>
      <c r="D64" s="101">
        <f>D63*INDEX(Assumptions!$B:$B,MATCH("F9 cadence per booster (flights/year, flat)",Assumptions!$A$1:$A$257,0))</f>
        <v>248.91428571428571</v>
      </c>
      <c r="E64" s="101">
        <f>E63*INDEX(Assumptions!$B:$B,MATCH("F9 cadence per booster (flights/year, flat)",Assumptions!$A$1:$A$257,0))</f>
        <v>278.62857142857143</v>
      </c>
      <c r="F64" s="101">
        <f>F63*INDEX(Assumptions!$B:$B,MATCH("F9 cadence per booster (flights/year, flat)",Assumptions!$A$1:$A$257,0))</f>
        <v>306.7657142857143</v>
      </c>
      <c r="G64" s="101">
        <f>G63*INDEX(Assumptions!$B:$B,MATCH("F9 cadence per booster (flights/year, flat)",Assumptions!$A$1:$A$257,0))</f>
        <v>324.08914285714286</v>
      </c>
      <c r="H64" s="101">
        <f>H63*INDEX(Assumptions!$B:$B,MATCH("F9 cadence per booster (flights/year, flat)",Assumptions!$A$1:$A$257,0))</f>
        <v>331.68022857142859</v>
      </c>
      <c r="I64" s="101">
        <f>I63*INDEX(Assumptions!$B:$B,MATCH("F9 cadence per booster (flights/year, flat)",Assumptions!$A$1:$A$257,0))</f>
        <v>330.51220571428576</v>
      </c>
      <c r="J64" s="101">
        <f>J63*INDEX(Assumptions!$B:$B,MATCH("F9 cadence per booster (flights/year, flat)",Assumptions!$A$1:$A$257,0))</f>
        <v>321.46098514285717</v>
      </c>
      <c r="K64" s="101">
        <f>K63*INDEX(Assumptions!$B:$B,MATCH("F9 cadence per booster (flights/year, flat)",Assumptions!$A$1:$A$257,0))</f>
        <v>305.31488662857146</v>
      </c>
      <c r="L64" s="101">
        <f>L63*INDEX(Assumptions!$B:$B,MATCH("F9 cadence per booster (flights/year, flat)",Assumptions!$A$1:$A$257,0))</f>
        <v>282.7833979657143</v>
      </c>
      <c r="M64" s="101">
        <f>M63*INDEX(Assumptions!$B:$B,MATCH("F9 cadence per booster (flights/year, flat)",Assumptions!$A$1:$A$257,0))</f>
        <v>254.50505816914287</v>
      </c>
      <c r="N64" s="101">
        <f>N63*INDEX(Assumptions!$B:$B,MATCH("F9 cadence per booster (flights/year, flat)",Assumptions!$A$1:$A$257,0))</f>
        <v>229.0545523522286</v>
      </c>
      <c r="O64" s="101">
        <f>O63*INDEX(Assumptions!$B:$B,MATCH("F9 cadence per booster (flights/year, flat)",Assumptions!$A$1:$A$257,0))</f>
        <v>206.14909711700574</v>
      </c>
      <c r="P64" s="101">
        <f>P63*INDEX(Assumptions!$B:$B,MATCH("F9 cadence per booster (flights/year, flat)",Assumptions!$A$1:$A$257,0))</f>
        <v>185.53418740530518</v>
      </c>
      <c r="Q64" s="101">
        <f>Q63*INDEX(Assumptions!$B:$B,MATCH("F9 cadence per booster (flights/year, flat)",Assumptions!$A$1:$A$257,0))</f>
        <v>166.98076866477464</v>
      </c>
      <c r="R64" s="101">
        <f>R63*INDEX(Assumptions!$B:$B,MATCH("F9 cadence per booster (flights/year, flat)",Assumptions!$A$1:$A$257,0))</f>
        <v>150.28269179829718</v>
      </c>
      <c r="S64" s="101">
        <f>S63*INDEX(Assumptions!$B:$B,MATCH("F9 cadence per booster (flights/year, flat)",Assumptions!$A$1:$A$257,0))</f>
        <v>135.25442261846746</v>
      </c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177" t="s">
        <v>1698</v>
      </c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</row>
    <row r="67" spans="1:19">
      <c r="A67" s="19" t="s">
        <v>1699</v>
      </c>
      <c r="B67" s="20"/>
      <c r="C67" s="20"/>
      <c r="D67" s="178">
        <f t="array" aca="1" ref="D67" ca="1">IFERROR(INDEX(Starlink!$D:$AC,MATCH("Kg demand year N+1",Starlink!$A$1:$A$204,0),D$5+1),0)+IFERROR(INDEX('Customer Launch'!$D:$S,MATCH("Kg demand year N+1",'Customer Launch'!$A$1:$A$153,0),D$5+1),0)+IFERROR(INDEX('AI - Compute'!$D:$AC,MATCH("Kg demand year N+1",'AI - Compute'!$A$1:$A$33,0),D$5+1),0)+IFERROR(INDEX('Lunar - Mars'!$D:$AC,MATCH("Kg demand year N+1",'Lunar - Mars'!$A$1:$A$133,0),D$5+1),0)</f>
        <v>34238621.88016355</v>
      </c>
      <c r="E67" s="178">
        <f t="array" aca="1" ref="E67" ca="1">IFERROR(INDEX(Starlink!$D:$AC,MATCH("Kg demand year N+1",Starlink!$A$1:$A$204,0),E$5+1),0)+IFERROR(INDEX('Customer Launch'!$D:$S,MATCH("Kg demand year N+1",'Customer Launch'!$A$1:$A$153,0),E$5+1),0)+IFERROR(INDEX('AI - Compute'!$D:$AC,MATCH("Kg demand year N+1",'AI - Compute'!$A$1:$A$33,0),E$5+1),0)+IFERROR(INDEX('Lunar - Mars'!$D:$AC,MATCH("Kg demand year N+1",'Lunar - Mars'!$A$1:$A$133,0),E$5+1),0)</f>
        <v>39852469.651219949</v>
      </c>
      <c r="F67" s="178">
        <f t="array" aca="1" ref="F67" ca="1">IFERROR(INDEX(Starlink!$D:$AC,MATCH("Kg demand year N+1",Starlink!$A$1:$A$204,0),F$5+1),0)+IFERROR(INDEX('Customer Launch'!$D:$S,MATCH("Kg demand year N+1",'Customer Launch'!$A$1:$A$153,0),F$5+1),0)+IFERROR(INDEX('AI - Compute'!$D:$AC,MATCH("Kg demand year N+1",'AI - Compute'!$A$1:$A$33,0),F$5+1),0)+IFERROR(INDEX('Lunar - Mars'!$D:$AC,MATCH("Kg demand year N+1",'Lunar - Mars'!$A$1:$A$133,0),F$5+1),0)</f>
        <v>54362171.453616835</v>
      </c>
      <c r="G67" s="178">
        <f t="array" aca="1" ref="G67" ca="1">IFERROR(INDEX(Starlink!$D:$AC,MATCH("Kg demand year N+1",Starlink!$A$1:$A$204,0),G$5+1),0)+IFERROR(INDEX('Customer Launch'!$D:$S,MATCH("Kg demand year N+1",'Customer Launch'!$A$1:$A$153,0),G$5+1),0)+IFERROR(INDEX('AI - Compute'!$D:$AC,MATCH("Kg demand year N+1",'AI - Compute'!$A$1:$A$33,0),G$5+1),0)+IFERROR(INDEX('Lunar - Mars'!$D:$AC,MATCH("Kg demand year N+1",'Lunar - Mars'!$A$1:$A$133,0),G$5+1),0)</f>
        <v>71705457.468759358</v>
      </c>
      <c r="H67" s="178">
        <f t="array" aca="1" ref="H67" ca="1">IFERROR(INDEX(Starlink!$D:$AC,MATCH("Kg demand year N+1",Starlink!$A$1:$A$204,0),H$5+1),0)+IFERROR(INDEX('Customer Launch'!$D:$S,MATCH("Kg demand year N+1",'Customer Launch'!$A$1:$A$153,0),H$5+1),0)+IFERROR(INDEX('AI - Compute'!$D:$AC,MATCH("Kg demand year N+1",'AI - Compute'!$A$1:$A$33,0),H$5+1),0)+IFERROR(INDEX('Lunar - Mars'!$D:$AC,MATCH("Kg demand year N+1",'Lunar - Mars'!$A$1:$A$133,0),H$5+1),0)</f>
        <v>110082618.18539524</v>
      </c>
      <c r="I67" s="178">
        <f t="array" aca="1" ref="I67" ca="1">IFERROR(INDEX(Starlink!$D:$AC,MATCH("Kg demand year N+1",Starlink!$A$1:$A$204,0),I$5+1),0)+IFERROR(INDEX('Customer Launch'!$D:$S,MATCH("Kg demand year N+1",'Customer Launch'!$A$1:$A$153,0),I$5+1),0)+IFERROR(INDEX('AI - Compute'!$D:$AC,MATCH("Kg demand year N+1",'AI - Compute'!$A$1:$A$33,0),I$5+1),0)+IFERROR(INDEX('Lunar - Mars'!$D:$AC,MATCH("Kg demand year N+1",'Lunar - Mars'!$A$1:$A$133,0),I$5+1),0)</f>
        <v>168257110.34425589</v>
      </c>
      <c r="J67" s="178">
        <f t="array" aca="1" ref="J67" ca="1">IFERROR(INDEX(Starlink!$D:$AC,MATCH("Kg demand year N+1",Starlink!$A$1:$A$204,0),J$5+1),0)+IFERROR(INDEX('Customer Launch'!$D:$S,MATCH("Kg demand year N+1",'Customer Launch'!$A$1:$A$153,0),J$5+1),0)+IFERROR(INDEX('AI - Compute'!$D:$AC,MATCH("Kg demand year N+1",'AI - Compute'!$A$1:$A$33,0),J$5+1),0)+IFERROR(INDEX('Lunar - Mars'!$D:$AC,MATCH("Kg demand year N+1",'Lunar - Mars'!$A$1:$A$133,0),J$5+1),0)</f>
        <v>207635221.61803326</v>
      </c>
      <c r="K67" s="178">
        <f t="array" aca="1" ref="K67" ca="1">IFERROR(INDEX(Starlink!$D:$AC,MATCH("Kg demand year N+1",Starlink!$A$1:$A$204,0),K$5+1),0)+IFERROR(INDEX('Customer Launch'!$D:$S,MATCH("Kg demand year N+1",'Customer Launch'!$A$1:$A$153,0),K$5+1),0)+IFERROR(INDEX('AI - Compute'!$D:$AC,MATCH("Kg demand year N+1",'AI - Compute'!$A$1:$A$33,0),K$5+1),0)+IFERROR(INDEX('Lunar - Mars'!$D:$AC,MATCH("Kg demand year N+1",'Lunar - Mars'!$A$1:$A$133,0),K$5+1),0)</f>
        <v>239442292.75009269</v>
      </c>
      <c r="L67" s="178">
        <f t="array" aca="1" ref="L67" ca="1">IFERROR(INDEX(Starlink!$D:$AC,MATCH("Kg demand year N+1",Starlink!$A$1:$A$204,0),L$5+1),0)+IFERROR(INDEX('Customer Launch'!$D:$S,MATCH("Kg demand year N+1",'Customer Launch'!$A$1:$A$153,0),L$5+1),0)+IFERROR(INDEX('AI - Compute'!$D:$AC,MATCH("Kg demand year N+1",'AI - Compute'!$A$1:$A$33,0),L$5+1),0)+IFERROR(INDEX('Lunar - Mars'!$D:$AC,MATCH("Kg demand year N+1",'Lunar - Mars'!$A$1:$A$133,0),L$5+1),0)</f>
        <v>165339871.50176024</v>
      </c>
      <c r="M67" s="178">
        <f t="array" aca="1" ref="M67" ca="1">IFERROR(INDEX(Starlink!$D:$AC,MATCH("Kg demand year N+1",Starlink!$A$1:$A$204,0),M$5+1),0)+IFERROR(INDEX('Customer Launch'!$D:$S,MATCH("Kg demand year N+1",'Customer Launch'!$A$1:$A$153,0),M$5+1),0)+IFERROR(INDEX('AI - Compute'!$D:$AC,MATCH("Kg demand year N+1",'AI - Compute'!$A$1:$A$33,0),M$5+1),0)+IFERROR(INDEX('Lunar - Mars'!$D:$AC,MATCH("Kg demand year N+1",'Lunar - Mars'!$A$1:$A$133,0),M$5+1),0)</f>
        <v>276667061.00602961</v>
      </c>
      <c r="N67" s="178">
        <f t="array" aca="1" ref="N67" ca="1">IFERROR(INDEX(Starlink!$D:$AC,MATCH("Kg demand year N+1",Starlink!$A$1:$A$204,0),N$5+1),0)+IFERROR(INDEX('Customer Launch'!$D:$S,MATCH("Kg demand year N+1",'Customer Launch'!$A$1:$A$153,0),N$5+1),0)+IFERROR(INDEX('AI - Compute'!$D:$AC,MATCH("Kg demand year N+1",'AI - Compute'!$A$1:$A$33,0),N$5+1),0)+IFERROR(INDEX('Lunar - Mars'!$D:$AC,MATCH("Kg demand year N+1",'Lunar - Mars'!$A$1:$A$133,0),N$5+1),0)</f>
        <v>348166973.98860472</v>
      </c>
      <c r="O67" s="178">
        <f t="array" aca="1" ref="O67" ca="1">IFERROR(INDEX(Starlink!$D:$AC,MATCH("Kg demand year N+1",Starlink!$A$1:$A$204,0),O$5+1),0)+IFERROR(INDEX('Customer Launch'!$D:$S,MATCH("Kg demand year N+1",'Customer Launch'!$A$1:$A$153,0),O$5+1),0)+IFERROR(INDEX('AI - Compute'!$D:$AC,MATCH("Kg demand year N+1",'AI - Compute'!$A$1:$A$33,0),O$5+1),0)+IFERROR(INDEX('Lunar - Mars'!$D:$AC,MATCH("Kg demand year N+1",'Lunar - Mars'!$A$1:$A$133,0),O$5+1),0)</f>
        <v>458192201.49598712</v>
      </c>
      <c r="P67" s="178">
        <f t="array" aca="1" ref="P67" ca="1">IFERROR(INDEX(Starlink!$D:$AC,MATCH("Kg demand year N+1",Starlink!$A$1:$A$204,0),P$5+1),0)+IFERROR(INDEX('Customer Launch'!$D:$S,MATCH("Kg demand year N+1",'Customer Launch'!$A$1:$A$153,0),P$5+1),0)+IFERROR(INDEX('AI - Compute'!$D:$AC,MATCH("Kg demand year N+1",'AI - Compute'!$A$1:$A$33,0),P$5+1),0)+IFERROR(INDEX('Lunar - Mars'!$D:$AC,MATCH("Kg demand year N+1",'Lunar - Mars'!$A$1:$A$133,0),P$5+1),0)</f>
        <v>373962774.63125205</v>
      </c>
      <c r="Q67" s="178">
        <f t="array" aca="1" ref="Q67" ca="1">IFERROR(INDEX(Starlink!$D:$AC,MATCH("Kg demand year N+1",Starlink!$A$1:$A$204,0),Q$5+1),0)+IFERROR(INDEX('Customer Launch'!$D:$S,MATCH("Kg demand year N+1",'Customer Launch'!$A$1:$A$153,0),Q$5+1),0)+IFERROR(INDEX('AI - Compute'!$D:$AC,MATCH("Kg demand year N+1",'AI - Compute'!$A$1:$A$33,0),Q$5+1),0)+IFERROR(INDEX('Lunar - Mars'!$D:$AC,MATCH("Kg demand year N+1",'Lunar - Mars'!$A$1:$A$133,0),Q$5+1),0)</f>
        <v>359004164.66209698</v>
      </c>
      <c r="R67" s="178">
        <f t="array" aca="1" ref="R67" ca="1">IFERROR(INDEX(Starlink!$D:$AC,MATCH("Kg demand year N+1",Starlink!$A$1:$A$204,0),R$5+1),0)+IFERROR(INDEX('Customer Launch'!$D:$S,MATCH("Kg demand year N+1",'Customer Launch'!$A$1:$A$153,0),R$5+1),0)+IFERROR(INDEX('AI - Compute'!$D:$AC,MATCH("Kg demand year N+1",'AI - Compute'!$A$1:$A$33,0),R$5+1),0)+IFERROR(INDEX('Lunar - Mars'!$D:$AC,MATCH("Kg demand year N+1",'Lunar - Mars'!$A$1:$A$133,0),R$5+1),0)</f>
        <v>253994552.92088962</v>
      </c>
      <c r="S67" s="178">
        <f t="array" aca="1" ref="S67" ca="1">IFERROR(INDEX(Starlink!$D:$AC,MATCH("Kg demand year N+1",Starlink!$A$1:$A$204,0),S$5+1),0)+IFERROR(INDEX('Customer Launch'!$D:$S,MATCH("Kg demand year N+1",'Customer Launch'!$A$1:$A$153,0),S$5+1),0)+IFERROR(INDEX('AI - Compute'!$D:$AC,MATCH("Kg demand year N+1",'AI - Compute'!$A$1:$A$33,0),S$5+1),0)+IFERROR(INDEX('Lunar - Mars'!$D:$AC,MATCH("Kg demand year N+1",'Lunar - Mars'!$A$1:$A$133,0),S$5+1),0)</f>
        <v>172987556.6862129</v>
      </c>
    </row>
    <row r="68" spans="1:19">
      <c r="A68" s="78" t="s">
        <v>1700</v>
      </c>
      <c r="B68" s="78"/>
      <c r="C68" s="78"/>
      <c r="D68" s="125">
        <f>D56*D11*D44+D62*INDEX(Assumptions!$B:$B,MATCH("F9 cadence per booster (flights/year, flat)",Assumptions!$A$1:$A$257,0))*INDEX(Assumptions!$B:$B,MATCH("F9 payload to LEO (kg)",Assumptions!$A$1:$A$257,0))</f>
        <v>5107200</v>
      </c>
      <c r="E68" s="125">
        <f ca="1">E56*E11*E44+E62*INDEX(Assumptions!$B:$B,MATCH("F9 cadence per booster (flights/year, flat)",Assumptions!$A$1:$A$257,0))*INDEX(Assumptions!$B:$B,MATCH("F9 payload to LEO (kg)",Assumptions!$A$1:$A$257,0))</f>
        <v>5675245.7142857146</v>
      </c>
      <c r="F68" s="125">
        <f ca="1">F56*F11*F44+F62*INDEX(Assumptions!$B:$B,MATCH("F9 cadence per booster (flights/year, flat)",Assumptions!$A$1:$A$257,0))*INDEX(Assumptions!$B:$B,MATCH("F9 payload to LEO (kg)",Assumptions!$A$1:$A$257,0))</f>
        <v>8463944.0858080592</v>
      </c>
      <c r="G68" s="125">
        <f ca="1">G56*G11*G44+G62*INDEX(Assumptions!$B:$B,MATCH("F9 cadence per booster (flights/year, flat)",Assumptions!$A$1:$A$257,0))*INDEX(Assumptions!$B:$B,MATCH("F9 payload to LEO (kg)",Assumptions!$A$1:$A$257,0))</f>
        <v>20795565.623956859</v>
      </c>
      <c r="H68" s="125">
        <f ca="1">H56*H11*H44+H62*INDEX(Assumptions!$B:$B,MATCH("F9 cadence per booster (flights/year, flat)",Assumptions!$A$1:$A$257,0))*INDEX(Assumptions!$B:$B,MATCH("F9 payload to LEO (kg)",Assumptions!$A$1:$A$257,0))</f>
        <v>60080413.873316675</v>
      </c>
      <c r="I68" s="125">
        <f ca="1">I56*I11*I44+I62*INDEX(Assumptions!$B:$B,MATCH("F9 cadence per booster (flights/year, flat)",Assumptions!$A$1:$A$257,0))*INDEX(Assumptions!$B:$B,MATCH("F9 payload to LEO (kg)",Assumptions!$A$1:$A$257,0))</f>
        <v>157955098.60194021</v>
      </c>
      <c r="J68" s="125">
        <f ca="1">J56*J11*J44+J62*INDEX(Assumptions!$B:$B,MATCH("F9 cadence per booster (flights/year, flat)",Assumptions!$A$1:$A$257,0))*INDEX(Assumptions!$B:$B,MATCH("F9 payload to LEO (kg)",Assumptions!$A$1:$A$257,0))</f>
        <v>312459632.94116104</v>
      </c>
      <c r="K68" s="125">
        <f ca="1">K56*K11*K44+K62*INDEX(Assumptions!$B:$B,MATCH("F9 cadence per booster (flights/year, flat)",Assumptions!$A$1:$A$257,0))*INDEX(Assumptions!$B:$B,MATCH("F9 payload to LEO (kg)",Assumptions!$A$1:$A$257,0))</f>
        <v>527215924.73994815</v>
      </c>
      <c r="L68" s="125">
        <f ca="1">L56*L11*L44+L62*INDEX(Assumptions!$B:$B,MATCH("F9 cadence per booster (flights/year, flat)",Assumptions!$A$1:$A$257,0))*INDEX(Assumptions!$B:$B,MATCH("F9 payload to LEO (kg)",Assumptions!$A$1:$A$257,0))</f>
        <v>551545638.08238995</v>
      </c>
      <c r="M68" s="125">
        <f ca="1">M56*M11*M44+M62*INDEX(Assumptions!$B:$B,MATCH("F9 cadence per booster (flights/year, flat)",Assumptions!$A$1:$A$257,0))*INDEX(Assumptions!$B:$B,MATCH("F9 payload to LEO (kg)",Assumptions!$A$1:$A$257,0))</f>
        <v>534650290.24288219</v>
      </c>
      <c r="N68" s="125">
        <f ca="1">N56*N11*N44+N62*INDEX(Assumptions!$B:$B,MATCH("F9 cadence per booster (flights/year, flat)",Assumptions!$A$1:$A$257,0))*INDEX(Assumptions!$B:$B,MATCH("F9 payload to LEO (kg)",Assumptions!$A$1:$A$257,0))</f>
        <v>521920329.92052364</v>
      </c>
      <c r="O68" s="125">
        <f ca="1">O56*O11*O44+O62*INDEX(Assumptions!$B:$B,MATCH("F9 cadence per booster (flights/year, flat)",Assumptions!$A$1:$A$257,0))*INDEX(Assumptions!$B:$B,MATCH("F9 payload to LEO (kg)",Assumptions!$A$1:$A$257,0))</f>
        <v>489823587.55862719</v>
      </c>
      <c r="P68" s="125">
        <f ca="1">P56*P11*P44+P62*INDEX(Assumptions!$B:$B,MATCH("F9 cadence per booster (flights/year, flat)",Assumptions!$A$1:$A$257,0))*INDEX(Assumptions!$B:$B,MATCH("F9 payload to LEO (kg)",Assumptions!$A$1:$A$257,0))</f>
        <v>461601357.02335173</v>
      </c>
      <c r="Q68" s="125">
        <f ca="1">Q56*Q11*Q44+Q62*INDEX(Assumptions!$B:$B,MATCH("F9 cadence per booster (flights/year, flat)",Assumptions!$A$1:$A$257,0))*INDEX(Assumptions!$B:$B,MATCH("F9 payload to LEO (kg)",Assumptions!$A$1:$A$257,0))</f>
        <v>399884975.97290772</v>
      </c>
      <c r="R68" s="125">
        <f ca="1">R56*R11*R44+R62*INDEX(Assumptions!$B:$B,MATCH("F9 cadence per booster (flights/year, flat)",Assumptions!$A$1:$A$257,0))*INDEX(Assumptions!$B:$B,MATCH("F9 payload to LEO (kg)",Assumptions!$A$1:$A$257,0))</f>
        <v>340256056.1936428</v>
      </c>
      <c r="S68" s="125">
        <f ca="1">S56*S11*S44+S62*INDEX(Assumptions!$B:$B,MATCH("F9 cadence per booster (flights/year, flat)",Assumptions!$A$1:$A$257,0))*INDEX(Assumptions!$B:$B,MATCH("F9 payload to LEO (kg)",Assumptions!$A$1:$A$257,0))</f>
        <v>281974811.07569903</v>
      </c>
    </row>
    <row r="69" spans="1:19">
      <c r="A69" s="173" t="s">
        <v>1701</v>
      </c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</row>
    <row r="70" spans="1:19">
      <c r="A70" s="5" t="s">
        <v>1702</v>
      </c>
      <c r="B70" s="3"/>
      <c r="C70" s="3"/>
      <c r="D70" s="22">
        <f t="array" ref="D70">IFERROR(INDEX(Starlink!$D:$AC,MATCH("F9 internal launches per year (Starlink-driven)",Starlink!$A$1:$A$204,0),D$5+1),0)</f>
        <v>166</v>
      </c>
      <c r="E70" s="22">
        <f t="array" aca="1" ref="E70" ca="1">IFERROR(INDEX(Starlink!$D:$AC,MATCH("F9 internal launches per year (Starlink-driven)",Starlink!$A$1:$A$204,0),E$5+1),0)</f>
        <v>138</v>
      </c>
      <c r="F70" s="22">
        <f t="array" ref="F70">IFERROR(INDEX(Starlink!$D:$AC,MATCH("F9 internal launches per year (Starlink-driven)",Starlink!$A$1:$A$204,0),F$5+1),0)</f>
        <v>0</v>
      </c>
      <c r="G70" s="22">
        <f t="array" ref="G70">IFERROR(INDEX(Starlink!$D:$AC,MATCH("F9 internal launches per year (Starlink-driven)",Starlink!$A$1:$A$204,0),G$5+1),0)</f>
        <v>0</v>
      </c>
      <c r="H70" s="22">
        <f t="array" ref="H70">IFERROR(INDEX(Starlink!$D:$AC,MATCH("F9 internal launches per year (Starlink-driven)",Starlink!$A$1:$A$204,0),H$5+1),0)</f>
        <v>0</v>
      </c>
      <c r="I70" s="22">
        <f t="array" ref="I70">IFERROR(INDEX(Starlink!$D:$AC,MATCH("F9 internal launches per year (Starlink-driven)",Starlink!$A$1:$A$204,0),I$5+1),0)</f>
        <v>0</v>
      </c>
      <c r="J70" s="22">
        <f t="array" ref="J70">IFERROR(INDEX(Starlink!$D:$AC,MATCH("F9 internal launches per year (Starlink-driven)",Starlink!$A$1:$A$204,0),J$5+1),0)</f>
        <v>0</v>
      </c>
      <c r="K70" s="22">
        <f t="array" ref="K70">IFERROR(INDEX(Starlink!$D:$AC,MATCH("F9 internal launches per year (Starlink-driven)",Starlink!$A$1:$A$204,0),K$5+1),0)</f>
        <v>0</v>
      </c>
      <c r="L70" s="22">
        <f t="array" ref="L70">IFERROR(INDEX(Starlink!$D:$AC,MATCH("F9 internal launches per year (Starlink-driven)",Starlink!$A$1:$A$204,0),L$5+1),0)</f>
        <v>0</v>
      </c>
      <c r="M70" s="22">
        <f t="array" ref="M70">IFERROR(INDEX(Starlink!$D:$AC,MATCH("F9 internal launches per year (Starlink-driven)",Starlink!$A$1:$A$204,0),M$5+1),0)</f>
        <v>0</v>
      </c>
      <c r="N70" s="22">
        <f t="array" ref="N70">IFERROR(INDEX(Starlink!$D:$AC,MATCH("F9 internal launches per year (Starlink-driven)",Starlink!$A$1:$A$204,0),N$5+1),0)</f>
        <v>0</v>
      </c>
      <c r="O70" s="22">
        <f t="array" ref="O70">IFERROR(INDEX(Starlink!$D:$AC,MATCH("F9 internal launches per year (Starlink-driven)",Starlink!$A$1:$A$204,0),O$5+1),0)</f>
        <v>0</v>
      </c>
      <c r="P70" s="22">
        <f t="array" ref="P70">IFERROR(INDEX(Starlink!$D:$AC,MATCH("F9 internal launches per year (Starlink-driven)",Starlink!$A$1:$A$204,0),P$5+1),0)</f>
        <v>0</v>
      </c>
      <c r="Q70" s="22">
        <f t="array" ref="Q70">IFERROR(INDEX(Starlink!$D:$AC,MATCH("F9 internal launches per year (Starlink-driven)",Starlink!$A$1:$A$204,0),Q$5+1),0)</f>
        <v>0</v>
      </c>
      <c r="R70" s="22">
        <f t="array" ref="R70">IFERROR(INDEX(Starlink!$D:$AC,MATCH("F9 internal launches per year (Starlink-driven)",Starlink!$A$1:$A$204,0),R$5+1),0)</f>
        <v>0</v>
      </c>
      <c r="S70" s="22">
        <f t="array" ref="S70">IFERROR(INDEX(Starlink!$D:$AC,MATCH("F9 internal launches per year (Starlink-driven)",Starlink!$A$1:$A$204,0),S$5+1),0)</f>
        <v>0</v>
      </c>
    </row>
    <row r="71" spans="1:19">
      <c r="A71" s="5" t="s">
        <v>1703</v>
      </c>
      <c r="B71" s="3"/>
      <c r="C71" s="3"/>
      <c r="D71" s="22">
        <f t="array" aca="1" ref="D71" ca="1">IFERROR(INDEX('Customer Launch'!$D:$S,MATCH("F9 customer launches (residual)",'Customer Launch'!$A$1:$A$153,0),D$5+1),IFERROR(INDEX('Customer Launch'!$D:$S,MATCH("F9 customer launches per year",'Customer Launch'!$A$1:$A$153,0),D$5+1),0))</f>
        <v>29</v>
      </c>
      <c r="E71" s="22">
        <f t="array" aca="1" ref="E71" ca="1">IFERROR(INDEX('Customer Launch'!$D:$S,MATCH("F9 customer launches (residual)",'Customer Launch'!$A$1:$A$153,0),E$5+1),IFERROR(INDEX('Customer Launch'!$D:$S,MATCH("F9 customer launches per year",'Customer Launch'!$A$1:$A$153,0),E$5+1),0))</f>
        <v>84</v>
      </c>
      <c r="F71" s="22">
        <f t="array" aca="1" ref="F71" ca="1">IFERROR(INDEX('Customer Launch'!$D:$S,MATCH("F9 customer launches (residual)",'Customer Launch'!$A$1:$A$153,0),F$5+1),IFERROR(INDEX('Customer Launch'!$D:$S,MATCH("F9 customer launches per year",'Customer Launch'!$A$1:$A$153,0),F$5+1),0))</f>
        <v>200.1972262606555</v>
      </c>
      <c r="G71" s="22">
        <f t="array" aca="1" ref="G71" ca="1">IFERROR(INDEX('Customer Launch'!$D:$S,MATCH("F9 customer launches (residual)",'Customer Launch'!$A$1:$A$153,0),G$5+1),IFERROR(INDEX('Customer Launch'!$D:$S,MATCH("F9 customer launches per year",'Customer Launch'!$A$1:$A$153,0),G$5+1),0))</f>
        <v>219.22016565285918</v>
      </c>
      <c r="H71" s="22">
        <f t="array" aca="1" ref="H71" ca="1">IFERROR(INDEX('Customer Launch'!$D:$S,MATCH("F9 customer launches (residual)",'Customer Launch'!$A$1:$A$153,0),H$5+1),IFERROR(INDEX('Customer Launch'!$D:$S,MATCH("F9 customer launches per year",'Customer Launch'!$A$1:$A$153,0),H$5+1),0))</f>
        <v>243.66442452028124</v>
      </c>
      <c r="I71" s="22">
        <f t="array" aca="1" ref="I71" ca="1">IFERROR(INDEX('Customer Launch'!$D:$S,MATCH("F9 customer launches (residual)",'Customer Launch'!$A$1:$A$153,0),I$5+1),IFERROR(INDEX('Customer Launch'!$D:$S,MATCH("F9 customer launches per year",'Customer Launch'!$A$1:$A$153,0),I$5+1),0))</f>
        <v>270</v>
      </c>
      <c r="J71" s="22">
        <f t="array" aca="1" ref="J71" ca="1">IFERROR(INDEX('Customer Launch'!$D:$S,MATCH("F9 customer launches (residual)",'Customer Launch'!$A$1:$A$153,0),J$5+1),IFERROR(INDEX('Customer Launch'!$D:$S,MATCH("F9 customer launches per year",'Customer Launch'!$A$1:$A$153,0),J$5+1),0))</f>
        <v>267</v>
      </c>
      <c r="K71" s="22">
        <f t="array" aca="1" ref="K71" ca="1">IFERROR(INDEX('Customer Launch'!$D:$S,MATCH("F9 customer launches (residual)",'Customer Launch'!$A$1:$A$153,0),K$5+1),IFERROR(INDEX('Customer Launch'!$D:$S,MATCH("F9 customer launches per year",'Customer Launch'!$A$1:$A$153,0),K$5+1),0))</f>
        <v>61.54169885403121</v>
      </c>
      <c r="L71" s="22">
        <f t="array" aca="1" ref="L71" ca="1">IFERROR(INDEX('Customer Launch'!$D:$S,MATCH("F9 customer launches (residual)",'Customer Launch'!$A$1:$A$153,0),L$5+1),IFERROR(INDEX('Customer Launch'!$D:$S,MATCH("F9 customer launches per year",'Customer Launch'!$A$1:$A$153,0),L$5+1),0))</f>
        <v>27.415415590533883</v>
      </c>
      <c r="M71" s="22">
        <f t="array" aca="1" ref="M71" ca="1">IFERROR(INDEX('Customer Launch'!$D:$S,MATCH("F9 customer launches (residual)",'Customer Launch'!$A$1:$A$153,0),M$5+1),IFERROR(INDEX('Customer Launch'!$D:$S,MATCH("F9 customer launches per year",'Customer Launch'!$A$1:$A$153,0),M$5+1),0))</f>
        <v>11.352339200166227</v>
      </c>
      <c r="N71" s="22">
        <f t="array" aca="1" ref="N71" ca="1">IFERROR(INDEX('Customer Launch'!$D:$S,MATCH("F9 customer launches (residual)",'Customer Launch'!$A$1:$A$153,0),N$5+1),IFERROR(INDEX('Customer Launch'!$D:$S,MATCH("F9 customer launches per year",'Customer Launch'!$A$1:$A$153,0),N$5+1),0))</f>
        <v>4.5613243617864896</v>
      </c>
      <c r="O71" s="22">
        <f t="array" aca="1" ref="O71" ca="1">IFERROR(INDEX('Customer Launch'!$D:$S,MATCH("F9 customer launches (residual)",'Customer Launch'!$A$1:$A$153,0),O$5+1),IFERROR(INDEX('Customer Launch'!$D:$S,MATCH("F9 customer launches per year",'Customer Launch'!$A$1:$A$153,0),O$5+1),0))</f>
        <v>1.8118919374235816</v>
      </c>
      <c r="P71" s="22">
        <f t="array" aca="1" ref="P71" ca="1">IFERROR(INDEX('Customer Launch'!$D:$S,MATCH("F9 customer launches (residual)",'Customer Launch'!$A$1:$A$153,0),P$5+1),IFERROR(INDEX('Customer Launch'!$D:$S,MATCH("F9 customer launches per year",'Customer Launch'!$A$1:$A$153,0),P$5+1),0))</f>
        <v>0.71679515061788379</v>
      </c>
      <c r="Q71" s="22">
        <f t="array" aca="1" ref="Q71" ca="1">IFERROR(INDEX('Customer Launch'!$D:$S,MATCH("F9 customer launches (residual)",'Customer Launch'!$A$1:$A$153,0),Q$5+1),IFERROR(INDEX('Customer Launch'!$D:$S,MATCH("F9 customer launches per year",'Customer Launch'!$A$1:$A$153,0),Q$5+1),0))</f>
        <v>0.28319039748510022</v>
      </c>
      <c r="R71" s="22">
        <f t="array" aca="1" ref="R71" ca="1">IFERROR(INDEX('Customer Launch'!$D:$S,MATCH("F9 customer launches (residual)",'Customer Launch'!$A$1:$A$153,0),R$5+1),IFERROR(INDEX('Customer Launch'!$D:$S,MATCH("F9 customer launches per year",'Customer Launch'!$A$1:$A$153,0),R$5+1),0))</f>
        <v>0.1118475379373649</v>
      </c>
      <c r="S71" s="22">
        <f t="array" aca="1" ref="S71" ca="1">IFERROR(INDEX('Customer Launch'!$D:$S,MATCH("F9 customer launches (residual)",'Customer Launch'!$A$1:$A$153,0),S$5+1),IFERROR(INDEX('Customer Launch'!$D:$S,MATCH("F9 customer launches per year",'Customer Launch'!$A$1:$A$153,0),S$5+1),0))</f>
        <v>6</v>
      </c>
    </row>
    <row r="72" spans="1:19">
      <c r="A72" s="78" t="s">
        <v>1704</v>
      </c>
      <c r="B72" s="78"/>
      <c r="C72" s="78"/>
      <c r="D72" s="111">
        <f t="shared" ref="D72:S72" ca="1" si="19">D70+D71</f>
        <v>195</v>
      </c>
      <c r="E72" s="111">
        <f t="shared" ca="1" si="19"/>
        <v>222</v>
      </c>
      <c r="F72" s="111">
        <f t="shared" ca="1" si="19"/>
        <v>200.1972262606555</v>
      </c>
      <c r="G72" s="111">
        <f t="shared" ca="1" si="19"/>
        <v>219.22016565285918</v>
      </c>
      <c r="H72" s="111">
        <f t="shared" ca="1" si="19"/>
        <v>243.66442452028124</v>
      </c>
      <c r="I72" s="111">
        <f t="shared" ca="1" si="19"/>
        <v>270</v>
      </c>
      <c r="J72" s="111">
        <f t="shared" ca="1" si="19"/>
        <v>267</v>
      </c>
      <c r="K72" s="111">
        <f t="shared" ca="1" si="19"/>
        <v>61.54169885403121</v>
      </c>
      <c r="L72" s="111">
        <f t="shared" ca="1" si="19"/>
        <v>27.415415590533883</v>
      </c>
      <c r="M72" s="111">
        <f t="shared" ca="1" si="19"/>
        <v>11.352339200166227</v>
      </c>
      <c r="N72" s="111">
        <f t="shared" ca="1" si="19"/>
        <v>4.5613243617864896</v>
      </c>
      <c r="O72" s="111">
        <f t="shared" ca="1" si="19"/>
        <v>1.8118919374235816</v>
      </c>
      <c r="P72" s="111">
        <f t="shared" ca="1" si="19"/>
        <v>0.71679515061788379</v>
      </c>
      <c r="Q72" s="111">
        <f t="shared" ca="1" si="19"/>
        <v>0.28319039748510022</v>
      </c>
      <c r="R72" s="111">
        <f t="shared" ca="1" si="19"/>
        <v>0.1118475379373649</v>
      </c>
      <c r="S72" s="111">
        <f t="shared" ca="1" si="19"/>
        <v>6</v>
      </c>
    </row>
    <row r="73" spans="1:19">
      <c r="A73" s="5" t="s">
        <v>1705</v>
      </c>
      <c r="B73" s="3"/>
      <c r="C73" s="3"/>
      <c r="D73" s="102">
        <f t="shared" ref="D73:S73" si="20">D64</f>
        <v>248.91428571428571</v>
      </c>
      <c r="E73" s="102">
        <f t="shared" si="20"/>
        <v>278.62857142857143</v>
      </c>
      <c r="F73" s="102">
        <f t="shared" si="20"/>
        <v>306.7657142857143</v>
      </c>
      <c r="G73" s="102">
        <f t="shared" si="20"/>
        <v>324.08914285714286</v>
      </c>
      <c r="H73" s="102">
        <f t="shared" si="20"/>
        <v>331.68022857142859</v>
      </c>
      <c r="I73" s="102">
        <f t="shared" si="20"/>
        <v>330.51220571428576</v>
      </c>
      <c r="J73" s="102">
        <f t="shared" si="20"/>
        <v>321.46098514285717</v>
      </c>
      <c r="K73" s="102">
        <f t="shared" si="20"/>
        <v>305.31488662857146</v>
      </c>
      <c r="L73" s="102">
        <f t="shared" si="20"/>
        <v>282.7833979657143</v>
      </c>
      <c r="M73" s="102">
        <f t="shared" si="20"/>
        <v>254.50505816914287</v>
      </c>
      <c r="N73" s="102">
        <f t="shared" si="20"/>
        <v>229.0545523522286</v>
      </c>
      <c r="O73" s="102">
        <f t="shared" si="20"/>
        <v>206.14909711700574</v>
      </c>
      <c r="P73" s="102">
        <f t="shared" si="20"/>
        <v>185.53418740530518</v>
      </c>
      <c r="Q73" s="102">
        <f t="shared" si="20"/>
        <v>166.98076866477464</v>
      </c>
      <c r="R73" s="102">
        <f t="shared" si="20"/>
        <v>150.28269179829718</v>
      </c>
      <c r="S73" s="102">
        <f t="shared" si="20"/>
        <v>135.25442261846746</v>
      </c>
    </row>
    <row r="74" spans="1:19">
      <c r="A74" s="5" t="s">
        <v>1706</v>
      </c>
      <c r="B74" s="3"/>
      <c r="C74" s="3"/>
      <c r="D74" s="101">
        <f ca="1">D72*INDEX(Assumptions!$B:$B,MATCH("F9 average realized payload per launch (kg)",Assumptions!$A$1:$A$257,0))</f>
        <v>2515500</v>
      </c>
      <c r="E74" s="101">
        <f ca="1">E72*INDEX(Assumptions!$B:$B,MATCH("F9 average realized payload per launch (kg)",Assumptions!$A$1:$A$257,0))</f>
        <v>2863800</v>
      </c>
      <c r="F74" s="101">
        <f ca="1">F72*INDEX(Assumptions!$B:$B,MATCH("F9 average realized payload per launch (kg)",Assumptions!$A$1:$A$257,0))</f>
        <v>2582544.218762456</v>
      </c>
      <c r="G74" s="101">
        <f ca="1">G72*INDEX(Assumptions!$B:$B,MATCH("F9 average realized payload per launch (kg)",Assumptions!$A$1:$A$257,0))</f>
        <v>2827940.1369218836</v>
      </c>
      <c r="H74" s="101">
        <f ca="1">H72*INDEX(Assumptions!$B:$B,MATCH("F9 average realized payload per launch (kg)",Assumptions!$A$1:$A$257,0))</f>
        <v>3143271.0763116279</v>
      </c>
      <c r="I74" s="101">
        <f ca="1">I72*INDEX(Assumptions!$B:$B,MATCH("F9 average realized payload per launch (kg)",Assumptions!$A$1:$A$257,0))</f>
        <v>3483000</v>
      </c>
      <c r="J74" s="101">
        <f ca="1">J72*INDEX(Assumptions!$B:$B,MATCH("F9 average realized payload per launch (kg)",Assumptions!$A$1:$A$257,0))</f>
        <v>3444300</v>
      </c>
      <c r="K74" s="101">
        <f ca="1">K72*INDEX(Assumptions!$B:$B,MATCH("F9 average realized payload per launch (kg)",Assumptions!$A$1:$A$257,0))</f>
        <v>793887.91521700262</v>
      </c>
      <c r="L74" s="101">
        <f ca="1">L72*INDEX(Assumptions!$B:$B,MATCH("F9 average realized payload per launch (kg)",Assumptions!$A$1:$A$257,0))</f>
        <v>353658.86111788708</v>
      </c>
      <c r="M74" s="101">
        <f ca="1">M72*INDEX(Assumptions!$B:$B,MATCH("F9 average realized payload per launch (kg)",Assumptions!$A$1:$A$257,0))</f>
        <v>146445.17568214433</v>
      </c>
      <c r="N74" s="101">
        <f ca="1">N72*INDEX(Assumptions!$B:$B,MATCH("F9 average realized payload per launch (kg)",Assumptions!$A$1:$A$257,0))</f>
        <v>58841.084267045713</v>
      </c>
      <c r="O74" s="101">
        <f ca="1">O72*INDEX(Assumptions!$B:$B,MATCH("F9 average realized payload per launch (kg)",Assumptions!$A$1:$A$257,0))</f>
        <v>23373.405992764201</v>
      </c>
      <c r="P74" s="101">
        <f ca="1">P72*INDEX(Assumptions!$B:$B,MATCH("F9 average realized payload per launch (kg)",Assumptions!$A$1:$A$257,0))</f>
        <v>9246.6574429707016</v>
      </c>
      <c r="Q74" s="101">
        <f ca="1">Q72*INDEX(Assumptions!$B:$B,MATCH("F9 average realized payload per launch (kg)",Assumptions!$A$1:$A$257,0))</f>
        <v>3653.1561275577928</v>
      </c>
      <c r="R74" s="101">
        <f ca="1">R72*INDEX(Assumptions!$B:$B,MATCH("F9 average realized payload per launch (kg)",Assumptions!$A$1:$A$257,0))</f>
        <v>1442.8332393920073</v>
      </c>
      <c r="S74" s="101">
        <f ca="1">S72*INDEX(Assumptions!$B:$B,MATCH("F9 average realized payload per launch (kg)",Assumptions!$A$1:$A$257,0))</f>
        <v>77400</v>
      </c>
    </row>
    <row r="75" spans="1:19">
      <c r="A75" s="5" t="s">
        <v>1707</v>
      </c>
      <c r="B75" s="3"/>
      <c r="C75" s="3"/>
      <c r="D75" s="102">
        <f t="shared" ref="D75:S75" ca="1" si="21">D20*D44</f>
        <v>0</v>
      </c>
      <c r="E75" s="102">
        <f t="shared" ca="1" si="21"/>
        <v>0</v>
      </c>
      <c r="F75" s="102">
        <f t="shared" ca="1" si="21"/>
        <v>8048998.255714654</v>
      </c>
      <c r="G75" s="102">
        <f t="shared" ca="1" si="21"/>
        <v>19249600.394682057</v>
      </c>
      <c r="H75" s="102">
        <f t="shared" ca="1" si="21"/>
        <v>54148245.037018932</v>
      </c>
      <c r="I75" s="102">
        <f t="shared" ca="1" si="21"/>
        <v>116873320.14538173</v>
      </c>
      <c r="J75" s="102">
        <f t="shared" ca="1" si="21"/>
        <v>120520567.94690539</v>
      </c>
      <c r="K75" s="102">
        <f t="shared" ca="1" si="21"/>
        <v>208138407.34991562</v>
      </c>
      <c r="L75" s="102">
        <f t="shared" ca="1" si="21"/>
        <v>129679680.91915841</v>
      </c>
      <c r="M75" s="102">
        <f t="shared" ca="1" si="21"/>
        <v>229400144.78811526</v>
      </c>
      <c r="N75" s="102">
        <f t="shared" ca="1" si="21"/>
        <v>280234295.20031279</v>
      </c>
      <c r="O75" s="102">
        <f t="shared" ca="1" si="21"/>
        <v>384084142.0249998</v>
      </c>
      <c r="P75" s="102">
        <f t="shared" ca="1" si="21"/>
        <v>301200262.08830351</v>
      </c>
      <c r="Q75" s="102">
        <f t="shared" ca="1" si="21"/>
        <v>265859490.97427437</v>
      </c>
      <c r="R75" s="102">
        <f t="shared" ca="1" si="21"/>
        <v>248002618.47459769</v>
      </c>
      <c r="S75" s="102">
        <f t="shared" ca="1" si="21"/>
        <v>172993569.01029086</v>
      </c>
    </row>
    <row r="76" spans="1:19">
      <c r="A76" s="78" t="s">
        <v>1708</v>
      </c>
      <c r="B76" s="78"/>
      <c r="C76" s="78"/>
      <c r="D76" s="111">
        <f t="shared" ref="D76:S76" ca="1" si="22">(D74+D75)/1000</f>
        <v>2515.5</v>
      </c>
      <c r="E76" s="111">
        <f t="shared" ca="1" si="22"/>
        <v>2863.8</v>
      </c>
      <c r="F76" s="111">
        <f t="shared" ca="1" si="22"/>
        <v>10631.54247447711</v>
      </c>
      <c r="G76" s="111">
        <f t="shared" ca="1" si="22"/>
        <v>22077.54053160394</v>
      </c>
      <c r="H76" s="111">
        <f t="shared" ca="1" si="22"/>
        <v>57291.516113330559</v>
      </c>
      <c r="I76" s="111">
        <f t="shared" ca="1" si="22"/>
        <v>120356.32014538173</v>
      </c>
      <c r="J76" s="111">
        <f t="shared" ca="1" si="22"/>
        <v>123964.86794690539</v>
      </c>
      <c r="K76" s="111">
        <f t="shared" ca="1" si="22"/>
        <v>208932.29526513265</v>
      </c>
      <c r="L76" s="111">
        <f t="shared" ca="1" si="22"/>
        <v>130033.33978027629</v>
      </c>
      <c r="M76" s="111">
        <f t="shared" ca="1" si="22"/>
        <v>229546.58996379742</v>
      </c>
      <c r="N76" s="111">
        <f t="shared" ca="1" si="22"/>
        <v>280293.13628457981</v>
      </c>
      <c r="O76" s="111">
        <f t="shared" ca="1" si="22"/>
        <v>384107.51543099253</v>
      </c>
      <c r="P76" s="111">
        <f t="shared" ca="1" si="22"/>
        <v>301209.50874574651</v>
      </c>
      <c r="Q76" s="111">
        <f t="shared" ca="1" si="22"/>
        <v>265863.14413040195</v>
      </c>
      <c r="R76" s="111">
        <f t="shared" ca="1" si="22"/>
        <v>248004.06130783711</v>
      </c>
      <c r="S76" s="111">
        <f t="shared" ca="1" si="22"/>
        <v>173070.96901029086</v>
      </c>
    </row>
    <row r="77" spans="1:19">
      <c r="A77" s="5" t="s">
        <v>1709</v>
      </c>
      <c r="B77" s="3"/>
      <c r="C77" s="3"/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</row>
    <row r="78" spans="1:19">
      <c r="A78" s="5" t="s">
        <v>1710</v>
      </c>
      <c r="B78" s="3"/>
      <c r="C78" s="3"/>
      <c r="D78" s="102">
        <f>D70</f>
        <v>166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</row>
    <row r="79" spans="1:19">
      <c r="A79" s="5" t="s">
        <v>1711</v>
      </c>
      <c r="B79" s="3"/>
      <c r="C79" s="3"/>
      <c r="D79" s="102">
        <f ca="1">D71</f>
        <v>29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</row>
    <row r="80" spans="1:19">
      <c r="A80" s="78" t="s">
        <v>1712</v>
      </c>
      <c r="B80" s="78"/>
      <c r="C80" s="78"/>
      <c r="D80" s="111">
        <f ca="1">D72</f>
        <v>195</v>
      </c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173" t="s">
        <v>1713</v>
      </c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</row>
    <row r="83" spans="1:19">
      <c r="A83" s="5" t="s">
        <v>1714</v>
      </c>
      <c r="B83" s="3"/>
      <c r="C83" s="3"/>
      <c r="D83" s="23">
        <f t="shared" ref="D83:S83" si="23">IFERROR(D106/D12,0)</f>
        <v>0</v>
      </c>
      <c r="E83" s="23">
        <f t="shared" ca="1" si="23"/>
        <v>242.76077640647529</v>
      </c>
      <c r="F83" s="23">
        <f t="shared" ca="1" si="23"/>
        <v>4027.492969361761</v>
      </c>
      <c r="G83" s="23">
        <f t="shared" ca="1" si="23"/>
        <v>1999.5068332187077</v>
      </c>
      <c r="H83" s="23">
        <f t="shared" ca="1" si="23"/>
        <v>1133.2428423065908</v>
      </c>
      <c r="I83" s="23">
        <f t="shared" ca="1" si="23"/>
        <v>640.69437888331868</v>
      </c>
      <c r="J83" s="23">
        <f t="shared" ca="1" si="23"/>
        <v>457.74278898824718</v>
      </c>
      <c r="K83" s="23">
        <f t="shared" ca="1" si="23"/>
        <v>340.34773493354783</v>
      </c>
      <c r="L83" s="23">
        <f t="shared" ca="1" si="23"/>
        <v>269.59124281612941</v>
      </c>
      <c r="M83" s="23">
        <f t="shared" ca="1" si="23"/>
        <v>266.60453002007392</v>
      </c>
      <c r="N83" s="23">
        <f t="shared" ca="1" si="23"/>
        <v>253.94279580033805</v>
      </c>
      <c r="O83" s="23">
        <f t="shared" ca="1" si="23"/>
        <v>217.33531841011353</v>
      </c>
      <c r="P83" s="23">
        <f t="shared" ca="1" si="23"/>
        <v>160.96694052194135</v>
      </c>
      <c r="Q83" s="23">
        <f t="shared" ca="1" si="23"/>
        <v>122.36997885840371</v>
      </c>
      <c r="R83" s="23">
        <f t="shared" ca="1" si="23"/>
        <v>107.04267735643188</v>
      </c>
      <c r="S83" s="23">
        <f t="shared" ca="1" si="23"/>
        <v>124.65149186853701</v>
      </c>
    </row>
    <row r="84" spans="1:19">
      <c r="A84" s="5" t="s">
        <v>1715</v>
      </c>
      <c r="B84" s="3"/>
      <c r="C84" s="3"/>
      <c r="D84" s="23">
        <f t="shared" ref="D84:S84" ca="1" si="24">MIN( MAX(0,D83-D85+D86), D107 )</f>
        <v>0</v>
      </c>
      <c r="E84" s="23">
        <f t="shared" ca="1" si="24"/>
        <v>8</v>
      </c>
      <c r="F84" s="23">
        <f t="shared" ca="1" si="24"/>
        <v>23</v>
      </c>
      <c r="G84" s="23">
        <f t="shared" ca="1" si="24"/>
        <v>38</v>
      </c>
      <c r="H84" s="23">
        <f t="shared" ca="1" si="24"/>
        <v>53</v>
      </c>
      <c r="I84" s="23">
        <f t="shared" ca="1" si="24"/>
        <v>68</v>
      </c>
      <c r="J84" s="23">
        <f t="shared" ca="1" si="24"/>
        <v>83</v>
      </c>
      <c r="K84" s="23">
        <f t="shared" ca="1" si="24"/>
        <v>98</v>
      </c>
      <c r="L84" s="23">
        <f t="shared" ca="1" si="24"/>
        <v>67.344236906469689</v>
      </c>
      <c r="M84" s="23">
        <f t="shared" ca="1" si="24"/>
        <v>54.363323400973329</v>
      </c>
      <c r="N84" s="23">
        <f t="shared" ca="1" si="24"/>
        <v>57.396839580342331</v>
      </c>
      <c r="O84" s="23">
        <f t="shared" ca="1" si="24"/>
        <v>59.413558116025428</v>
      </c>
      <c r="P84" s="23">
        <f t="shared" ca="1" si="24"/>
        <v>18.931687633903721</v>
      </c>
      <c r="Q84" s="23">
        <f t="shared" ca="1" si="24"/>
        <v>27.86791108003095</v>
      </c>
      <c r="R84" s="23">
        <f t="shared" ca="1" si="24"/>
        <v>46.673353116677589</v>
      </c>
      <c r="S84" s="23">
        <f t="shared" ca="1" si="24"/>
        <v>60.857206764677855</v>
      </c>
    </row>
    <row r="85" spans="1:19">
      <c r="A85" s="5" t="s">
        <v>1716</v>
      </c>
      <c r="B85" s="3"/>
      <c r="C85" s="3"/>
      <c r="D85" s="6">
        <v>0</v>
      </c>
      <c r="E85" s="23">
        <f t="shared" ref="E85:S85" ca="1" si="25">D87</f>
        <v>0</v>
      </c>
      <c r="F85" s="23">
        <f t="shared" ca="1" si="25"/>
        <v>8</v>
      </c>
      <c r="G85" s="23">
        <f t="shared" ca="1" si="25"/>
        <v>27.95</v>
      </c>
      <c r="H85" s="23">
        <f t="shared" ca="1" si="25"/>
        <v>59.6</v>
      </c>
      <c r="I85" s="23">
        <f t="shared" ca="1" si="25"/>
        <v>97.05</v>
      </c>
      <c r="J85" s="23">
        <f t="shared" ca="1" si="25"/>
        <v>135.83166996365458</v>
      </c>
      <c r="K85" s="23">
        <f t="shared" ca="1" si="25"/>
        <v>188.70152797692822</v>
      </c>
      <c r="L85" s="23">
        <f t="shared" ca="1" si="25"/>
        <v>234.66692613944932</v>
      </c>
      <c r="M85" s="23">
        <f t="shared" ca="1" si="25"/>
        <v>269.59124281612941</v>
      </c>
      <c r="N85" s="23">
        <f t="shared" ca="1" si="25"/>
        <v>266.60453002007392</v>
      </c>
      <c r="O85" s="23">
        <f t="shared" ca="1" si="25"/>
        <v>253.94279580033805</v>
      </c>
      <c r="P85" s="23">
        <f t="shared" ca="1" si="25"/>
        <v>217.3353184101135</v>
      </c>
      <c r="Q85" s="23">
        <f t="shared" ca="1" si="25"/>
        <v>160.96694052194135</v>
      </c>
      <c r="R85" s="23">
        <f t="shared" ca="1" si="25"/>
        <v>122.36997885840371</v>
      </c>
      <c r="S85" s="23">
        <f t="shared" ca="1" si="25"/>
        <v>107.04267735643187</v>
      </c>
    </row>
    <row r="86" spans="1:19">
      <c r="A86" s="5" t="s">
        <v>1717</v>
      </c>
      <c r="B86" s="3"/>
      <c r="C86" s="3"/>
      <c r="D86" s="77">
        <f ca="1">MAX( IFERROR(D20/INDEX(Assumptions!$B:$B,MATCH("Starship ship reuse life (flights per ship)",Assumptions!$A$1:$A$257,0)),0), IFERROR(D85/INDEX(Assumptions!$B:$B,MATCH("Launch vehicle calendar life (years)",Assumptions!$A$1:$A$257,0)),0) )</f>
        <v>0</v>
      </c>
      <c r="E86" s="77">
        <f ca="1">MAX( IFERROR(E20/INDEX(Assumptions!$B:$B,MATCH("Starship ship reuse life (flights per ship)",Assumptions!$A$1:$A$257,0)),0), IFERROR(E85/INDEX(Assumptions!$B:$B,MATCH("Launch vehicle calendar life (years)",Assumptions!$A$1:$A$257,0)),0) )</f>
        <v>0</v>
      </c>
      <c r="F86" s="77">
        <f ca="1">MAX( IFERROR(F20/INDEX(Assumptions!$B:$B,MATCH("Starship ship reuse life (flights per ship)",Assumptions!$A$1:$A$257,0)),0), IFERROR(F85/INDEX(Assumptions!$B:$B,MATCH("Launch vehicle calendar life (years)",Assumptions!$A$1:$A$257,0)),0) )</f>
        <v>3.05</v>
      </c>
      <c r="G86" s="77">
        <f ca="1">MAX( IFERROR(G20/INDEX(Assumptions!$B:$B,MATCH("Starship ship reuse life (flights per ship)",Assumptions!$A$1:$A$257,0)),0), IFERROR(G85/INDEX(Assumptions!$B:$B,MATCH("Launch vehicle calendar life (years)",Assumptions!$A$1:$A$257,0)),0) )</f>
        <v>6.35</v>
      </c>
      <c r="H86" s="77">
        <f ca="1">MAX( IFERROR(H20/INDEX(Assumptions!$B:$B,MATCH("Starship ship reuse life (flights per ship)",Assumptions!$A$1:$A$257,0)),0), IFERROR(H85/INDEX(Assumptions!$B:$B,MATCH("Launch vehicle calendar life (years)",Assumptions!$A$1:$A$257,0)),0) )</f>
        <v>15.550000000000002</v>
      </c>
      <c r="I86" s="77">
        <f ca="1">MAX( IFERROR(I20/INDEX(Assumptions!$B:$B,MATCH("Starship ship reuse life (flights per ship)",Assumptions!$A$1:$A$257,0)),0), IFERROR(I85/INDEX(Assumptions!$B:$B,MATCH("Launch vehicle calendar life (years)",Assumptions!$A$1:$A$257,0)),0) )</f>
        <v>29.218330036345435</v>
      </c>
      <c r="J86" s="77">
        <f ca="1">MAX( IFERROR(J20/INDEX(Assumptions!$B:$B,MATCH("Starship ship reuse life (flights per ship)",Assumptions!$A$1:$A$257,0)),0), IFERROR(J85/INDEX(Assumptions!$B:$B,MATCH("Launch vehicle calendar life (years)",Assumptions!$A$1:$A$257,0)),0) )</f>
        <v>30.130141986726347</v>
      </c>
      <c r="K86" s="77">
        <f ca="1">MAX( IFERROR(K20/INDEX(Assumptions!$B:$B,MATCH("Starship ship reuse life (flights per ship)",Assumptions!$A$1:$A$257,0)),0), IFERROR(K85/INDEX(Assumptions!$B:$B,MATCH("Launch vehicle calendar life (years)",Assumptions!$A$1:$A$257,0)),0) )</f>
        <v>52.03460183747891</v>
      </c>
      <c r="L86" s="77">
        <f ca="1">MAX( IFERROR(L20/INDEX(Assumptions!$B:$B,MATCH("Starship ship reuse life (flights per ship)",Assumptions!$A$1:$A$257,0)),0), IFERROR(L85/INDEX(Assumptions!$B:$B,MATCH("Launch vehicle calendar life (years)",Assumptions!$A$1:$A$257,0)),0) )</f>
        <v>32.419920229789604</v>
      </c>
      <c r="M86" s="77">
        <f ca="1">MAX( IFERROR(M20/INDEX(Assumptions!$B:$B,MATCH("Starship ship reuse life (flights per ship)",Assumptions!$A$1:$A$257,0)),0), IFERROR(M85/INDEX(Assumptions!$B:$B,MATCH("Launch vehicle calendar life (years)",Assumptions!$A$1:$A$257,0)),0) )</f>
        <v>57.350036197028814</v>
      </c>
      <c r="N86" s="77">
        <f ca="1">MAX( IFERROR(N20/INDEX(Assumptions!$B:$B,MATCH("Starship ship reuse life (flights per ship)",Assumptions!$A$1:$A$257,0)),0), IFERROR(N85/INDEX(Assumptions!$B:$B,MATCH("Launch vehicle calendar life (years)",Assumptions!$A$1:$A$257,0)),0) )</f>
        <v>70.058573800078207</v>
      </c>
      <c r="O86" s="77">
        <f ca="1">MAX( IFERROR(O20/INDEX(Assumptions!$B:$B,MATCH("Starship ship reuse life (flights per ship)",Assumptions!$A$1:$A$257,0)),0), IFERROR(O85/INDEX(Assumptions!$B:$B,MATCH("Launch vehicle calendar life (years)",Assumptions!$A$1:$A$257,0)),0) )</f>
        <v>96.021035506249945</v>
      </c>
      <c r="P86" s="77">
        <f ca="1">MAX( IFERROR(P20/INDEX(Assumptions!$B:$B,MATCH("Starship ship reuse life (flights per ship)",Assumptions!$A$1:$A$257,0)),0), IFERROR(P85/INDEX(Assumptions!$B:$B,MATCH("Launch vehicle calendar life (years)",Assumptions!$A$1:$A$257,0)),0) )</f>
        <v>75.300065522075869</v>
      </c>
      <c r="Q86" s="77">
        <f ca="1">MAX( IFERROR(Q20/INDEX(Assumptions!$B:$B,MATCH("Starship ship reuse life (flights per ship)",Assumptions!$A$1:$A$257,0)),0), IFERROR(Q85/INDEX(Assumptions!$B:$B,MATCH("Launch vehicle calendar life (years)",Assumptions!$A$1:$A$257,0)),0) )</f>
        <v>66.464872743568591</v>
      </c>
      <c r="R86" s="77">
        <f ca="1">MAX( IFERROR(R20/INDEX(Assumptions!$B:$B,MATCH("Starship ship reuse life (flights per ship)",Assumptions!$A$1:$A$257,0)),0), IFERROR(R85/INDEX(Assumptions!$B:$B,MATCH("Launch vehicle calendar life (years)",Assumptions!$A$1:$A$257,0)),0) )</f>
        <v>62.000654618649421</v>
      </c>
      <c r="S86" s="77">
        <f ca="1">MAX( IFERROR(S20/INDEX(Assumptions!$B:$B,MATCH("Starship ship reuse life (flights per ship)",Assumptions!$A$1:$A$257,0)),0), IFERROR(S85/INDEX(Assumptions!$B:$B,MATCH("Launch vehicle calendar life (years)",Assumptions!$A$1:$A$257,0)),0) )</f>
        <v>43.248392252572714</v>
      </c>
    </row>
    <row r="87" spans="1:19">
      <c r="A87" s="5" t="s">
        <v>1718</v>
      </c>
      <c r="B87" s="3"/>
      <c r="C87" s="3"/>
      <c r="D87" s="23">
        <f t="shared" ref="D87:S87" ca="1" si="26">D85+D84-D86</f>
        <v>0</v>
      </c>
      <c r="E87" s="23">
        <f t="shared" ca="1" si="26"/>
        <v>8</v>
      </c>
      <c r="F87" s="23">
        <f t="shared" ca="1" si="26"/>
        <v>27.95</v>
      </c>
      <c r="G87" s="23">
        <f t="shared" ca="1" si="26"/>
        <v>59.6</v>
      </c>
      <c r="H87" s="23">
        <f t="shared" ca="1" si="26"/>
        <v>97.05</v>
      </c>
      <c r="I87" s="23">
        <f t="shared" ca="1" si="26"/>
        <v>135.83166996365458</v>
      </c>
      <c r="J87" s="23">
        <f t="shared" ca="1" si="26"/>
        <v>188.70152797692822</v>
      </c>
      <c r="K87" s="23">
        <f t="shared" ca="1" si="26"/>
        <v>234.66692613944932</v>
      </c>
      <c r="L87" s="23">
        <f t="shared" ca="1" si="26"/>
        <v>269.59124281612941</v>
      </c>
      <c r="M87" s="23">
        <f t="shared" ca="1" si="26"/>
        <v>266.60453002007392</v>
      </c>
      <c r="N87" s="23">
        <f t="shared" ca="1" si="26"/>
        <v>253.94279580033805</v>
      </c>
      <c r="O87" s="23">
        <f t="shared" ca="1" si="26"/>
        <v>217.3353184101135</v>
      </c>
      <c r="P87" s="23">
        <f t="shared" ca="1" si="26"/>
        <v>160.96694052194135</v>
      </c>
      <c r="Q87" s="23">
        <f t="shared" ca="1" si="26"/>
        <v>122.36997885840371</v>
      </c>
      <c r="R87" s="23">
        <f t="shared" ca="1" si="26"/>
        <v>107.04267735643187</v>
      </c>
      <c r="S87" s="23">
        <f t="shared" ca="1" si="26"/>
        <v>124.65149186853701</v>
      </c>
    </row>
    <row r="88" spans="1:1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173" t="s">
        <v>1719</v>
      </c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</row>
    <row r="90" spans="1:19">
      <c r="A90" s="5" t="s">
        <v>1720</v>
      </c>
      <c r="B90" s="3"/>
      <c r="C90" s="3"/>
      <c r="D90" s="102">
        <f t="shared" ref="D90:S90" ca="1" si="27">D55*D35</f>
        <v>0</v>
      </c>
      <c r="E90" s="102">
        <f t="shared" ca="1" si="27"/>
        <v>292.66085017566655</v>
      </c>
      <c r="F90" s="102">
        <f t="shared" ca="1" si="27"/>
        <v>743.27903943557681</v>
      </c>
      <c r="G90" s="102">
        <f t="shared" ca="1" si="27"/>
        <v>1087.5946758989132</v>
      </c>
      <c r="H90" s="102">
        <f t="shared" ca="1" si="27"/>
        <v>1365.9306805666749</v>
      </c>
      <c r="I90" s="102">
        <f t="shared" ca="1" si="27"/>
        <v>1603.0480367412963</v>
      </c>
      <c r="J90" s="102">
        <f t="shared" ca="1" si="27"/>
        <v>1812.4821886103182</v>
      </c>
      <c r="K90" s="102">
        <f t="shared" ca="1" si="27"/>
        <v>0</v>
      </c>
      <c r="L90" s="102">
        <f t="shared" ca="1" si="27"/>
        <v>0</v>
      </c>
      <c r="M90" s="102">
        <f t="shared" ca="1" si="27"/>
        <v>0</v>
      </c>
      <c r="N90" s="102">
        <f t="shared" ca="1" si="27"/>
        <v>0.9695675852302712</v>
      </c>
      <c r="O90" s="102">
        <f t="shared" ca="1" si="27"/>
        <v>167.0123336840557</v>
      </c>
      <c r="P90" s="102">
        <f t="shared" ca="1" si="27"/>
        <v>0</v>
      </c>
      <c r="Q90" s="102">
        <f t="shared" ca="1" si="27"/>
        <v>0</v>
      </c>
      <c r="R90" s="102">
        <f t="shared" ca="1" si="27"/>
        <v>0</v>
      </c>
      <c r="S90" s="102">
        <f t="shared" ca="1" si="27"/>
        <v>252.95049305831711</v>
      </c>
    </row>
    <row r="91" spans="1:19">
      <c r="A91" s="5" t="s">
        <v>1721</v>
      </c>
      <c r="B91" s="3"/>
      <c r="C91" s="3"/>
      <c r="D91" s="102">
        <f t="shared" ref="D91:S91" ca="1" si="28">D84*D36</f>
        <v>0</v>
      </c>
      <c r="E91" s="102">
        <f t="shared" ca="1" si="28"/>
        <v>195.10723345044437</v>
      </c>
      <c r="F91" s="102">
        <f t="shared" ca="1" si="28"/>
        <v>495.51935962371789</v>
      </c>
      <c r="G91" s="102">
        <f t="shared" ca="1" si="28"/>
        <v>725.0631172659422</v>
      </c>
      <c r="H91" s="102">
        <f t="shared" ca="1" si="28"/>
        <v>910.62045371111685</v>
      </c>
      <c r="I91" s="102">
        <f t="shared" ca="1" si="28"/>
        <v>1068.6986911608642</v>
      </c>
      <c r="J91" s="102">
        <f t="shared" ca="1" si="28"/>
        <v>1208.3214590735456</v>
      </c>
      <c r="K91" s="102">
        <f t="shared" ca="1" si="28"/>
        <v>1334.6855388041499</v>
      </c>
      <c r="L91" s="102">
        <f t="shared" ca="1" si="28"/>
        <v>884.01731908560964</v>
      </c>
      <c r="M91" s="102">
        <f t="shared" ca="1" si="28"/>
        <v>695.29583231626793</v>
      </c>
      <c r="N91" s="102">
        <f t="shared" ca="1" si="28"/>
        <v>716.21829744997751</v>
      </c>
      <c r="O91" s="102">
        <f t="shared" ca="1" si="28"/>
        <v>724.4893033353261</v>
      </c>
      <c r="P91" s="102">
        <f t="shared" ca="1" si="28"/>
        <v>229.26726211142741</v>
      </c>
      <c r="Q91" s="102">
        <f t="shared" ca="1" si="28"/>
        <v>334.19852442794001</v>
      </c>
      <c r="R91" s="102">
        <f t="shared" ca="1" si="28"/>
        <v>551.08939574005819</v>
      </c>
      <c r="S91" s="102">
        <f t="shared" ca="1" si="28"/>
        <v>705.16356447482076</v>
      </c>
    </row>
    <row r="92" spans="1:19">
      <c r="A92" s="78" t="s">
        <v>1722</v>
      </c>
      <c r="B92" s="78"/>
      <c r="C92" s="78"/>
      <c r="D92" s="111">
        <f t="shared" ref="D92:S92" ca="1" si="29">D90+D91</f>
        <v>0</v>
      </c>
      <c r="E92" s="111">
        <f t="shared" ca="1" si="29"/>
        <v>487.76808362611092</v>
      </c>
      <c r="F92" s="111">
        <f t="shared" ca="1" si="29"/>
        <v>1238.7983990592948</v>
      </c>
      <c r="G92" s="111">
        <f t="shared" ca="1" si="29"/>
        <v>1812.6577931648553</v>
      </c>
      <c r="H92" s="111">
        <f t="shared" ca="1" si="29"/>
        <v>2276.5511342777918</v>
      </c>
      <c r="I92" s="111">
        <f t="shared" ca="1" si="29"/>
        <v>2671.7467279021603</v>
      </c>
      <c r="J92" s="111">
        <f t="shared" ca="1" si="29"/>
        <v>3020.8036476838638</v>
      </c>
      <c r="K92" s="111">
        <f t="shared" ca="1" si="29"/>
        <v>1334.6855388041499</v>
      </c>
      <c r="L92" s="111">
        <f t="shared" ca="1" si="29"/>
        <v>884.01731908560964</v>
      </c>
      <c r="M92" s="111">
        <f t="shared" ca="1" si="29"/>
        <v>695.29583231626793</v>
      </c>
      <c r="N92" s="111">
        <f t="shared" ca="1" si="29"/>
        <v>717.18786503520778</v>
      </c>
      <c r="O92" s="111">
        <f t="shared" ca="1" si="29"/>
        <v>891.50163701938186</v>
      </c>
      <c r="P92" s="111">
        <f t="shared" ca="1" si="29"/>
        <v>229.26726211142741</v>
      </c>
      <c r="Q92" s="111">
        <f t="shared" ca="1" si="29"/>
        <v>334.19852442794001</v>
      </c>
      <c r="R92" s="111">
        <f t="shared" ca="1" si="29"/>
        <v>551.08939574005819</v>
      </c>
      <c r="S92" s="111">
        <f t="shared" ca="1" si="29"/>
        <v>958.11405753313784</v>
      </c>
    </row>
    <row r="93" spans="1:1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5" t="s">
        <v>1723</v>
      </c>
      <c r="B94" s="3"/>
      <c r="C94" s="3"/>
      <c r="D94" s="6">
        <f t="array" aca="1" ref="D94" ca="1">IFERROR(INDEX('Facilities Build'!$D:$AC,MATCH("Launch/vehicle facility CapEx total ($mm)  ◄ launch/vehicle",'Facilities Build'!$A$1:$A$74,0),D$5+1),0)</f>
        <v>750</v>
      </c>
      <c r="E94" s="6">
        <f t="array" aca="1" ref="E94" ca="1">IFERROR(INDEX('Facilities Build'!$D:$AC,MATCH("Launch/vehicle facility CapEx total ($mm)  ◄ launch/vehicle",'Facilities Build'!$A$1:$A$74,0),E$5+1),0)</f>
        <v>750</v>
      </c>
      <c r="F94" s="6">
        <f t="array" aca="1" ref="F94" ca="1">IFERROR(INDEX('Facilities Build'!$D:$AC,MATCH("Launch/vehicle facility CapEx total ($mm)  ◄ launch/vehicle",'Facilities Build'!$A$1:$A$74,0),F$5+1),0)</f>
        <v>375</v>
      </c>
      <c r="G94" s="6">
        <f t="array" aca="1" ref="G94" ca="1">IFERROR(INDEX('Facilities Build'!$D:$AC,MATCH("Launch/vehicle facility CapEx total ($mm)  ◄ launch/vehicle",'Facilities Build'!$A$1:$A$74,0),G$5+1),0)</f>
        <v>471.4</v>
      </c>
      <c r="H94" s="6">
        <f t="array" aca="1" ref="H94" ca="1">IFERROR(INDEX('Facilities Build'!$D:$AC,MATCH("Launch/vehicle facility CapEx total ($mm)  ◄ launch/vehicle",'Facilities Build'!$A$1:$A$74,0),H$5+1),0)</f>
        <v>1092</v>
      </c>
      <c r="I94" s="6">
        <f t="array" aca="1" ref="I94" ca="1">IFERROR(INDEX('Facilities Build'!$D:$AC,MATCH("Launch/vehicle facility CapEx total ($mm)  ◄ launch/vehicle",'Facilities Build'!$A$1:$A$74,0),I$5+1),0)</f>
        <v>1092</v>
      </c>
      <c r="J94" s="6">
        <f t="array" aca="1" ref="J94" ca="1">IFERROR(INDEX('Facilities Build'!$D:$AC,MATCH("Launch/vehicle facility CapEx total ($mm)  ◄ launch/vehicle",'Facilities Build'!$A$1:$A$74,0),J$5+1),0)</f>
        <v>492</v>
      </c>
      <c r="K94" s="6">
        <f t="array" aca="1" ref="K94" ca="1">IFERROR(INDEX('Facilities Build'!$D:$AC,MATCH("Launch/vehicle facility CapEx total ($mm)  ◄ launch/vehicle",'Facilities Build'!$A$1:$A$74,0),K$5+1),0)</f>
        <v>1575</v>
      </c>
      <c r="L94" s="6">
        <f t="array" aca="1" ref="L94" ca="1">IFERROR(INDEX('Facilities Build'!$D:$AC,MATCH("Launch/vehicle facility CapEx total ($mm)  ◄ launch/vehicle",'Facilities Build'!$A$1:$A$74,0),L$5+1),0)</f>
        <v>375</v>
      </c>
      <c r="M94" s="6">
        <f t="array" aca="1" ref="M94" ca="1">IFERROR(INDEX('Facilities Build'!$D:$AC,MATCH("Launch/vehicle facility CapEx total ($mm)  ◄ launch/vehicle",'Facilities Build'!$A$1:$A$74,0),M$5+1),0)</f>
        <v>775</v>
      </c>
      <c r="N94" s="6">
        <f t="array" aca="1" ref="N94" ca="1">IFERROR(INDEX('Facilities Build'!$D:$AC,MATCH("Launch/vehicle facility CapEx total ($mm)  ◄ launch/vehicle",'Facilities Build'!$A$1:$A$74,0),N$5+1),0)</f>
        <v>975</v>
      </c>
      <c r="O94" s="6">
        <f t="array" aca="1" ref="O94" ca="1">IFERROR(INDEX('Facilities Build'!$D:$AC,MATCH("Launch/vehicle facility CapEx total ($mm)  ◄ launch/vehicle",'Facilities Build'!$A$1:$A$74,0),O$5+1),0)</f>
        <v>1775</v>
      </c>
      <c r="P94" s="6">
        <f t="array" aca="1" ref="P94" ca="1">IFERROR(INDEX('Facilities Build'!$D:$AC,MATCH("Launch/vehicle facility CapEx total ($mm)  ◄ launch/vehicle",'Facilities Build'!$A$1:$A$74,0),P$5+1),0)</f>
        <v>375</v>
      </c>
      <c r="Q94" s="6">
        <f t="array" aca="1" ref="Q94" ca="1">IFERROR(INDEX('Facilities Build'!$D:$AC,MATCH("Launch/vehicle facility CapEx total ($mm)  ◄ launch/vehicle",'Facilities Build'!$A$1:$A$74,0),Q$5+1),0)</f>
        <v>375</v>
      </c>
      <c r="R94" s="6">
        <f t="array" aca="1" ref="R94" ca="1">IFERROR(INDEX('Facilities Build'!$D:$AC,MATCH("Launch/vehicle facility CapEx total ($mm)  ◄ launch/vehicle",'Facilities Build'!$A$1:$A$74,0),R$5+1),0)</f>
        <v>375</v>
      </c>
      <c r="S94" s="6">
        <f t="array" aca="1" ref="S94" ca="1">IFERROR(INDEX('Facilities Build'!$D:$AC,MATCH("Launch/vehicle facility CapEx total ($mm)  ◄ launch/vehicle",'Facilities Build'!$A$1:$A$74,0),S$5+1),0)</f>
        <v>375</v>
      </c>
    </row>
    <row r="95" spans="1:19">
      <c r="A95" s="78" t="s">
        <v>1724</v>
      </c>
      <c r="B95" s="78"/>
      <c r="C95" s="78"/>
      <c r="D95" s="84">
        <f t="shared" ref="D95:S95" ca="1" si="30">D28+D94</f>
        <v>990</v>
      </c>
      <c r="E95" s="84">
        <f t="shared" ca="1" si="30"/>
        <v>1472.9680836261109</v>
      </c>
      <c r="F95" s="84">
        <f t="shared" ca="1" si="30"/>
        <v>1815.4823990592947</v>
      </c>
      <c r="G95" s="84">
        <f t="shared" ca="1" si="30"/>
        <v>2453.4723531648551</v>
      </c>
      <c r="H95" s="84">
        <f t="shared" ca="1" si="30"/>
        <v>3506.9063582777917</v>
      </c>
      <c r="I95" s="84">
        <f t="shared" ca="1" si="30"/>
        <v>3872.2172235181602</v>
      </c>
      <c r="J95" s="84">
        <f t="shared" ca="1" si="30"/>
        <v>3592.5294619616238</v>
      </c>
      <c r="K95" s="84">
        <f t="shared" ca="1" si="30"/>
        <v>2961.7730707989531</v>
      </c>
      <c r="L95" s="84">
        <f t="shared" ca="1" si="30"/>
        <v>1284.5402097630631</v>
      </c>
      <c r="M95" s="84">
        <f t="shared" ca="1" si="30"/>
        <v>1470.2958323162679</v>
      </c>
      <c r="N95" s="84">
        <f t="shared" ca="1" si="30"/>
        <v>1692.1878650352078</v>
      </c>
      <c r="O95" s="84">
        <f t="shared" ca="1" si="30"/>
        <v>2666.5016370193816</v>
      </c>
      <c r="P95" s="84">
        <f t="shared" ca="1" si="30"/>
        <v>604.26726211142739</v>
      </c>
      <c r="Q95" s="84">
        <f t="shared" ca="1" si="30"/>
        <v>709.19852442794001</v>
      </c>
      <c r="R95" s="84">
        <f t="shared" ca="1" si="30"/>
        <v>926.08939574005819</v>
      </c>
      <c r="S95" s="84">
        <f t="shared" ca="1" si="30"/>
        <v>1333.1140575331378</v>
      </c>
    </row>
    <row r="96" spans="1:19">
      <c r="A96" s="173" t="s">
        <v>1725</v>
      </c>
      <c r="B96" s="173"/>
      <c r="C96" s="173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</row>
    <row r="97" spans="1:19">
      <c r="A97" s="5" t="s">
        <v>1726</v>
      </c>
      <c r="B97" s="3"/>
      <c r="C97" s="3"/>
      <c r="D97" s="29">
        <f>0</f>
        <v>0</v>
      </c>
      <c r="E97" s="29">
        <f t="shared" ref="E97:S97" ca="1" si="31">D97+E84</f>
        <v>8</v>
      </c>
      <c r="F97" s="29">
        <f t="shared" ca="1" si="31"/>
        <v>31</v>
      </c>
      <c r="G97" s="29">
        <f t="shared" ca="1" si="31"/>
        <v>69</v>
      </c>
      <c r="H97" s="29">
        <f t="shared" ca="1" si="31"/>
        <v>122</v>
      </c>
      <c r="I97" s="29">
        <f t="shared" ca="1" si="31"/>
        <v>190</v>
      </c>
      <c r="J97" s="29">
        <f t="shared" ca="1" si="31"/>
        <v>273</v>
      </c>
      <c r="K97" s="29">
        <f t="shared" ca="1" si="31"/>
        <v>371</v>
      </c>
      <c r="L97" s="29">
        <f t="shared" ca="1" si="31"/>
        <v>438.34423690646969</v>
      </c>
      <c r="M97" s="29">
        <f t="shared" ca="1" si="31"/>
        <v>492.70756030744303</v>
      </c>
      <c r="N97" s="29">
        <f t="shared" ca="1" si="31"/>
        <v>550.10439988778535</v>
      </c>
      <c r="O97" s="29">
        <f t="shared" ca="1" si="31"/>
        <v>609.5179580038108</v>
      </c>
      <c r="P97" s="29">
        <f t="shared" ca="1" si="31"/>
        <v>628.44964563771453</v>
      </c>
      <c r="Q97" s="29">
        <f t="shared" ca="1" si="31"/>
        <v>656.31755671774545</v>
      </c>
      <c r="R97" s="29">
        <f t="shared" ca="1" si="31"/>
        <v>702.99090983442306</v>
      </c>
      <c r="S97" s="29">
        <f t="shared" ca="1" si="31"/>
        <v>763.84811659910088</v>
      </c>
    </row>
    <row r="98" spans="1:19">
      <c r="A98" s="5" t="s">
        <v>1727</v>
      </c>
      <c r="B98" s="3"/>
      <c r="C98" s="3"/>
      <c r="D98" s="29">
        <f>0</f>
        <v>0</v>
      </c>
      <c r="E98" s="29">
        <f t="shared" ref="E98:S98" ca="1" si="32">D98+E86</f>
        <v>0</v>
      </c>
      <c r="F98" s="29">
        <f t="shared" ca="1" si="32"/>
        <v>3.05</v>
      </c>
      <c r="G98" s="29">
        <f t="shared" ca="1" si="32"/>
        <v>9.3999999999999986</v>
      </c>
      <c r="H98" s="29">
        <f t="shared" ca="1" si="32"/>
        <v>24.950000000000003</v>
      </c>
      <c r="I98" s="29">
        <f t="shared" ca="1" si="32"/>
        <v>54.168330036345438</v>
      </c>
      <c r="J98" s="29">
        <f t="shared" ca="1" si="32"/>
        <v>84.298472023071781</v>
      </c>
      <c r="K98" s="29">
        <f t="shared" ca="1" si="32"/>
        <v>136.33307386055068</v>
      </c>
      <c r="L98" s="29">
        <f t="shared" ca="1" si="32"/>
        <v>168.75299409034028</v>
      </c>
      <c r="M98" s="29">
        <f t="shared" ca="1" si="32"/>
        <v>226.10303028736911</v>
      </c>
      <c r="N98" s="29">
        <f t="shared" ca="1" si="32"/>
        <v>296.1616040874473</v>
      </c>
      <c r="O98" s="29">
        <f t="shared" ca="1" si="32"/>
        <v>392.18263959369722</v>
      </c>
      <c r="P98" s="29">
        <f t="shared" ca="1" si="32"/>
        <v>467.48270511577311</v>
      </c>
      <c r="Q98" s="29">
        <f t="shared" ca="1" si="32"/>
        <v>533.94757785934166</v>
      </c>
      <c r="R98" s="29">
        <f t="shared" ca="1" si="32"/>
        <v>595.94823247799104</v>
      </c>
      <c r="S98" s="29">
        <f t="shared" ca="1" si="32"/>
        <v>639.19662473056371</v>
      </c>
    </row>
    <row r="99" spans="1:19">
      <c r="A99" s="5" t="s">
        <v>1728</v>
      </c>
      <c r="B99" s="3"/>
      <c r="C99" s="3"/>
      <c r="D99" s="29">
        <f>0</f>
        <v>0</v>
      </c>
      <c r="E99" s="29">
        <f t="shared" ref="E99:S99" ca="1" si="33">D99+E55</f>
        <v>8</v>
      </c>
      <c r="F99" s="29">
        <f t="shared" ca="1" si="33"/>
        <v>31</v>
      </c>
      <c r="G99" s="29">
        <f t="shared" ca="1" si="33"/>
        <v>69</v>
      </c>
      <c r="H99" s="29">
        <f t="shared" ca="1" si="33"/>
        <v>122</v>
      </c>
      <c r="I99" s="29">
        <f t="shared" ca="1" si="33"/>
        <v>190</v>
      </c>
      <c r="J99" s="29">
        <f t="shared" ca="1" si="33"/>
        <v>273</v>
      </c>
      <c r="K99" s="29">
        <f t="shared" ca="1" si="33"/>
        <v>273</v>
      </c>
      <c r="L99" s="29">
        <f t="shared" ca="1" si="33"/>
        <v>273</v>
      </c>
      <c r="M99" s="29">
        <f t="shared" ca="1" si="33"/>
        <v>273</v>
      </c>
      <c r="N99" s="29">
        <f t="shared" ca="1" si="33"/>
        <v>273.05179995666117</v>
      </c>
      <c r="O99" s="29">
        <f t="shared" ca="1" si="33"/>
        <v>282.18264283476316</v>
      </c>
      <c r="P99" s="29">
        <f t="shared" ca="1" si="33"/>
        <v>282.18264283476316</v>
      </c>
      <c r="Q99" s="29">
        <f t="shared" ca="1" si="33"/>
        <v>282.18264283476316</v>
      </c>
      <c r="R99" s="29">
        <f t="shared" ca="1" si="33"/>
        <v>282.18264283476316</v>
      </c>
      <c r="S99" s="29">
        <f t="shared" ca="1" si="33"/>
        <v>296.73610837836083</v>
      </c>
    </row>
    <row r="100" spans="1:19">
      <c r="A100" s="5" t="s">
        <v>1729</v>
      </c>
      <c r="B100" s="3"/>
      <c r="C100" s="3"/>
      <c r="D100" s="29">
        <f>0</f>
        <v>0</v>
      </c>
      <c r="E100" s="29">
        <f t="shared" ref="E100:S100" ca="1" si="34">D100+E57</f>
        <v>0</v>
      </c>
      <c r="F100" s="29">
        <f t="shared" ca="1" si="34"/>
        <v>5.083333333333333</v>
      </c>
      <c r="G100" s="29">
        <f t="shared" ca="1" si="34"/>
        <v>12.138888888888889</v>
      </c>
      <c r="H100" s="29">
        <f t="shared" ca="1" si="34"/>
        <v>24.578888888888891</v>
      </c>
      <c r="I100" s="29">
        <f t="shared" ca="1" si="34"/>
        <v>44.057775579785847</v>
      </c>
      <c r="J100" s="29">
        <f t="shared" ca="1" si="34"/>
        <v>61.274999572200898</v>
      </c>
      <c r="K100" s="29">
        <f t="shared" ca="1" si="34"/>
        <v>86.053381399571805</v>
      </c>
      <c r="L100" s="29">
        <f t="shared" ca="1" si="34"/>
        <v>104.74804325961463</v>
      </c>
      <c r="M100" s="29">
        <f t="shared" ca="1" si="34"/>
        <v>124.52391781031423</v>
      </c>
      <c r="N100" s="29">
        <f t="shared" ca="1" si="34"/>
        <v>146.08040205649215</v>
      </c>
      <c r="O100" s="29">
        <f t="shared" ca="1" si="34"/>
        <v>173.51498362970642</v>
      </c>
      <c r="P100" s="29">
        <f t="shared" ca="1" si="34"/>
        <v>193.59500110226</v>
      </c>
      <c r="Q100" s="29">
        <f t="shared" ca="1" si="34"/>
        <v>210.21121928815214</v>
      </c>
      <c r="R100" s="29">
        <f t="shared" ca="1" si="34"/>
        <v>224.79960861018731</v>
      </c>
      <c r="S100" s="29">
        <f t="shared" ca="1" si="34"/>
        <v>234.41036244409236</v>
      </c>
    </row>
    <row r="101" spans="1:19">
      <c r="A101" s="5" t="s">
        <v>1730</v>
      </c>
      <c r="B101" s="3"/>
      <c r="C101" s="3"/>
      <c r="D101" s="134">
        <f t="shared" ref="D101:S101" ca="1" si="35">(D97-D98)-D87</f>
        <v>0</v>
      </c>
      <c r="E101" s="134">
        <f t="shared" ca="1" si="35"/>
        <v>0</v>
      </c>
      <c r="F101" s="134">
        <f t="shared" ca="1" si="35"/>
        <v>0</v>
      </c>
      <c r="G101" s="134">
        <f t="shared" ca="1" si="35"/>
        <v>0</v>
      </c>
      <c r="H101" s="134">
        <f t="shared" ca="1" si="35"/>
        <v>0</v>
      </c>
      <c r="I101" s="134">
        <f t="shared" ca="1" si="35"/>
        <v>0</v>
      </c>
      <c r="J101" s="134">
        <f t="shared" ca="1" si="35"/>
        <v>0</v>
      </c>
      <c r="K101" s="134">
        <f t="shared" ca="1" si="35"/>
        <v>0</v>
      </c>
      <c r="L101" s="134">
        <f t="shared" ca="1" si="35"/>
        <v>0</v>
      </c>
      <c r="M101" s="134">
        <f t="shared" ca="1" si="35"/>
        <v>0</v>
      </c>
      <c r="N101" s="134">
        <f t="shared" ca="1" si="35"/>
        <v>0</v>
      </c>
      <c r="O101" s="134">
        <f t="shared" ca="1" si="35"/>
        <v>0</v>
      </c>
      <c r="P101" s="134">
        <f t="shared" ca="1" si="35"/>
        <v>0</v>
      </c>
      <c r="Q101" s="134">
        <f t="shared" ca="1" si="35"/>
        <v>0</v>
      </c>
      <c r="R101" s="134">
        <f t="shared" ca="1" si="35"/>
        <v>1.5631940186722204E-13</v>
      </c>
      <c r="S101" s="134">
        <f t="shared" ca="1" si="35"/>
        <v>1.5631940186722204E-13</v>
      </c>
    </row>
    <row r="102" spans="1:19">
      <c r="A102" s="5" t="s">
        <v>1731</v>
      </c>
      <c r="B102" s="3"/>
      <c r="C102" s="3"/>
      <c r="D102" s="134">
        <f t="shared" ref="D102:S102" ca="1" si="36">(D99-D100)-D58</f>
        <v>0</v>
      </c>
      <c r="E102" s="134">
        <f t="shared" ca="1" si="36"/>
        <v>0</v>
      </c>
      <c r="F102" s="134">
        <f t="shared" ca="1" si="36"/>
        <v>0</v>
      </c>
      <c r="G102" s="134">
        <f t="shared" ca="1" si="36"/>
        <v>0</v>
      </c>
      <c r="H102" s="134">
        <f t="shared" ca="1" si="36"/>
        <v>0</v>
      </c>
      <c r="I102" s="134">
        <f t="shared" ca="1" si="36"/>
        <v>0</v>
      </c>
      <c r="J102" s="134">
        <f t="shared" ca="1" si="36"/>
        <v>0</v>
      </c>
      <c r="K102" s="134">
        <f t="shared" ca="1" si="36"/>
        <v>0</v>
      </c>
      <c r="L102" s="134">
        <f t="shared" ca="1" si="36"/>
        <v>0</v>
      </c>
      <c r="M102" s="134">
        <f t="shared" ca="1" si="36"/>
        <v>0</v>
      </c>
      <c r="N102" s="134">
        <f t="shared" ca="1" si="36"/>
        <v>0</v>
      </c>
      <c r="O102" s="134">
        <f t="shared" ca="1" si="36"/>
        <v>0</v>
      </c>
      <c r="P102" s="134">
        <f t="shared" ca="1" si="36"/>
        <v>0</v>
      </c>
      <c r="Q102" s="134">
        <f t="shared" ca="1" si="36"/>
        <v>0</v>
      </c>
      <c r="R102" s="134">
        <f t="shared" ca="1" si="36"/>
        <v>0</v>
      </c>
      <c r="S102" s="134">
        <f t="shared" ca="1" si="36"/>
        <v>0</v>
      </c>
    </row>
    <row r="103" spans="1:19">
      <c r="A103" s="13" t="s">
        <v>1732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>
      <c r="A104" s="118" t="s">
        <v>1733</v>
      </c>
      <c r="B104" s="78"/>
      <c r="C104" s="78"/>
      <c r="D104" s="125">
        <f ca="1">IFERROR('Cash Allocation Engine'!D102,0)</f>
        <v>29529658.519656353</v>
      </c>
      <c r="E104" s="125">
        <f ca="1">IFERROR('Cash Allocation Engine'!E102,0)</f>
        <v>34238621.88016355</v>
      </c>
      <c r="F104" s="125">
        <f ca="1">IFERROR('Cash Allocation Engine'!F102,0)</f>
        <v>538425141.65121996</v>
      </c>
      <c r="G104" s="125">
        <f ca="1">IFERROR('Cash Allocation Engine'!G102,0)</f>
        <v>539784248.47323644</v>
      </c>
      <c r="H104" s="125">
        <f ca="1">IFERROR('Cash Allocation Engine'!H102,0)</f>
        <v>532630348.03215486</v>
      </c>
      <c r="I104" s="125">
        <f ca="1">IFERROR('Cash Allocation Engine'!I102,0)</f>
        <v>502068196.3868382</v>
      </c>
      <c r="J104" s="125">
        <f ca="1">IFERROR('Cash Allocation Engine'!J102,0)</f>
        <v>485521081.16269439</v>
      </c>
      <c r="K104" s="125">
        <f ca="1">IFERROR('Cash Allocation Engine'!K102,0)</f>
        <v>424819796.09833962</v>
      </c>
      <c r="L104" s="125">
        <f ca="1">IFERROR('Cash Allocation Engine'!L102,0)</f>
        <v>399113566.18731701</v>
      </c>
      <c r="M104" s="125">
        <f ca="1">IFERROR('Cash Allocation Engine'!M102,0)</f>
        <v>424286011.5906558</v>
      </c>
      <c r="N104" s="125">
        <f ca="1">IFERROR('Cash Allocation Engine'!N102,0)</f>
        <v>446587639.04584724</v>
      </c>
      <c r="O104" s="125">
        <f ca="1">IFERROR('Cash Allocation Engine'!O102,0)</f>
        <v>419442990.40440494</v>
      </c>
      <c r="P104" s="125">
        <f ca="1">IFERROR('Cash Allocation Engine'!P102,0)</f>
        <v>342628843.80076998</v>
      </c>
      <c r="Q104" s="125">
        <f ca="1">IFERROR('Cash Allocation Engine'!Q102,0)</f>
        <v>277074787.43852347</v>
      </c>
      <c r="R104" s="125">
        <f ca="1">IFERROR('Cash Allocation Engine'!R102,0)</f>
        <v>253625682.12673837</v>
      </c>
      <c r="S104" s="125">
        <f ca="1">IFERROR('Cash Allocation Engine'!S102,0)</f>
        <v>305625046.79436868</v>
      </c>
    </row>
    <row r="105" spans="1:19">
      <c r="A105" s="25" t="s">
        <v>1734</v>
      </c>
      <c r="B105" s="3"/>
      <c r="C105" s="3"/>
      <c r="D105" s="29">
        <f t="shared" ref="D105:S105" si="37">D64*D8</f>
        <v>5675245.7142857146</v>
      </c>
      <c r="E105" s="29">
        <f t="shared" si="37"/>
        <v>6352731.4285714291</v>
      </c>
      <c r="F105" s="29">
        <f t="shared" si="37"/>
        <v>6994258.2857142864</v>
      </c>
      <c r="G105" s="29">
        <f t="shared" si="37"/>
        <v>7389232.4571428569</v>
      </c>
      <c r="H105" s="29">
        <f t="shared" si="37"/>
        <v>7562309.2114285715</v>
      </c>
      <c r="I105" s="29">
        <f t="shared" si="37"/>
        <v>7535678.2902857149</v>
      </c>
      <c r="J105" s="29">
        <f t="shared" si="37"/>
        <v>7329310.4612571439</v>
      </c>
      <c r="K105" s="29">
        <f t="shared" si="37"/>
        <v>6961179.4151314292</v>
      </c>
      <c r="L105" s="29">
        <f t="shared" si="37"/>
        <v>6447461.4736182857</v>
      </c>
      <c r="M105" s="29">
        <f t="shared" si="37"/>
        <v>5802715.3262564577</v>
      </c>
      <c r="N105" s="29">
        <f t="shared" si="37"/>
        <v>5222443.7936308123</v>
      </c>
      <c r="O105" s="29">
        <f t="shared" si="37"/>
        <v>4700199.4142677309</v>
      </c>
      <c r="P105" s="29">
        <f t="shared" si="37"/>
        <v>4230179.4728409583</v>
      </c>
      <c r="Q105" s="29">
        <f t="shared" si="37"/>
        <v>3807161.5255568619</v>
      </c>
      <c r="R105" s="29">
        <f t="shared" si="37"/>
        <v>3426445.3730011755</v>
      </c>
      <c r="S105" s="29">
        <f t="shared" si="37"/>
        <v>3083800.8357010582</v>
      </c>
    </row>
    <row r="106" spans="1:19">
      <c r="A106" s="25" t="s">
        <v>1735</v>
      </c>
      <c r="B106" s="3"/>
      <c r="C106" s="3"/>
      <c r="D106" s="101">
        <f>IF(D$4 &lt; INDEX(Assumptions!$B:$B,MATCH("Starship operational year",Assumptions!$A:$A,0)), 0, MAX(0,(D104 - D105)/D44))</f>
        <v>0</v>
      </c>
      <c r="E106" s="101">
        <f ca="1">IF(E$4 &lt; INDEX(Assumptions!$B:$B,MATCH("Starship operational year",Assumptions!$A:$A,0)), 0, MAX(0,(E104 - E105)/E44))</f>
        <v>242.76077640647529</v>
      </c>
      <c r="F106" s="101">
        <f ca="1">IF(F$4 &lt; INDEX(Assumptions!$B:$B,MATCH("Starship operational year",Assumptions!$A:$A,0)), 0, MAX(0,(F104 - F105)/F44))</f>
        <v>4027.492969361761</v>
      </c>
      <c r="G106" s="101">
        <f ca="1">IF(G$4 &lt; INDEX(Assumptions!$B:$B,MATCH("Starship operational year",Assumptions!$A:$A,0)), 0, MAX(0,(G104 - G105)/G44))</f>
        <v>3512.4971764464863</v>
      </c>
      <c r="H106" s="101">
        <f ca="1">IF(H$4 &lt; INDEX(Assumptions!$B:$B,MATCH("Starship operational year",Assumptions!$A:$A,0)), 0, MAX(0,(H104 - H105)/H44))</f>
        <v>3015.7239622744378</v>
      </c>
      <c r="I106" s="101">
        <f ca="1">IF(I$4 &lt; INDEX(Assumptions!$B:$B,MATCH("Starship operational year",Assumptions!$A:$A,0)), 0, MAX(0,(I104 - I105)/I44))</f>
        <v>2472.6625904827624</v>
      </c>
      <c r="J106" s="101">
        <f ca="1">IF(J$4 &lt; INDEX(Assumptions!$B:$B,MATCH("Starship operational year",Assumptions!$A:$A,0)), 0, MAX(0,(J104 - J105)/J44))</f>
        <v>2390.9588535071862</v>
      </c>
      <c r="K106" s="101">
        <f ca="1">IF(K$4 &lt; INDEX(Assumptions!$B:$B,MATCH("Starship operational year",Assumptions!$A:$A,0)), 0, MAX(0,(K104 - K105)/K44))</f>
        <v>2089.2930834160406</v>
      </c>
      <c r="L106" s="101">
        <f ca="1">IF(L$4 &lt; INDEX(Assumptions!$B:$B,MATCH("Starship operational year",Assumptions!$A:$A,0)), 0, MAX(0,(L104 - L105)/L44))</f>
        <v>1963.3305235684936</v>
      </c>
      <c r="M106" s="101">
        <f ca="1">IF(M$4 &lt; INDEX(Assumptions!$B:$B,MATCH("Starship operational year",Assumptions!$A:$A,0)), 0, MAX(0,(M104 - M105)/M44))</f>
        <v>2092.4164813219968</v>
      </c>
      <c r="N106" s="101">
        <f ca="1">IF(N$4 &lt; INDEX(Assumptions!$B:$B,MATCH("Starship operational year",Assumptions!$A:$A,0)), 0, MAX(0,(N104 - N105)/N44))</f>
        <v>2206.8259762610819</v>
      </c>
      <c r="O106" s="101">
        <f ca="1">IF(O$4 &lt; INDEX(Assumptions!$B:$B,MATCH("Starship operational year",Assumptions!$A:$A,0)), 0, MAX(0,(O104 - O105)/O44))</f>
        <v>2073.713954950686</v>
      </c>
      <c r="P106" s="101">
        <f ca="1">IF(P$4 &lt; INDEX(Assumptions!$B:$B,MATCH("Starship operational year",Assumptions!$A:$A,0)), 0, MAX(0,(P104 - P105)/P44))</f>
        <v>1691.993321639645</v>
      </c>
      <c r="Q106" s="101">
        <f ca="1">IF(Q$4 &lt; INDEX(Assumptions!$B:$B,MATCH("Starship operational year",Assumptions!$A:$A,0)), 0, MAX(0,(Q104 - Q105)/Q44))</f>
        <v>1366.338129564833</v>
      </c>
      <c r="R106" s="101">
        <f ca="1">IF(R$4 &lt; INDEX(Assumptions!$B:$B,MATCH("Starship operational year",Assumptions!$A:$A,0)), 0, MAX(0,(R104 - R105)/R44))</f>
        <v>1250.9961837686858</v>
      </c>
      <c r="S106" s="101">
        <f ca="1">IF(S$4 &lt; INDEX(Assumptions!$B:$B,MATCH("Starship operational year",Assumptions!$A:$A,0)), 0, MAX(0,(S104 - S105)/S44))</f>
        <v>1512.7062297933383</v>
      </c>
    </row>
    <row r="107" spans="1:19">
      <c r="A107" s="25" t="s">
        <v>1736</v>
      </c>
      <c r="B107" s="3"/>
      <c r="C107" s="3"/>
      <c r="D107" s="101">
        <f t="array" ref="D107">IFERROR(INDEX('Facilities Build'!$D:$AC, MATCH("Installed Starship build capacity (ships/yr): rate-limited ramp",'Facilities Build'!$A$1:$A$74,0), D$5+1), 0)</f>
        <v>8</v>
      </c>
      <c r="E107" s="101">
        <f t="array" ref="E107">IFERROR(INDEX('Facilities Build'!$D:$AC, MATCH("Installed Starship build capacity (ships/yr): rate-limited ramp",'Facilities Build'!$A$1:$A$74,0), E$5+1), 0)</f>
        <v>8</v>
      </c>
      <c r="F107" s="101">
        <f t="array" ref="F107">IFERROR(INDEX('Facilities Build'!$D:$AC, MATCH("Installed Starship build capacity (ships/yr): rate-limited ramp",'Facilities Build'!$A$1:$A$74,0), F$5+1), 0)</f>
        <v>23</v>
      </c>
      <c r="G107" s="101">
        <f t="array" ref="G107">IFERROR(INDEX('Facilities Build'!$D:$AC, MATCH("Installed Starship build capacity (ships/yr): rate-limited ramp",'Facilities Build'!$A$1:$A$74,0), G$5+1), 0)</f>
        <v>38</v>
      </c>
      <c r="H107" s="101">
        <f t="array" ref="H107">IFERROR(INDEX('Facilities Build'!$D:$AC, MATCH("Installed Starship build capacity (ships/yr): rate-limited ramp",'Facilities Build'!$A$1:$A$74,0), H$5+1), 0)</f>
        <v>53</v>
      </c>
      <c r="I107" s="101">
        <f t="array" ref="I107">IFERROR(INDEX('Facilities Build'!$D:$AC, MATCH("Installed Starship build capacity (ships/yr): rate-limited ramp",'Facilities Build'!$A$1:$A$74,0), I$5+1), 0)</f>
        <v>68</v>
      </c>
      <c r="J107" s="101">
        <f t="array" ref="J107">IFERROR(INDEX('Facilities Build'!$D:$AC, MATCH("Installed Starship build capacity (ships/yr): rate-limited ramp",'Facilities Build'!$A$1:$A$74,0), J$5+1), 0)</f>
        <v>83</v>
      </c>
      <c r="K107" s="101">
        <f t="array" ref="K107">IFERROR(INDEX('Facilities Build'!$D:$AC, MATCH("Installed Starship build capacity (ships/yr): rate-limited ramp",'Facilities Build'!$A$1:$A$74,0), K$5+1), 0)</f>
        <v>98</v>
      </c>
      <c r="L107" s="101">
        <f t="array" ref="L107">IFERROR(INDEX('Facilities Build'!$D:$AC, MATCH("Installed Starship build capacity (ships/yr): rate-limited ramp",'Facilities Build'!$A$1:$A$74,0), L$5+1), 0)</f>
        <v>113</v>
      </c>
      <c r="M107" s="101">
        <f t="array" ref="M107">IFERROR(INDEX('Facilities Build'!$D:$AC, MATCH("Installed Starship build capacity (ships/yr): rate-limited ramp",'Facilities Build'!$A$1:$A$74,0), M$5+1), 0)</f>
        <v>128</v>
      </c>
      <c r="N107" s="101">
        <f t="array" ref="N107">IFERROR(INDEX('Facilities Build'!$D:$AC, MATCH("Installed Starship build capacity (ships/yr): rate-limited ramp",'Facilities Build'!$A$1:$A$74,0), N$5+1), 0)</f>
        <v>143</v>
      </c>
      <c r="O107" s="101">
        <f t="array" ref="O107">IFERROR(INDEX('Facilities Build'!$D:$AC, MATCH("Installed Starship build capacity (ships/yr): rate-limited ramp",'Facilities Build'!$A$1:$A$74,0), O$5+1), 0)</f>
        <v>158</v>
      </c>
      <c r="P107" s="101">
        <f t="array" ref="P107">IFERROR(INDEX('Facilities Build'!$D:$AC, MATCH("Installed Starship build capacity (ships/yr): rate-limited ramp",'Facilities Build'!$A$1:$A$74,0), P$5+1), 0)</f>
        <v>173</v>
      </c>
      <c r="Q107" s="101">
        <f t="array" ref="Q107">IFERROR(INDEX('Facilities Build'!$D:$AC, MATCH("Installed Starship build capacity (ships/yr): rate-limited ramp",'Facilities Build'!$A$1:$A$74,0), Q$5+1), 0)</f>
        <v>188</v>
      </c>
      <c r="R107" s="101">
        <f t="array" ref="R107">IFERROR(INDEX('Facilities Build'!$D:$AC, MATCH("Installed Starship build capacity (ships/yr): rate-limited ramp",'Facilities Build'!$A$1:$A$74,0), R$5+1), 0)</f>
        <v>203</v>
      </c>
      <c r="S107" s="101">
        <f t="array" ref="S107">IFERROR(INDEX('Facilities Build'!$D:$AC, MATCH("Installed Starship build capacity (ships/yr): rate-limited ramp",'Facilities Build'!$A$1:$A$74,0), S$5+1), 0)</f>
        <v>218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4"/>
  <sheetViews>
    <sheetView showGridLines="0" zoomScaleNormal="100" workbookViewId="0">
      <selection activeCell="N13" sqref="N13"/>
    </sheetView>
  </sheetViews>
  <sheetFormatPr baseColWidth="10" defaultColWidth="10.6640625" defaultRowHeight="16"/>
  <cols>
    <col min="1" max="1" width="60" customWidth="1"/>
  </cols>
  <sheetData>
    <row r="1" spans="1:19" ht="18.75" customHeight="1">
      <c r="A1" s="63" t="s">
        <v>1737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16" t="s">
        <v>1738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64"/>
      <c r="B4" s="64"/>
      <c r="C4" s="64"/>
      <c r="D4" s="75">
        <v>2025</v>
      </c>
      <c r="E4" s="75">
        <v>2026</v>
      </c>
      <c r="F4" s="75">
        <v>2027</v>
      </c>
      <c r="G4" s="75">
        <v>2028</v>
      </c>
      <c r="H4" s="75">
        <v>2029</v>
      </c>
      <c r="I4" s="75">
        <v>2030</v>
      </c>
      <c r="J4" s="75">
        <v>2031</v>
      </c>
      <c r="K4" s="75">
        <v>2032</v>
      </c>
      <c r="L4" s="75">
        <v>2033</v>
      </c>
      <c r="M4" s="75">
        <v>2034</v>
      </c>
      <c r="N4" s="75">
        <v>2035</v>
      </c>
      <c r="O4" s="75">
        <v>2036</v>
      </c>
      <c r="P4" s="75">
        <v>2037</v>
      </c>
      <c r="Q4" s="75">
        <v>2038</v>
      </c>
      <c r="R4" s="75">
        <v>2039</v>
      </c>
      <c r="S4" s="75">
        <v>2040</v>
      </c>
    </row>
    <row r="5" spans="1:19">
      <c r="A5" s="66"/>
      <c r="B5" s="66"/>
      <c r="C5" s="66"/>
      <c r="D5" s="76">
        <v>0</v>
      </c>
      <c r="E5" s="76">
        <v>1</v>
      </c>
      <c r="F5" s="76">
        <v>2</v>
      </c>
      <c r="G5" s="76">
        <v>3</v>
      </c>
      <c r="H5" s="76">
        <v>4</v>
      </c>
      <c r="I5" s="76">
        <v>5</v>
      </c>
      <c r="J5" s="76">
        <v>6</v>
      </c>
      <c r="K5" s="76">
        <v>7</v>
      </c>
      <c r="L5" s="76">
        <v>8</v>
      </c>
      <c r="M5" s="76">
        <v>9</v>
      </c>
      <c r="N5" s="76">
        <v>10</v>
      </c>
      <c r="O5" s="76">
        <v>11</v>
      </c>
      <c r="P5" s="76">
        <v>12</v>
      </c>
      <c r="Q5" s="76">
        <v>13</v>
      </c>
      <c r="R5" s="76">
        <v>14</v>
      </c>
      <c r="S5" s="76">
        <v>15</v>
      </c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13" t="s">
        <v>1739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5" t="s">
        <v>1740</v>
      </c>
      <c r="B8" s="3"/>
      <c r="C8" s="3"/>
      <c r="D8" s="18">
        <f t="array" ref="D8">INDEX(Starlink!$D:$AC, MATCH("Total new Starlink deployment (sats/yr)", Starlink!$A$1:$A$204, 0), D$5+1)</f>
        <v>3840</v>
      </c>
      <c r="E8" s="18">
        <f t="array" aca="1" ref="E8" ca="1">INDEX(Starlink!$D:$AC, MATCH("Total new Starlink deployment (sats/yr)", Starlink!$A$1:$A$204, 0), E$5+1)</f>
        <v>3120</v>
      </c>
      <c r="F8" s="18">
        <f t="array" aca="1" ref="F8" ca="1">INDEX(Starlink!$D:$AC, MATCH("Total new Starlink deployment (sats/yr)", Starlink!$A$1:$A$204, 0), F$5+1)</f>
        <v>3918.7353004899928</v>
      </c>
      <c r="G8" s="18">
        <f t="array" aca="1" ref="G8" ca="1">INDEX(Starlink!$D:$AC, MATCH("Total new Starlink deployment (sats/yr)", Starlink!$A$1:$A$204, 0), G$5+1)</f>
        <v>9497.3799641733167</v>
      </c>
      <c r="H8" s="18">
        <f t="array" aca="1" ref="H8" ca="1">INDEX(Starlink!$D:$AC, MATCH("Total new Starlink deployment (sats/yr)", Starlink!$A$1:$A$204, 0), H$5+1)</f>
        <v>27023.504194008077</v>
      </c>
      <c r="I8" s="18">
        <f t="array" aca="1" ref="I8" ca="1">INDEX(Starlink!$D:$AC, MATCH("Total new Starlink deployment (sats/yr)", Starlink!$A$1:$A$204, 0), I$5+1)</f>
        <v>50339.519520809306</v>
      </c>
      <c r="J8" s="18">
        <f t="array" aca="1" ref="J8" ca="1">INDEX(Starlink!$D:$AC, MATCH("Total new Starlink deployment (sats/yr)", Starlink!$A$1:$A$204, 0), J$5+1)</f>
        <v>53600.632791493546</v>
      </c>
      <c r="K8" s="18">
        <f t="array" aca="1" ref="K8" ca="1">INDEX(Starlink!$D:$AC, MATCH("Total new Starlink deployment (sats/yr)", Starlink!$A$1:$A$204, 0), K$5+1)</f>
        <v>63346.234135445397</v>
      </c>
      <c r="L8" s="18">
        <f t="array" aca="1" ref="L8" ca="1">INDEX(Starlink!$D:$AC, MATCH("Total new Starlink deployment (sats/yr)", Starlink!$A$1:$A$204, 0), L$5+1)</f>
        <v>26204.382547525151</v>
      </c>
      <c r="M8" s="18">
        <f t="array" aca="1" ref="M8" ca="1">INDEX(Starlink!$D:$AC, MATCH("Total new Starlink deployment (sats/yr)", Starlink!$A$1:$A$204, 0), M$5+1)</f>
        <v>62741.357161469146</v>
      </c>
      <c r="N8" s="18">
        <f t="array" aca="1" ref="N8" ca="1">INDEX(Starlink!$D:$AC, MATCH("Total new Starlink deployment (sats/yr)", Starlink!$A$1:$A$204, 0), N$5+1)</f>
        <v>87807.66244228906</v>
      </c>
      <c r="O8" s="18">
        <f t="array" aca="1" ref="O8" ca="1">INDEX(Starlink!$D:$AC, MATCH("Total new Starlink deployment (sats/yr)", Starlink!$A$1:$A$204, 0), O$5+1)</f>
        <v>134603.08485242503</v>
      </c>
      <c r="P8" s="18">
        <f t="array" aca="1" ref="P8" ca="1">INDEX(Starlink!$D:$AC, MATCH("Total new Starlink deployment (sats/yr)", Starlink!$A$1:$A$204, 0), P$5+1)</f>
        <v>89827.9430951018</v>
      </c>
      <c r="Q8" s="18">
        <f t="array" aca="1" ref="Q8" ca="1">INDEX(Starlink!$D:$AC, MATCH("Total new Starlink deployment (sats/yr)", Starlink!$A$1:$A$204, 0), Q$5+1)</f>
        <v>54407.050838862648</v>
      </c>
      <c r="R8" s="18">
        <f t="array" aca="1" ref="R8" ca="1">INDEX(Starlink!$D:$AC, MATCH("Total new Starlink deployment (sats/yr)", Starlink!$A$1:$A$204, 0), R$5+1)</f>
        <v>28945.530056348354</v>
      </c>
      <c r="S8" s="18">
        <f t="array" aca="1" ref="S8" ca="1">INDEX(Starlink!$D:$AC, MATCH("Total new Starlink deployment (sats/yr)", Starlink!$A$1:$A$204, 0), S$5+1)</f>
        <v>33596.99383796101</v>
      </c>
    </row>
    <row r="9" spans="1:19">
      <c r="A9" s="5" t="s">
        <v>1741</v>
      </c>
      <c r="B9" s="3"/>
      <c r="C9" s="3"/>
      <c r="D9" s="70">
        <f>MAX(INDEX(Assumptions!$B:$B,MATCH("Sat factory base capacity 2025 (sats/yr)",Assumptions!$A:$A,0)), D8)</f>
        <v>3840</v>
      </c>
      <c r="E9" s="29">
        <f t="shared" ref="E9:S9" ca="1" si="0">MAX(D9, E8)</f>
        <v>3840</v>
      </c>
      <c r="F9" s="29">
        <f t="shared" ca="1" si="0"/>
        <v>3918.7353004899928</v>
      </c>
      <c r="G9" s="29">
        <f t="shared" ca="1" si="0"/>
        <v>9497.3799641733167</v>
      </c>
      <c r="H9" s="29">
        <f t="shared" ca="1" si="0"/>
        <v>27023.504194008077</v>
      </c>
      <c r="I9" s="29">
        <f t="shared" ca="1" si="0"/>
        <v>50339.519520809306</v>
      </c>
      <c r="J9" s="29">
        <f t="shared" ca="1" si="0"/>
        <v>53600.632791493546</v>
      </c>
      <c r="K9" s="29">
        <f t="shared" ca="1" si="0"/>
        <v>63346.234135445397</v>
      </c>
      <c r="L9" s="29">
        <f t="shared" ca="1" si="0"/>
        <v>63346.234135445397</v>
      </c>
      <c r="M9" s="29">
        <f t="shared" ca="1" si="0"/>
        <v>63346.234135445397</v>
      </c>
      <c r="N9" s="29">
        <f t="shared" ca="1" si="0"/>
        <v>87807.66244228906</v>
      </c>
      <c r="O9" s="29">
        <f t="shared" ca="1" si="0"/>
        <v>134603.08485242503</v>
      </c>
      <c r="P9" s="29">
        <f t="shared" ca="1" si="0"/>
        <v>134603.08485242503</v>
      </c>
      <c r="Q9" s="29">
        <f t="shared" ca="1" si="0"/>
        <v>134603.08485242503</v>
      </c>
      <c r="R9" s="29">
        <f t="shared" ca="1" si="0"/>
        <v>134603.08485242503</v>
      </c>
      <c r="S9" s="29">
        <f t="shared" ca="1" si="0"/>
        <v>134603.08485242503</v>
      </c>
    </row>
    <row r="10" spans="1:19">
      <c r="A10" s="5" t="s">
        <v>1742</v>
      </c>
      <c r="B10" s="3"/>
      <c r="C10" s="3"/>
      <c r="D10" s="73">
        <f>IFERROR(MAX(0, D8 - INDEX(Assumptions!$B:$B,MATCH("Sat factory base capacity 2025 (sats/yr)",Assumptions!$A:$A,0))) / INDEX(Assumptions!$B:$B,MATCH("Sat factory capacity (sats/yr per increment)",Assumptions!$A:$A,0)), 0)</f>
        <v>5.4945054945054944E-2</v>
      </c>
      <c r="E10" s="73">
        <f ca="1">IFERROR(MAX(0, E8 - D9) / INDEX(Assumptions!$B:$B,MATCH("Sat factory capacity (sats/yr per increment)",Assumptions!$A:$A,0)), 0)</f>
        <v>0</v>
      </c>
      <c r="F10" s="73">
        <f ca="1">IFERROR(MAX(0, F8 - E9) / INDEX(Assumptions!$B:$B,MATCH("Sat factory capacity (sats/yr per increment)",Assumptions!$A:$A,0)), 0)</f>
        <v>2.1630577057690337E-2</v>
      </c>
      <c r="G10" s="73">
        <f ca="1">IFERROR(MAX(0, G8 - F9) / INDEX(Assumptions!$B:$B,MATCH("Sat factory capacity (sats/yr per increment)",Assumptions!$A:$A,0)), 0)</f>
        <v>1.5325946878250891</v>
      </c>
      <c r="H10" s="73">
        <f ca="1">IFERROR(MAX(0, H8 - G9) / INDEX(Assumptions!$B:$B,MATCH("Sat factory capacity (sats/yr per increment)",Assumptions!$A:$A,0)), 0)</f>
        <v>4.8148692939106486</v>
      </c>
      <c r="I10" s="73">
        <f ca="1">IFERROR(MAX(0, I8 - H9) / INDEX(Assumptions!$B:$B,MATCH("Sat factory capacity (sats/yr per increment)",Assumptions!$A:$A,0)), 0)</f>
        <v>6.4054987161541836</v>
      </c>
      <c r="J10" s="73">
        <f ca="1">IFERROR(MAX(0, J8 - I9) / INDEX(Assumptions!$B:$B,MATCH("Sat factory capacity (sats/yr per increment)",Assumptions!$A:$A,0)), 0)</f>
        <v>0.89591023919896706</v>
      </c>
      <c r="K10" s="73">
        <f ca="1">IFERROR(MAX(0, K8 - J9) / INDEX(Assumptions!$B:$B,MATCH("Sat factory capacity (sats/yr per increment)",Assumptions!$A:$A,0)), 0)</f>
        <v>2.6773630065801788</v>
      </c>
      <c r="L10" s="73">
        <f ca="1">IFERROR(MAX(0, L8 - K9) / INDEX(Assumptions!$B:$B,MATCH("Sat factory capacity (sats/yr per increment)",Assumptions!$A:$A,0)), 0)</f>
        <v>0</v>
      </c>
      <c r="M10" s="73">
        <f ca="1">IFERROR(MAX(0, M8 - L9) / INDEX(Assumptions!$B:$B,MATCH("Sat factory capacity (sats/yr per increment)",Assumptions!$A:$A,0)), 0)</f>
        <v>0</v>
      </c>
      <c r="N10" s="73">
        <f ca="1">IFERROR(MAX(0, N8 - M9) / INDEX(Assumptions!$B:$B,MATCH("Sat factory capacity (sats/yr per increment)",Assumptions!$A:$A,0)), 0)</f>
        <v>6.7201726117702369</v>
      </c>
      <c r="O10" s="73">
        <f ca="1">IFERROR(MAX(0, O8 - N9) / INDEX(Assumptions!$B:$B,MATCH("Sat factory capacity (sats/yr per increment)",Assumptions!$A:$A,0)), 0)</f>
        <v>12.855885277509882</v>
      </c>
      <c r="P10" s="73">
        <f ca="1">IFERROR(MAX(0, P8 - O9) / INDEX(Assumptions!$B:$B,MATCH("Sat factory capacity (sats/yr per increment)",Assumptions!$A:$A,0)), 0)</f>
        <v>0</v>
      </c>
      <c r="Q10" s="73">
        <f ca="1">IFERROR(MAX(0, Q8 - P9) / INDEX(Assumptions!$B:$B,MATCH("Sat factory capacity (sats/yr per increment)",Assumptions!$A:$A,0)), 0)</f>
        <v>0</v>
      </c>
      <c r="R10" s="73">
        <f ca="1">IFERROR(MAX(0, R8 - Q9) / INDEX(Assumptions!$B:$B,MATCH("Sat factory capacity (sats/yr per increment)",Assumptions!$A:$A,0)), 0)</f>
        <v>0</v>
      </c>
      <c r="S10" s="73">
        <f ca="1">IFERROR(MAX(0, S8 - R9) / INDEX(Assumptions!$B:$B,MATCH("Sat factory capacity (sats/yr per increment)",Assumptions!$A:$A,0)), 0)</f>
        <v>0</v>
      </c>
    </row>
    <row r="11" spans="1:19">
      <c r="A11" s="5" t="s">
        <v>1743</v>
      </c>
      <c r="B11" s="3"/>
      <c r="C11" s="3"/>
      <c r="D11" s="80">
        <f>IFERROR(D10^INDEX(Assumptions!$B:$B, MATCH("Sat facility capacity-ratio CapEx exponent", Assumptions!$A$1:$A$257, 0)) * INDEX(Assumptions!$B:$B, MATCH("Sat factory cost per capacity increment ($mm)", Assumptions!$A$1:$A$257, 0)), 0)</f>
        <v>23.35164835164835</v>
      </c>
      <c r="E11" s="80">
        <f ca="1">IFERROR(E10^INDEX(Assumptions!$B:$B, MATCH("Sat facility capacity-ratio CapEx exponent", Assumptions!$A$1:$A$257, 0)) * INDEX(Assumptions!$B:$B, MATCH("Sat factory cost per capacity increment ($mm)", Assumptions!$A$1:$A$257, 0)), 0)</f>
        <v>0</v>
      </c>
      <c r="F11" s="80">
        <f ca="1">IFERROR(F10^INDEX(Assumptions!$B:$B, MATCH("Sat facility capacity-ratio CapEx exponent", Assumptions!$A$1:$A$257, 0)) * INDEX(Assumptions!$B:$B, MATCH("Sat factory cost per capacity increment ($mm)", Assumptions!$A$1:$A$257, 0)), 0)</f>
        <v>9.1929952495183933</v>
      </c>
      <c r="G11" s="80">
        <f ca="1">IFERROR(G10^INDEX(Assumptions!$B:$B, MATCH("Sat facility capacity-ratio CapEx exponent", Assumptions!$A$1:$A$257, 0)) * INDEX(Assumptions!$B:$B, MATCH("Sat factory cost per capacity increment ($mm)", Assumptions!$A$1:$A$257, 0)), 0)</f>
        <v>651.35274232566292</v>
      </c>
      <c r="H11" s="80">
        <f ca="1">IFERROR(H10^INDEX(Assumptions!$B:$B, MATCH("Sat facility capacity-ratio CapEx exponent", Assumptions!$A$1:$A$257, 0)) * INDEX(Assumptions!$B:$B, MATCH("Sat factory cost per capacity increment ($mm)", Assumptions!$A$1:$A$257, 0)), 0)</f>
        <v>2046.3194499120257</v>
      </c>
      <c r="I11" s="80">
        <f ca="1">IFERROR(I10^INDEX(Assumptions!$B:$B, MATCH("Sat facility capacity-ratio CapEx exponent", Assumptions!$A$1:$A$257, 0)) * INDEX(Assumptions!$B:$B, MATCH("Sat factory cost per capacity increment ($mm)", Assumptions!$A$1:$A$257, 0)), 0)</f>
        <v>2722.3369543655281</v>
      </c>
      <c r="J11" s="80">
        <f ca="1">IFERROR(J10^INDEX(Assumptions!$B:$B, MATCH("Sat facility capacity-ratio CapEx exponent", Assumptions!$A$1:$A$257, 0)) * INDEX(Assumptions!$B:$B, MATCH("Sat factory cost per capacity increment ($mm)", Assumptions!$A$1:$A$257, 0)), 0)</f>
        <v>380.76185165956099</v>
      </c>
      <c r="K11" s="80">
        <f ca="1">IFERROR(K10^INDEX(Assumptions!$B:$B, MATCH("Sat facility capacity-ratio CapEx exponent", Assumptions!$A$1:$A$257, 0)) * INDEX(Assumptions!$B:$B, MATCH("Sat factory cost per capacity increment ($mm)", Assumptions!$A$1:$A$257, 0)), 0)</f>
        <v>1137.8792777965759</v>
      </c>
      <c r="L11" s="80">
        <f ca="1">IFERROR(L10^INDEX(Assumptions!$B:$B, MATCH("Sat facility capacity-ratio CapEx exponent", Assumptions!$A$1:$A$257, 0)) * INDEX(Assumptions!$B:$B, MATCH("Sat factory cost per capacity increment ($mm)", Assumptions!$A$1:$A$257, 0)), 0)</f>
        <v>0</v>
      </c>
      <c r="M11" s="80">
        <f ca="1">IFERROR(M10^INDEX(Assumptions!$B:$B, MATCH("Sat facility capacity-ratio CapEx exponent", Assumptions!$A$1:$A$257, 0)) * INDEX(Assumptions!$B:$B, MATCH("Sat factory cost per capacity increment ($mm)", Assumptions!$A$1:$A$257, 0)), 0)</f>
        <v>0</v>
      </c>
      <c r="N11" s="80">
        <f ca="1">IFERROR(N10^INDEX(Assumptions!$B:$B, MATCH("Sat facility capacity-ratio CapEx exponent", Assumptions!$A$1:$A$257, 0)) * INDEX(Assumptions!$B:$B, MATCH("Sat factory cost per capacity increment ($mm)", Assumptions!$A$1:$A$257, 0)), 0)</f>
        <v>2856.0733600023509</v>
      </c>
      <c r="O11" s="80">
        <f ca="1">IFERROR(O10^INDEX(Assumptions!$B:$B, MATCH("Sat facility capacity-ratio CapEx exponent", Assumptions!$A$1:$A$257, 0)) * INDEX(Assumptions!$B:$B, MATCH("Sat factory cost per capacity increment ($mm)", Assumptions!$A$1:$A$257, 0)), 0)</f>
        <v>5463.7512429417002</v>
      </c>
      <c r="P11" s="80">
        <f ca="1">IFERROR(P10^INDEX(Assumptions!$B:$B, MATCH("Sat facility capacity-ratio CapEx exponent", Assumptions!$A$1:$A$257, 0)) * INDEX(Assumptions!$B:$B, MATCH("Sat factory cost per capacity increment ($mm)", Assumptions!$A$1:$A$257, 0)), 0)</f>
        <v>0</v>
      </c>
      <c r="Q11" s="80">
        <f ca="1">IFERROR(Q10^INDEX(Assumptions!$B:$B, MATCH("Sat facility capacity-ratio CapEx exponent", Assumptions!$A$1:$A$257, 0)) * INDEX(Assumptions!$B:$B, MATCH("Sat factory cost per capacity increment ($mm)", Assumptions!$A$1:$A$257, 0)), 0)</f>
        <v>0</v>
      </c>
      <c r="R11" s="80">
        <f ca="1">IFERROR(R10^INDEX(Assumptions!$B:$B, MATCH("Sat facility capacity-ratio CapEx exponent", Assumptions!$A$1:$A$257, 0)) * INDEX(Assumptions!$B:$B, MATCH("Sat factory cost per capacity increment ($mm)", Assumptions!$A$1:$A$257, 0)), 0)</f>
        <v>0</v>
      </c>
      <c r="S11" s="80">
        <f ca="1">IFERROR(S10^INDEX(Assumptions!$B:$B, MATCH("Sat facility capacity-ratio CapEx exponent", Assumptions!$A$1:$A$257, 0)) * INDEX(Assumptions!$B:$B, MATCH("Sat factory cost per capacity increment ($mm)", Assumptions!$A$1:$A$257, 0)), 0)</f>
        <v>0</v>
      </c>
    </row>
    <row r="12" spans="1:19">
      <c r="A12" s="5" t="s">
        <v>1744</v>
      </c>
      <c r="B12" s="3"/>
      <c r="C12" s="3"/>
      <c r="D12" s="70">
        <f>INDEX(Assumptions!$B:$B, MATCH("Ground stations built per year (placeholder, flat)", Assumptions!$A$1:$A$257, 0))</f>
        <v>56</v>
      </c>
      <c r="E12" s="18">
        <f t="array" aca="1" ref="E12" ca="1">INDEX(Assumptions!$B:$B, MATCH("Ground stations built per year (placeholder, flat)", Assumptions!$A$1:$A$257, 0)) * IFERROR( ( (INDEX(Starlink!$D:$AC, MATCH("BB active Gbps (V2+V3 combined)", Starlink!$A$1:$A$204, 0), E$5+1) + INDEX(Starlink!$D:$AC, MATCH("DTC active Gbps (V2+V3 combined)", Starlink!$A$1:$A$204, 0), E$5+1)) / (INDEX(Starlink!$D:$AC, MATCH("BB active Gbps (V2+V3 combined)", Starlink!$A$1:$A$204, 0), MATCH(D$4, Starlink!$D$4:$AC$4, 0)) + INDEX(Starlink!$D:$AC, MATCH("DTC active Gbps (V2+V3 combined)", Starlink!$A$1:$A$204, 0), MATCH(D$4, Starlink!$D$4:$AC$4, 0))) ), 1)</f>
        <v>96.444277682014757</v>
      </c>
      <c r="F12" s="18">
        <f t="array" aca="1" ref="F12" ca="1">INDEX(Assumptions!$B:$B, MATCH("Ground stations built per year (placeholder, flat)", Assumptions!$A$1:$A$257, 0)) * IFERROR( ( (INDEX(Starlink!$D:$AC, MATCH("BB active Gbps (V2+V3 combined)", Starlink!$A$1:$A$204, 0), F$5+1) + INDEX(Starlink!$D:$AC, MATCH("DTC active Gbps (V2+V3 combined)", Starlink!$A$1:$A$204, 0), F$5+1)) / (INDEX(Starlink!$D:$AC, MATCH("BB active Gbps (V2+V3 combined)", Starlink!$A$1:$A$204, 0), MATCH(E$4, Starlink!$D$4:$AC$4, 0)) + INDEX(Starlink!$D:$AC, MATCH("DTC active Gbps (V2+V3 combined)", Starlink!$A$1:$A$204, 0), MATCH(E$4, Starlink!$D$4:$AC$4, 0))) ), 1)</f>
        <v>363.10035930971827</v>
      </c>
      <c r="G12" s="18">
        <f t="array" aca="1" ref="G12" ca="1">INDEX(Assumptions!$B:$B, MATCH("Ground stations built per year (placeholder, flat)", Assumptions!$A$1:$A$257, 0)) * IFERROR( ( (INDEX(Starlink!$D:$AC, MATCH("BB active Gbps (V2+V3 combined)", Starlink!$A$1:$A$204, 0), G$5+1) + INDEX(Starlink!$D:$AC, MATCH("DTC active Gbps (V2+V3 combined)", Starlink!$A$1:$A$204, 0), G$5+1)) / (INDEX(Starlink!$D:$AC, MATCH("BB active Gbps (V2+V3 combined)", Starlink!$A$1:$A$204, 0), MATCH(F$4, Starlink!$D$4:$AC$4, 0)) + INDEX(Starlink!$D:$AC, MATCH("DTC active Gbps (V2+V3 combined)", Starlink!$A$1:$A$204, 0), MATCH(F$4, Starlink!$D$4:$AC$4, 0))) ), 1)</f>
        <v>168.20779964119905</v>
      </c>
      <c r="H12" s="18">
        <f t="array" aca="1" ref="H12" ca="1">INDEX(Assumptions!$B:$B, MATCH("Ground stations built per year (placeholder, flat)", Assumptions!$A$1:$A$257, 0)) * IFERROR( ( (INDEX(Starlink!$D:$AC, MATCH("BB active Gbps (V2+V3 combined)", Starlink!$A$1:$A$204, 0), H$5+1) + INDEX(Starlink!$D:$AC, MATCH("DTC active Gbps (V2+V3 combined)", Starlink!$A$1:$A$204, 0), H$5+1)) / (INDEX(Starlink!$D:$AC, MATCH("BB active Gbps (V2+V3 combined)", Starlink!$A$1:$A$204, 0), MATCH(G$4, Starlink!$D$4:$AC$4, 0)) + INDEX(Starlink!$D:$AC, MATCH("DTC active Gbps (V2+V3 combined)", Starlink!$A$1:$A$204, 0), MATCH(G$4, Starlink!$D$4:$AC$4, 0))) ), 1)</f>
        <v>151.80845773038124</v>
      </c>
      <c r="I12" s="18">
        <f t="array" aca="1" ref="I12" ca="1">INDEX(Assumptions!$B:$B, MATCH("Ground stations built per year (placeholder, flat)", Assumptions!$A$1:$A$257, 0)) * IFERROR( ( (INDEX(Starlink!$D:$AC, MATCH("BB active Gbps (V2+V3 combined)", Starlink!$A$1:$A$204, 0), I$5+1) + INDEX(Starlink!$D:$AC, MATCH("DTC active Gbps (V2+V3 combined)", Starlink!$A$1:$A$204, 0), I$5+1)) / (INDEX(Starlink!$D:$AC, MATCH("BB active Gbps (V2+V3 combined)", Starlink!$A$1:$A$204, 0), MATCH(H$4, Starlink!$D$4:$AC$4, 0)) + INDEX(Starlink!$D:$AC, MATCH("DTC active Gbps (V2+V3 combined)", Starlink!$A$1:$A$204, 0), MATCH(H$4, Starlink!$D$4:$AC$4, 0))) ), 1)</f>
        <v>78.162616961183971</v>
      </c>
      <c r="J12" s="18">
        <f t="array" aca="1" ref="J12" ca="1">INDEX(Assumptions!$B:$B, MATCH("Ground stations built per year (placeholder, flat)", Assumptions!$A$1:$A$257, 0)) * IFERROR( ( (INDEX(Starlink!$D:$AC, MATCH("BB active Gbps (V2+V3 combined)", Starlink!$A$1:$A$204, 0), J$5+1) + INDEX(Starlink!$D:$AC, MATCH("DTC active Gbps (V2+V3 combined)", Starlink!$A$1:$A$204, 0), J$5+1)) / (INDEX(Starlink!$D:$AC, MATCH("BB active Gbps (V2+V3 combined)", Starlink!$A$1:$A$204, 0), MATCH(I$4, Starlink!$D$4:$AC$4, 0)) + INDEX(Starlink!$D:$AC, MATCH("DTC active Gbps (V2+V3 combined)", Starlink!$A$1:$A$204, 0), MATCH(I$4, Starlink!$D$4:$AC$4, 0))) ), 1)</f>
        <v>86.502935959438787</v>
      </c>
      <c r="K12" s="18">
        <f t="array" aca="1" ref="K12" ca="1">INDEX(Assumptions!$B:$B, MATCH("Ground stations built per year (placeholder, flat)", Assumptions!$A$1:$A$257, 0)) * IFERROR( ( (INDEX(Starlink!$D:$AC, MATCH("BB active Gbps (V2+V3 combined)", Starlink!$A$1:$A$204, 0), K$5+1) + INDEX(Starlink!$D:$AC, MATCH("DTC active Gbps (V2+V3 combined)", Starlink!$A$1:$A$204, 0), K$5+1)) / (INDEX(Starlink!$D:$AC, MATCH("BB active Gbps (V2+V3 combined)", Starlink!$A$1:$A$204, 0), MATCH(J$4, Starlink!$D$4:$AC$4, 0)) + INDEX(Starlink!$D:$AC, MATCH("DTC active Gbps (V2+V3 combined)", Starlink!$A$1:$A$204, 0), MATCH(J$4, Starlink!$D$4:$AC$4, 0))) ), 1)</f>
        <v>64.626774736922314</v>
      </c>
      <c r="L12" s="18">
        <f t="array" aca="1" ref="L12" ca="1">INDEX(Assumptions!$B:$B, MATCH("Ground stations built per year (placeholder, flat)", Assumptions!$A$1:$A$257, 0)) * IFERROR( ( (INDEX(Starlink!$D:$AC, MATCH("BB active Gbps (V2+V3 combined)", Starlink!$A$1:$A$204, 0), L$5+1) + INDEX(Starlink!$D:$AC, MATCH("DTC active Gbps (V2+V3 combined)", Starlink!$A$1:$A$204, 0), L$5+1)) / (INDEX(Starlink!$D:$AC, MATCH("BB active Gbps (V2+V3 combined)", Starlink!$A$1:$A$204, 0), MATCH(K$4, Starlink!$D$4:$AC$4, 0)) + INDEX(Starlink!$D:$AC, MATCH("DTC active Gbps (V2+V3 combined)", Starlink!$A$1:$A$204, 0), MATCH(K$4, Starlink!$D$4:$AC$4, 0))) ), 1)</f>
        <v>53.296462209945773</v>
      </c>
      <c r="M12" s="18">
        <f t="array" aca="1" ref="M12" ca="1">INDEX(Assumptions!$B:$B, MATCH("Ground stations built per year (placeholder, flat)", Assumptions!$A$1:$A$257, 0)) * IFERROR( ( (INDEX(Starlink!$D:$AC, MATCH("BB active Gbps (V2+V3 combined)", Starlink!$A$1:$A$204, 0), M$5+1) + INDEX(Starlink!$D:$AC, MATCH("DTC active Gbps (V2+V3 combined)", Starlink!$A$1:$A$204, 0), M$5+1)) / (INDEX(Starlink!$D:$AC, MATCH("BB active Gbps (V2+V3 combined)", Starlink!$A$1:$A$204, 0), MATCH(L$4, Starlink!$D$4:$AC$4, 0)) + INDEX(Starlink!$D:$AC, MATCH("DTC active Gbps (V2+V3 combined)", Starlink!$A$1:$A$204, 0), MATCH(L$4, Starlink!$D$4:$AC$4, 0))) ), 1)</f>
        <v>55.274485396514123</v>
      </c>
      <c r="N12" s="18">
        <f t="array" aca="1" ref="N12" ca="1">INDEX(Assumptions!$B:$B, MATCH("Ground stations built per year (placeholder, flat)", Assumptions!$A$1:$A$257, 0)) * IFERROR( ( (INDEX(Starlink!$D:$AC, MATCH("BB active Gbps (V2+V3 combined)", Starlink!$A$1:$A$204, 0), N$5+1) + INDEX(Starlink!$D:$AC, MATCH("DTC active Gbps (V2+V3 combined)", Starlink!$A$1:$A$204, 0), N$5+1)) / (INDEX(Starlink!$D:$AC, MATCH("BB active Gbps (V2+V3 combined)", Starlink!$A$1:$A$204, 0), MATCH(M$4, Starlink!$D$4:$AC$4, 0)) + INDEX(Starlink!$D:$AC, MATCH("DTC active Gbps (V2+V3 combined)", Starlink!$A$1:$A$204, 0), MATCH(M$4, Starlink!$D$4:$AC$4, 0))) ), 1)</f>
        <v>73.41729876244645</v>
      </c>
      <c r="O12" s="18">
        <f t="array" aca="1" ref="O12" ca="1">INDEX(Assumptions!$B:$B, MATCH("Ground stations built per year (placeholder, flat)", Assumptions!$A$1:$A$257, 0)) * IFERROR( ( (INDEX(Starlink!$D:$AC, MATCH("BB active Gbps (V2+V3 combined)", Starlink!$A$1:$A$204, 0), O$5+1) + INDEX(Starlink!$D:$AC, MATCH("DTC active Gbps (V2+V3 combined)", Starlink!$A$1:$A$204, 0), O$5+1)) / (INDEX(Starlink!$D:$AC, MATCH("BB active Gbps (V2+V3 combined)", Starlink!$A$1:$A$204, 0), MATCH(N$4, Starlink!$D$4:$AC$4, 0)) + INDEX(Starlink!$D:$AC, MATCH("DTC active Gbps (V2+V3 combined)", Starlink!$A$1:$A$204, 0), MATCH(N$4, Starlink!$D$4:$AC$4, 0))) ), 1)</f>
        <v>77.714465939914433</v>
      </c>
      <c r="P12" s="18">
        <f t="array" aca="1" ref="P12" ca="1">INDEX(Assumptions!$B:$B, MATCH("Ground stations built per year (placeholder, flat)", Assumptions!$A$1:$A$257, 0)) * IFERROR( ( (INDEX(Starlink!$D:$AC, MATCH("BB active Gbps (V2+V3 combined)", Starlink!$A$1:$A$204, 0), P$5+1) + INDEX(Starlink!$D:$AC, MATCH("DTC active Gbps (V2+V3 combined)", Starlink!$A$1:$A$204, 0), P$5+1)) / (INDEX(Starlink!$D:$AC, MATCH("BB active Gbps (V2+V3 combined)", Starlink!$A$1:$A$204, 0), MATCH(O$4, Starlink!$D$4:$AC$4, 0)) + INDEX(Starlink!$D:$AC, MATCH("DTC active Gbps (V2+V3 combined)", Starlink!$A$1:$A$204, 0), MATCH(O$4, Starlink!$D$4:$AC$4, 0))) ), 1)</f>
        <v>68.366629459327299</v>
      </c>
      <c r="Q12" s="18">
        <f t="array" aca="1" ref="Q12" ca="1">INDEX(Assumptions!$B:$B, MATCH("Ground stations built per year (placeholder, flat)", Assumptions!$A$1:$A$257, 0)) * IFERROR( ( (INDEX(Starlink!$D:$AC, MATCH("BB active Gbps (V2+V3 combined)", Starlink!$A$1:$A$204, 0), Q$5+1) + INDEX(Starlink!$D:$AC, MATCH("DTC active Gbps (V2+V3 combined)", Starlink!$A$1:$A$204, 0), Q$5+1)) / (INDEX(Starlink!$D:$AC, MATCH("BB active Gbps (V2+V3 combined)", Starlink!$A$1:$A$204, 0), MATCH(P$4, Starlink!$D$4:$AC$4, 0)) + INDEX(Starlink!$D:$AC, MATCH("DTC active Gbps (V2+V3 combined)", Starlink!$A$1:$A$204, 0), MATCH(P$4, Starlink!$D$4:$AC$4, 0))) ), 1)</f>
        <v>63.283799222281985</v>
      </c>
      <c r="R12" s="18">
        <f t="array" aca="1" ref="R12" ca="1">INDEX(Assumptions!$B:$B, MATCH("Ground stations built per year (placeholder, flat)", Assumptions!$A$1:$A$257, 0)) * IFERROR( ( (INDEX(Starlink!$D:$AC, MATCH("BB active Gbps (V2+V3 combined)", Starlink!$A$1:$A$204, 0), R$5+1) + INDEX(Starlink!$D:$AC, MATCH("DTC active Gbps (V2+V3 combined)", Starlink!$A$1:$A$204, 0), R$5+1)) / (INDEX(Starlink!$D:$AC, MATCH("BB active Gbps (V2+V3 combined)", Starlink!$A$1:$A$204, 0), MATCH(Q$4, Starlink!$D$4:$AC$4, 0)) + INDEX(Starlink!$D:$AC, MATCH("DTC active Gbps (V2+V3 combined)", Starlink!$A$1:$A$204, 0), MATCH(Q$4, Starlink!$D$4:$AC$4, 0))) ), 1)</f>
        <v>54.266139268736715</v>
      </c>
      <c r="S12" s="18">
        <f t="array" aca="1" ref="S12" ca="1">INDEX(Assumptions!$B:$B, MATCH("Ground stations built per year (placeholder, flat)", Assumptions!$A$1:$A$257, 0)) * IFERROR( ( (INDEX(Starlink!$D:$AC, MATCH("BB active Gbps (V2+V3 combined)", Starlink!$A$1:$A$204, 0), S$5+1) + INDEX(Starlink!$D:$AC, MATCH("DTC active Gbps (V2+V3 combined)", Starlink!$A$1:$A$204, 0), S$5+1)) / (INDEX(Starlink!$D:$AC, MATCH("BB active Gbps (V2+V3 combined)", Starlink!$A$1:$A$204, 0), MATCH(R$4, Starlink!$D$4:$AC$4, 0)) + INDEX(Starlink!$D:$AC, MATCH("DTC active Gbps (V2+V3 combined)", Starlink!$A$1:$A$204, 0), MATCH(R$4, Starlink!$D$4:$AC$4, 0))) ), 1)</f>
        <v>49.367544221387057</v>
      </c>
    </row>
    <row r="13" spans="1:19">
      <c r="A13" s="5" t="s">
        <v>1745</v>
      </c>
      <c r="B13" s="3"/>
      <c r="C13" s="3"/>
      <c r="D13" s="80">
        <f>D12*INDEX(Assumptions!$B:$B, MATCH("Ground station build CapEx per station ($mm)", Assumptions!$A$1:$A$257, 0))</f>
        <v>84</v>
      </c>
      <c r="E13" s="80">
        <f ca="1">E12*INDEX(Assumptions!$B:$B, MATCH("Ground station build CapEx per station ($mm)", Assumptions!$A$1:$A$257, 0))</f>
        <v>144.66641652302212</v>
      </c>
      <c r="F13" s="80">
        <f ca="1">F12*INDEX(Assumptions!$B:$B, MATCH("Ground station build CapEx per station ($mm)", Assumptions!$A$1:$A$257, 0))</f>
        <v>544.65053896457744</v>
      </c>
      <c r="G13" s="80">
        <f ca="1">G12*INDEX(Assumptions!$B:$B, MATCH("Ground station build CapEx per station ($mm)", Assumptions!$A$1:$A$257, 0))</f>
        <v>252.31169946179858</v>
      </c>
      <c r="H13" s="80">
        <f ca="1">H12*INDEX(Assumptions!$B:$B, MATCH("Ground station build CapEx per station ($mm)", Assumptions!$A$1:$A$257, 0))</f>
        <v>227.71268659557185</v>
      </c>
      <c r="I13" s="80">
        <f ca="1">I12*INDEX(Assumptions!$B:$B, MATCH("Ground station build CapEx per station ($mm)", Assumptions!$A$1:$A$257, 0))</f>
        <v>117.24392544177596</v>
      </c>
      <c r="J13" s="80">
        <f ca="1">J12*INDEX(Assumptions!$B:$B, MATCH("Ground station build CapEx per station ($mm)", Assumptions!$A$1:$A$257, 0))</f>
        <v>129.75440393915818</v>
      </c>
      <c r="K13" s="80">
        <f ca="1">K12*INDEX(Assumptions!$B:$B, MATCH("Ground station build CapEx per station ($mm)", Assumptions!$A$1:$A$257, 0))</f>
        <v>96.940162105383479</v>
      </c>
      <c r="L13" s="80">
        <f ca="1">L12*INDEX(Assumptions!$B:$B, MATCH("Ground station build CapEx per station ($mm)", Assumptions!$A$1:$A$257, 0))</f>
        <v>79.944693314918652</v>
      </c>
      <c r="M13" s="80">
        <f ca="1">M12*INDEX(Assumptions!$B:$B, MATCH("Ground station build CapEx per station ($mm)", Assumptions!$A$1:$A$257, 0))</f>
        <v>82.911728094771178</v>
      </c>
      <c r="N13" s="80">
        <f ca="1">N12*INDEX(Assumptions!$B:$B, MATCH("Ground station build CapEx per station ($mm)", Assumptions!$A$1:$A$257, 0))</f>
        <v>110.12594814366967</v>
      </c>
      <c r="O13" s="80">
        <f ca="1">O12*INDEX(Assumptions!$B:$B, MATCH("Ground station build CapEx per station ($mm)", Assumptions!$A$1:$A$257, 0))</f>
        <v>116.57169890987166</v>
      </c>
      <c r="P13" s="80">
        <f ca="1">P12*INDEX(Assumptions!$B:$B, MATCH("Ground station build CapEx per station ($mm)", Assumptions!$A$1:$A$257, 0))</f>
        <v>102.54994418899095</v>
      </c>
      <c r="Q13" s="80">
        <f ca="1">Q12*INDEX(Assumptions!$B:$B, MATCH("Ground station build CapEx per station ($mm)", Assumptions!$A$1:$A$257, 0))</f>
        <v>94.925698833422985</v>
      </c>
      <c r="R13" s="80">
        <f ca="1">R12*INDEX(Assumptions!$B:$B, MATCH("Ground station build CapEx per station ($mm)", Assumptions!$A$1:$A$257, 0))</f>
        <v>81.399208903105077</v>
      </c>
      <c r="S13" s="80">
        <f ca="1">S12*INDEX(Assumptions!$B:$B, MATCH("Ground station build CapEx per station ($mm)", Assumptions!$A$1:$A$257, 0))</f>
        <v>74.051316332080589</v>
      </c>
    </row>
    <row r="14" spans="1:19">
      <c r="A14" s="78" t="s">
        <v>1746</v>
      </c>
      <c r="B14" s="78"/>
      <c r="C14" s="78"/>
      <c r="D14" s="84">
        <f t="shared" ref="D14:S14" si="1">D11+D13</f>
        <v>107.35164835164835</v>
      </c>
      <c r="E14" s="84">
        <f t="shared" ca="1" si="1"/>
        <v>144.66641652302212</v>
      </c>
      <c r="F14" s="84">
        <f t="shared" ca="1" si="1"/>
        <v>553.84353421409583</v>
      </c>
      <c r="G14" s="84">
        <f t="shared" ca="1" si="1"/>
        <v>903.66444178746156</v>
      </c>
      <c r="H14" s="84">
        <f t="shared" ca="1" si="1"/>
        <v>2274.0321365075974</v>
      </c>
      <c r="I14" s="84">
        <f t="shared" ca="1" si="1"/>
        <v>2839.580879807304</v>
      </c>
      <c r="J14" s="84">
        <f t="shared" ca="1" si="1"/>
        <v>510.51625559871917</v>
      </c>
      <c r="K14" s="84">
        <f t="shared" ca="1" si="1"/>
        <v>1234.8194399019594</v>
      </c>
      <c r="L14" s="84">
        <f t="shared" ca="1" si="1"/>
        <v>79.944693314918652</v>
      </c>
      <c r="M14" s="84">
        <f t="shared" ca="1" si="1"/>
        <v>82.911728094771178</v>
      </c>
      <c r="N14" s="84">
        <f t="shared" ca="1" si="1"/>
        <v>2966.1993081460205</v>
      </c>
      <c r="O14" s="84">
        <f t="shared" ca="1" si="1"/>
        <v>5580.3229418515721</v>
      </c>
      <c r="P14" s="84">
        <f t="shared" ca="1" si="1"/>
        <v>102.54994418899095</v>
      </c>
      <c r="Q14" s="84">
        <f t="shared" ca="1" si="1"/>
        <v>94.925698833422985</v>
      </c>
      <c r="R14" s="84">
        <f t="shared" ca="1" si="1"/>
        <v>81.399208903105077</v>
      </c>
      <c r="S14" s="84">
        <f t="shared" ca="1" si="1"/>
        <v>74.051316332080589</v>
      </c>
    </row>
    <row r="15" spans="1:19">
      <c r="A15" s="82" t="s">
        <v>1747</v>
      </c>
      <c r="B15" s="3"/>
      <c r="C15" s="3"/>
      <c r="D15" s="80">
        <f>MIN( SUM($D11:D11)+SUM($D13:D13), SUM($D11:D11)/INDEX(Assumptions!$B:$B, MATCH("Sat factory useful life (years)", Assumptions!$A$1:$A$257, 0)) + SUM($D13:D13)/INDEX(Assumptions!$B:$B, MATCH("Ground station useful life (years)", Assumptions!$A$1:$A$257, 0)) )</f>
        <v>4.9783882783882785</v>
      </c>
      <c r="E15" s="80">
        <f ca="1">MIN( SUM($D11:E11)+SUM($D13:E13), SUM($D11:E11)/INDEX(Assumptions!$B:$B, MATCH("Sat factory useful life (years)", Assumptions!$A$1:$A$257, 0)) + SUM($D13:E13)/INDEX(Assumptions!$B:$B, MATCH("Ground station useful life (years)", Assumptions!$A$1:$A$257, 0)) )</f>
        <v>12.211709104539386</v>
      </c>
      <c r="F15" s="80">
        <f ca="1">MIN( SUM($D11:F11)+SUM($D13:F13), SUM($D11:F11)/INDEX(Assumptions!$B:$B, MATCH("Sat factory useful life (years)", Assumptions!$A$1:$A$257, 0)) + SUM($D13:F13)/INDEX(Assumptions!$B:$B, MATCH("Ground station useful life (years)", Assumptions!$A$1:$A$257, 0)) )</f>
        <v>39.750669227752198</v>
      </c>
      <c r="G15" s="80">
        <f ca="1">MIN( SUM($D11:G11)+SUM($D13:G13), SUM($D11:G11)/INDEX(Assumptions!$B:$B, MATCH("Sat factory useful life (years)", Assumptions!$A$1:$A$257, 0)) + SUM($D13:G13)/INDEX(Assumptions!$B:$B, MATCH("Ground station useful life (years)", Assumptions!$A$1:$A$257, 0)) )</f>
        <v>74.078012278364227</v>
      </c>
      <c r="H15" s="80">
        <f ca="1">MIN( SUM($D11:H11)+SUM($D13:H13), SUM($D11:H11)/INDEX(Assumptions!$B:$B, MATCH("Sat factory useful life (years)", Assumptions!$A$1:$A$257, 0)) + SUM($D13:H13)/INDEX(Assumptions!$B:$B, MATCH("Ground station useful life (years)", Assumptions!$A$1:$A$257, 0)) )</f>
        <v>153.67429493854368</v>
      </c>
      <c r="I15" s="80">
        <f ca="1">MIN( SUM($D11:I11)+SUM($D13:I13), SUM($D11:I11)/INDEX(Assumptions!$B:$B, MATCH("Sat factory useful life (years)", Assumptions!$A$1:$A$257, 0)) + SUM($D13:I13)/INDEX(Assumptions!$B:$B, MATCH("Ground station useful life (years)", Assumptions!$A$1:$A$257, 0)) )</f>
        <v>250.28105635615009</v>
      </c>
      <c r="J15" s="80">
        <f ca="1">MIN( SUM($D11:J11)+SUM($D13:J13), SUM($D11:J11)/INDEX(Assumptions!$B:$B, MATCH("Sat factory useful life (years)", Assumptions!$A$1:$A$257, 0)) + SUM($D13:J13)/INDEX(Assumptions!$B:$B, MATCH("Ground station useful life (years)", Assumptions!$A$1:$A$257, 0)) )</f>
        <v>269.46083827509335</v>
      </c>
      <c r="K15" s="80">
        <f ca="1">MIN( SUM($D11:K11)+SUM($D13:K13), SUM($D11:K11)/INDEX(Assumptions!$B:$B, MATCH("Sat factory useful life (years)", Assumptions!$A$1:$A$257, 0)) + SUM($D13:K13)/INDEX(Assumptions!$B:$B, MATCH("Ground station useful life (years)", Assumptions!$A$1:$A$257, 0)) )</f>
        <v>312.23715564024837</v>
      </c>
      <c r="L15" s="80">
        <f ca="1">MIN( SUM($D11:L11)+SUM($D13:L13), SUM($D11:L11)/INDEX(Assumptions!$B:$B, MATCH("Sat factory useful life (years)", Assumptions!$A$1:$A$257, 0)) + SUM($D13:L13)/INDEX(Assumptions!$B:$B, MATCH("Ground station useful life (years)", Assumptions!$A$1:$A$257, 0)) )</f>
        <v>316.23439030599434</v>
      </c>
      <c r="M15" s="80">
        <f ca="1">MIN( SUM($D11:M11)+SUM($D13:M13), SUM($D11:M11)/INDEX(Assumptions!$B:$B, MATCH("Sat factory useful life (years)", Assumptions!$A$1:$A$257, 0)) + SUM($D13:M13)/INDEX(Assumptions!$B:$B, MATCH("Ground station useful life (years)", Assumptions!$A$1:$A$257, 0)) )</f>
        <v>320.37997671073288</v>
      </c>
      <c r="N15" s="80">
        <f ca="1">MIN( SUM($D11:N11)+SUM($D13:N13), SUM($D11:N11)/INDEX(Assumptions!$B:$B, MATCH("Sat factory useful life (years)", Assumptions!$A$1:$A$257, 0)) + SUM($D13:N13)/INDEX(Assumptions!$B:$B, MATCH("Ground station useful life (years)", Assumptions!$A$1:$A$257, 0)) )</f>
        <v>421.08871945132802</v>
      </c>
      <c r="O15" s="80">
        <f ca="1">MIN( SUM($D11:O11)+SUM($D13:O13), SUM($D11:O11)/INDEX(Assumptions!$B:$B, MATCH("Sat factory useful life (years)", Assumptions!$A$1:$A$257, 0)) + SUM($D13:O13)/INDEX(Assumptions!$B:$B, MATCH("Ground station useful life (years)", Assumptions!$A$1:$A$257, 0)) )</f>
        <v>609.04234582821164</v>
      </c>
      <c r="P15" s="80">
        <f ca="1">MIN( SUM($D11:P11)+SUM($D13:P13), SUM($D11:P11)/INDEX(Assumptions!$B:$B, MATCH("Sat factory useful life (years)", Assumptions!$A$1:$A$257, 0)) + SUM($D13:P13)/INDEX(Assumptions!$B:$B, MATCH("Ground station useful life (years)", Assumptions!$A$1:$A$257, 0)) )</f>
        <v>614.16984303766117</v>
      </c>
      <c r="Q15" s="80">
        <f ca="1">MIN( SUM($D11:Q11)+SUM($D13:Q13), SUM($D11:Q11)/INDEX(Assumptions!$B:$B, MATCH("Sat factory useful life (years)", Assumptions!$A$1:$A$257, 0)) + SUM($D13:Q13)/INDEX(Assumptions!$B:$B, MATCH("Ground station useful life (years)", Assumptions!$A$1:$A$257, 0)) )</f>
        <v>618.91612797933237</v>
      </c>
      <c r="R15" s="80">
        <f ca="1">MIN( SUM($D11:R11)+SUM($D13:R13), SUM($D11:R11)/INDEX(Assumptions!$B:$B, MATCH("Sat factory useful life (years)", Assumptions!$A$1:$A$257, 0)) + SUM($D13:R13)/INDEX(Assumptions!$B:$B, MATCH("Ground station useful life (years)", Assumptions!$A$1:$A$257, 0)) )</f>
        <v>622.98608842448766</v>
      </c>
      <c r="S15" s="80">
        <f ca="1">MIN( SUM($D11:S11)+SUM($D13:S13), SUM($D11:S11)/INDEX(Assumptions!$B:$B, MATCH("Sat factory useful life (years)", Assumptions!$A$1:$A$257, 0)) + SUM($D13:S13)/INDEX(Assumptions!$B:$B, MATCH("Ground station useful life (years)", Assumptions!$A$1:$A$257, 0)) )</f>
        <v>626.68865424109163</v>
      </c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13" t="s">
        <v>1748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>
      <c r="A18" s="5" t="s">
        <v>1749</v>
      </c>
      <c r="B18" s="3"/>
      <c r="C18" s="3"/>
      <c r="D18" s="70">
        <f t="array" aca="1" ref="D18" ca="1">IFERROR(INDEX('Vehicle Build'!$D:$AC, MATCH("Ships built (fleet)", 'Vehicle Build'!$A$1:$A$119, 0), D$5+1), 0)</f>
        <v>0</v>
      </c>
      <c r="E18" s="70">
        <f t="array" aca="1" ref="E18" ca="1">IFERROR(INDEX('Vehicle Build'!$D:$AC, MATCH("Ships built (fleet)", 'Vehicle Build'!$A$1:$A$119, 0), E$5+1), 0)</f>
        <v>8</v>
      </c>
      <c r="F18" s="70">
        <f t="array" aca="1" ref="F18" ca="1">IFERROR(INDEX('Vehicle Build'!$D:$AC, MATCH("Ships built (fleet)", 'Vehicle Build'!$A$1:$A$119, 0), F$5+1), 0)</f>
        <v>23</v>
      </c>
      <c r="G18" s="70">
        <f t="array" aca="1" ref="G18" ca="1">IFERROR(INDEX('Vehicle Build'!$D:$AC, MATCH("Ships built (fleet)", 'Vehicle Build'!$A$1:$A$119, 0), G$5+1), 0)</f>
        <v>38</v>
      </c>
      <c r="H18" s="70">
        <f t="array" aca="1" ref="H18" ca="1">IFERROR(INDEX('Vehicle Build'!$D:$AC, MATCH("Ships built (fleet)", 'Vehicle Build'!$A$1:$A$119, 0), H$5+1), 0)</f>
        <v>53</v>
      </c>
      <c r="I18" s="70">
        <f t="array" aca="1" ref="I18" ca="1">IFERROR(INDEX('Vehicle Build'!$D:$AC, MATCH("Ships built (fleet)", 'Vehicle Build'!$A$1:$A$119, 0), I$5+1), 0)</f>
        <v>68</v>
      </c>
      <c r="J18" s="70">
        <f t="array" aca="1" ref="J18" ca="1">IFERROR(INDEX('Vehicle Build'!$D:$AC, MATCH("Ships built (fleet)", 'Vehicle Build'!$A$1:$A$119, 0), J$5+1), 0)</f>
        <v>83</v>
      </c>
      <c r="K18" s="70">
        <f t="array" aca="1" ref="K18" ca="1">IFERROR(INDEX('Vehicle Build'!$D:$AC, MATCH("Ships built (fleet)", 'Vehicle Build'!$A$1:$A$119, 0), K$5+1), 0)</f>
        <v>98</v>
      </c>
      <c r="L18" s="70">
        <f t="array" aca="1" ref="L18" ca="1">IFERROR(INDEX('Vehicle Build'!$D:$AC, MATCH("Ships built (fleet)", 'Vehicle Build'!$A$1:$A$119, 0), L$5+1), 0)</f>
        <v>67.344236906469689</v>
      </c>
      <c r="M18" s="70">
        <f t="array" aca="1" ref="M18" ca="1">IFERROR(INDEX('Vehicle Build'!$D:$AC, MATCH("Ships built (fleet)", 'Vehicle Build'!$A$1:$A$119, 0), M$5+1), 0)</f>
        <v>54.363323400973329</v>
      </c>
      <c r="N18" s="70">
        <f t="array" aca="1" ref="N18" ca="1">IFERROR(INDEX('Vehicle Build'!$D:$AC, MATCH("Ships built (fleet)", 'Vehicle Build'!$A$1:$A$119, 0), N$5+1), 0)</f>
        <v>57.396839580342331</v>
      </c>
      <c r="O18" s="70">
        <f t="array" aca="1" ref="O18" ca="1">IFERROR(INDEX('Vehicle Build'!$D:$AC, MATCH("Ships built (fleet)", 'Vehicle Build'!$A$1:$A$119, 0), O$5+1), 0)</f>
        <v>59.413558116025428</v>
      </c>
      <c r="P18" s="70">
        <f t="array" aca="1" ref="P18" ca="1">IFERROR(INDEX('Vehicle Build'!$D:$AC, MATCH("Ships built (fleet)", 'Vehicle Build'!$A$1:$A$119, 0), P$5+1), 0)</f>
        <v>18.931687633903721</v>
      </c>
      <c r="Q18" s="70">
        <f t="array" aca="1" ref="Q18" ca="1">IFERROR(INDEX('Vehicle Build'!$D:$AC, MATCH("Ships built (fleet)", 'Vehicle Build'!$A$1:$A$119, 0), Q$5+1), 0)</f>
        <v>27.86791108003095</v>
      </c>
      <c r="R18" s="70">
        <f t="array" aca="1" ref="R18" ca="1">IFERROR(INDEX('Vehicle Build'!$D:$AC, MATCH("Ships built (fleet)", 'Vehicle Build'!$A$1:$A$119, 0), R$5+1), 0)</f>
        <v>46.673353116677589</v>
      </c>
      <c r="S18" s="70">
        <f t="array" aca="1" ref="S18" ca="1">IFERROR(INDEX('Vehicle Build'!$D:$AC, MATCH("Ships built (fleet)", 'Vehicle Build'!$A$1:$A$119, 0), S$5+1), 0)</f>
        <v>60.857206764677855</v>
      </c>
    </row>
    <row r="19" spans="1:19">
      <c r="A19" s="5" t="s">
        <v>1750</v>
      </c>
      <c r="B19" s="3"/>
      <c r="C19" s="3"/>
      <c r="D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D$4 - INDEX(Assumptions!$B:$B,MATCH("Starship operational year",Assumptions!$A:$A,0))) )</f>
        <v>8</v>
      </c>
      <c r="E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E$4 - INDEX(Assumptions!$B:$B,MATCH("Starship operational year",Assumptions!$A:$A,0))) )</f>
        <v>8</v>
      </c>
      <c r="F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F$4 - INDEX(Assumptions!$B:$B,MATCH("Starship operational year",Assumptions!$A:$A,0))) )</f>
        <v>23</v>
      </c>
      <c r="G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G$4 - INDEX(Assumptions!$B:$B,MATCH("Starship operational year",Assumptions!$A:$A,0))) )</f>
        <v>38</v>
      </c>
      <c r="H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H$4 - INDEX(Assumptions!$B:$B,MATCH("Starship operational year",Assumptions!$A:$A,0))) )</f>
        <v>53</v>
      </c>
      <c r="I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I$4 - INDEX(Assumptions!$B:$B,MATCH("Starship operational year",Assumptions!$A:$A,0))) )</f>
        <v>68</v>
      </c>
      <c r="J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J$4 - INDEX(Assumptions!$B:$B,MATCH("Starship operational year",Assumptions!$A:$A,0))) )</f>
        <v>83</v>
      </c>
      <c r="K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K$4 - INDEX(Assumptions!$B:$B,MATCH("Starship operational year",Assumptions!$A:$A,0))) )</f>
        <v>98</v>
      </c>
      <c r="L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L$4 - INDEX(Assumptions!$B:$B,MATCH("Starship operational year",Assumptions!$A:$A,0))) )</f>
        <v>113</v>
      </c>
      <c r="M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M$4 - INDEX(Assumptions!$B:$B,MATCH("Starship operational year",Assumptions!$A:$A,0))) )</f>
        <v>128</v>
      </c>
      <c r="N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N$4 - INDEX(Assumptions!$B:$B,MATCH("Starship operational year",Assumptions!$A:$A,0))) )</f>
        <v>143</v>
      </c>
      <c r="O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O$4 - INDEX(Assumptions!$B:$B,MATCH("Starship operational year",Assumptions!$A:$A,0))) )</f>
        <v>158</v>
      </c>
      <c r="P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P$4 - INDEX(Assumptions!$B:$B,MATCH("Starship operational year",Assumptions!$A:$A,0))) )</f>
        <v>173</v>
      </c>
      <c r="Q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Q$4 - INDEX(Assumptions!$B:$B,MATCH("Starship operational year",Assumptions!$A:$A,0))) )</f>
        <v>188</v>
      </c>
      <c r="R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R$4 - INDEX(Assumptions!$B:$B,MATCH("Starship operational year",Assumptions!$A:$A,0))) )</f>
        <v>203</v>
      </c>
      <c r="S19" s="70">
        <f>MIN( INDEX(Assumptions!$B:$B,MATCH("Starship build-capacity ceiling (ships/yr)",Assumptions!$A:$A,0)), INDEX(Assumptions!$B:$B,MATCH("Gigabay base capacity 2025 (ships/yr)",Assumptions!$A:$A,0)) + INDEX(Assumptions!$B:$B,MATCH("Max Starship build-capacity added per year (ships/yr)",Assumptions!$A:$A,0)) * MAX(0, S$4 - INDEX(Assumptions!$B:$B,MATCH("Starship operational year",Assumptions!$A:$A,0))) )</f>
        <v>218</v>
      </c>
    </row>
    <row r="20" spans="1:19">
      <c r="A20" s="5" t="s">
        <v>1751</v>
      </c>
      <c r="B20" s="3"/>
      <c r="C20" s="3"/>
      <c r="D20" s="18">
        <v>0</v>
      </c>
      <c r="E20" s="29">
        <f t="shared" ref="E20:S20" si="2">MAX(0, E19 - D19)</f>
        <v>0</v>
      </c>
      <c r="F20" s="29">
        <f t="shared" si="2"/>
        <v>15</v>
      </c>
      <c r="G20" s="29">
        <f t="shared" si="2"/>
        <v>15</v>
      </c>
      <c r="H20" s="29">
        <f t="shared" si="2"/>
        <v>15</v>
      </c>
      <c r="I20" s="29">
        <f t="shared" si="2"/>
        <v>15</v>
      </c>
      <c r="J20" s="29">
        <f t="shared" si="2"/>
        <v>15</v>
      </c>
      <c r="K20" s="29">
        <f t="shared" si="2"/>
        <v>15</v>
      </c>
      <c r="L20" s="29">
        <f t="shared" si="2"/>
        <v>15</v>
      </c>
      <c r="M20" s="29">
        <f t="shared" si="2"/>
        <v>15</v>
      </c>
      <c r="N20" s="29">
        <f t="shared" si="2"/>
        <v>15</v>
      </c>
      <c r="O20" s="29">
        <f t="shared" si="2"/>
        <v>15</v>
      </c>
      <c r="P20" s="29">
        <f t="shared" si="2"/>
        <v>15</v>
      </c>
      <c r="Q20" s="29">
        <f t="shared" si="2"/>
        <v>15</v>
      </c>
      <c r="R20" s="29">
        <f t="shared" si="2"/>
        <v>15</v>
      </c>
      <c r="S20" s="29">
        <f t="shared" si="2"/>
        <v>15</v>
      </c>
    </row>
    <row r="21" spans="1:19">
      <c r="A21" s="5" t="s">
        <v>1752</v>
      </c>
      <c r="B21" s="3"/>
      <c r="C21" s="3"/>
      <c r="D21" s="80">
        <f>D20 / INDEX(Assumptions!$B:$B,MATCH("Starship facility capacity (ships/yr per Gigabay)",Assumptions!$A:$A,0)) * INDEX(Assumptions!$B:$B,MATCH("Starship facility cost per Gigabay increment ($mm)",Assumptions!$A:$A,0))</f>
        <v>0</v>
      </c>
      <c r="E21" s="80">
        <f>E20 / INDEX(Assumptions!$B:$B,MATCH("Starship facility capacity (ships/yr per Gigabay)",Assumptions!$A:$A,0)) * INDEX(Assumptions!$B:$B,MATCH("Starship facility cost per Gigabay increment ($mm)",Assumptions!$A:$A,0))</f>
        <v>0</v>
      </c>
      <c r="F21" s="80">
        <f>F20 / INDEX(Assumptions!$B:$B,MATCH("Starship facility capacity (ships/yr per Gigabay)",Assumptions!$A:$A,0)) * INDEX(Assumptions!$B:$B,MATCH("Starship facility cost per Gigabay increment ($mm)",Assumptions!$A:$A,0))</f>
        <v>375</v>
      </c>
      <c r="G21" s="80">
        <f>G20 / INDEX(Assumptions!$B:$B,MATCH("Starship facility capacity (ships/yr per Gigabay)",Assumptions!$A:$A,0)) * INDEX(Assumptions!$B:$B,MATCH("Starship facility cost per Gigabay increment ($mm)",Assumptions!$A:$A,0))</f>
        <v>375</v>
      </c>
      <c r="H21" s="80">
        <f>H20 / INDEX(Assumptions!$B:$B,MATCH("Starship facility capacity (ships/yr per Gigabay)",Assumptions!$A:$A,0)) * INDEX(Assumptions!$B:$B,MATCH("Starship facility cost per Gigabay increment ($mm)",Assumptions!$A:$A,0))</f>
        <v>375</v>
      </c>
      <c r="I21" s="80">
        <f>I20 / INDEX(Assumptions!$B:$B,MATCH("Starship facility capacity (ships/yr per Gigabay)",Assumptions!$A:$A,0)) * INDEX(Assumptions!$B:$B,MATCH("Starship facility cost per Gigabay increment ($mm)",Assumptions!$A:$A,0))</f>
        <v>375</v>
      </c>
      <c r="J21" s="80">
        <f>J20 / INDEX(Assumptions!$B:$B,MATCH("Starship facility capacity (ships/yr per Gigabay)",Assumptions!$A:$A,0)) * INDEX(Assumptions!$B:$B,MATCH("Starship facility cost per Gigabay increment ($mm)",Assumptions!$A:$A,0))</f>
        <v>375</v>
      </c>
      <c r="K21" s="80">
        <f>K20 / INDEX(Assumptions!$B:$B,MATCH("Starship facility capacity (ships/yr per Gigabay)",Assumptions!$A:$A,0)) * INDEX(Assumptions!$B:$B,MATCH("Starship facility cost per Gigabay increment ($mm)",Assumptions!$A:$A,0))</f>
        <v>375</v>
      </c>
      <c r="L21" s="80">
        <f>L20 / INDEX(Assumptions!$B:$B,MATCH("Starship facility capacity (ships/yr per Gigabay)",Assumptions!$A:$A,0)) * INDEX(Assumptions!$B:$B,MATCH("Starship facility cost per Gigabay increment ($mm)",Assumptions!$A:$A,0))</f>
        <v>375</v>
      </c>
      <c r="M21" s="80">
        <f>M20 / INDEX(Assumptions!$B:$B,MATCH("Starship facility capacity (ships/yr per Gigabay)",Assumptions!$A:$A,0)) * INDEX(Assumptions!$B:$B,MATCH("Starship facility cost per Gigabay increment ($mm)",Assumptions!$A:$A,0))</f>
        <v>375</v>
      </c>
      <c r="N21" s="80">
        <f>N20 / INDEX(Assumptions!$B:$B,MATCH("Starship facility capacity (ships/yr per Gigabay)",Assumptions!$A:$A,0)) * INDEX(Assumptions!$B:$B,MATCH("Starship facility cost per Gigabay increment ($mm)",Assumptions!$A:$A,0))</f>
        <v>375</v>
      </c>
      <c r="O21" s="80">
        <f>O20 / INDEX(Assumptions!$B:$B,MATCH("Starship facility capacity (ships/yr per Gigabay)",Assumptions!$A:$A,0)) * INDEX(Assumptions!$B:$B,MATCH("Starship facility cost per Gigabay increment ($mm)",Assumptions!$A:$A,0))</f>
        <v>375</v>
      </c>
      <c r="P21" s="80">
        <f>P20 / INDEX(Assumptions!$B:$B,MATCH("Starship facility capacity (ships/yr per Gigabay)",Assumptions!$A:$A,0)) * INDEX(Assumptions!$B:$B,MATCH("Starship facility cost per Gigabay increment ($mm)",Assumptions!$A:$A,0))</f>
        <v>375</v>
      </c>
      <c r="Q21" s="80">
        <f>Q20 / INDEX(Assumptions!$B:$B,MATCH("Starship facility capacity (ships/yr per Gigabay)",Assumptions!$A:$A,0)) * INDEX(Assumptions!$B:$B,MATCH("Starship facility cost per Gigabay increment ($mm)",Assumptions!$A:$A,0))</f>
        <v>375</v>
      </c>
      <c r="R21" s="80">
        <f>R20 / INDEX(Assumptions!$B:$B,MATCH("Starship facility capacity (ships/yr per Gigabay)",Assumptions!$A:$A,0)) * INDEX(Assumptions!$B:$B,MATCH("Starship facility cost per Gigabay increment ($mm)",Assumptions!$A:$A,0))</f>
        <v>375</v>
      </c>
      <c r="S21" s="80">
        <f>S20 / INDEX(Assumptions!$B:$B,MATCH("Starship facility capacity (ships/yr per Gigabay)",Assumptions!$A:$A,0)) * INDEX(Assumptions!$B:$B,MATCH("Starship facility cost per Gigabay increment ($mm)",Assumptions!$A:$A,0))</f>
        <v>375</v>
      </c>
    </row>
    <row r="22" spans="1:19">
      <c r="A22" s="5" t="s">
        <v>1753</v>
      </c>
      <c r="B22" s="3"/>
      <c r="C22" s="3"/>
      <c r="D22" s="70">
        <f ca="1">D53*INDEX(Assumptions!$B:$B,MATCH("Raptor engines per booster (Super Heavy)",Assumptions!$A$1:$A$257,0))+D18*INDEX(Assumptions!$B:$B,MATCH("Raptor engines per ship (2nd stage)",Assumptions!$A$1:$A$257,0))</f>
        <v>0</v>
      </c>
      <c r="E22" s="70">
        <f ca="1">E53*INDEX(Assumptions!$B:$B,MATCH("Raptor engines per booster (Super Heavy)",Assumptions!$A$1:$A$257,0))+E18*INDEX(Assumptions!$B:$B,MATCH("Raptor engines per ship (2nd stage)",Assumptions!$A$1:$A$257,0))</f>
        <v>312</v>
      </c>
      <c r="F22" s="70">
        <f ca="1">F53*INDEX(Assumptions!$B:$B,MATCH("Raptor engines per booster (Super Heavy)",Assumptions!$A$1:$A$257,0))+F18*INDEX(Assumptions!$B:$B,MATCH("Raptor engines per ship (2nd stage)",Assumptions!$A$1:$A$257,0))</f>
        <v>897</v>
      </c>
      <c r="G22" s="70">
        <f ca="1">G53*INDEX(Assumptions!$B:$B,MATCH("Raptor engines per booster (Super Heavy)",Assumptions!$A$1:$A$257,0))+G18*INDEX(Assumptions!$B:$B,MATCH("Raptor engines per ship (2nd stage)",Assumptions!$A$1:$A$257,0))</f>
        <v>1482</v>
      </c>
      <c r="H22" s="70">
        <f ca="1">H53*INDEX(Assumptions!$B:$B,MATCH("Raptor engines per booster (Super Heavy)",Assumptions!$A$1:$A$257,0))+H18*INDEX(Assumptions!$B:$B,MATCH("Raptor engines per ship (2nd stage)",Assumptions!$A$1:$A$257,0))</f>
        <v>2067</v>
      </c>
      <c r="I22" s="70">
        <f ca="1">I53*INDEX(Assumptions!$B:$B,MATCH("Raptor engines per booster (Super Heavy)",Assumptions!$A$1:$A$257,0))+I18*INDEX(Assumptions!$B:$B,MATCH("Raptor engines per ship (2nd stage)",Assumptions!$A$1:$A$257,0))</f>
        <v>2652</v>
      </c>
      <c r="J22" s="70">
        <f ca="1">J53*INDEX(Assumptions!$B:$B,MATCH("Raptor engines per booster (Super Heavy)",Assumptions!$A$1:$A$257,0))+J18*INDEX(Assumptions!$B:$B,MATCH("Raptor engines per ship (2nd stage)",Assumptions!$A$1:$A$257,0))</f>
        <v>3237</v>
      </c>
      <c r="K22" s="70">
        <f ca="1">K53*INDEX(Assumptions!$B:$B,MATCH("Raptor engines per booster (Super Heavy)",Assumptions!$A$1:$A$257,0))+K18*INDEX(Assumptions!$B:$B,MATCH("Raptor engines per ship (2nd stage)",Assumptions!$A$1:$A$257,0))</f>
        <v>588</v>
      </c>
      <c r="L22" s="70">
        <f ca="1">L53*INDEX(Assumptions!$B:$B,MATCH("Raptor engines per booster (Super Heavy)",Assumptions!$A$1:$A$257,0))+L18*INDEX(Assumptions!$B:$B,MATCH("Raptor engines per ship (2nd stage)",Assumptions!$A$1:$A$257,0))</f>
        <v>404.06542143881813</v>
      </c>
      <c r="M22" s="70">
        <f ca="1">M53*INDEX(Assumptions!$B:$B,MATCH("Raptor engines per booster (Super Heavy)",Assumptions!$A$1:$A$257,0))+M18*INDEX(Assumptions!$B:$B,MATCH("Raptor engines per ship (2nd stage)",Assumptions!$A$1:$A$257,0))</f>
        <v>326.17994040583994</v>
      </c>
      <c r="N22" s="70">
        <f ca="1">N53*INDEX(Assumptions!$B:$B,MATCH("Raptor engines per booster (Super Heavy)",Assumptions!$A$1:$A$257,0))+N18*INDEX(Assumptions!$B:$B,MATCH("Raptor engines per ship (2nd stage)",Assumptions!$A$1:$A$257,0))</f>
        <v>346.09043605187242</v>
      </c>
      <c r="O22" s="70">
        <f ca="1">O53*INDEX(Assumptions!$B:$B,MATCH("Raptor engines per booster (Super Heavy)",Assumptions!$A$1:$A$257,0))+O18*INDEX(Assumptions!$B:$B,MATCH("Raptor engines per ship (2nd stage)",Assumptions!$A$1:$A$257,0))</f>
        <v>657.79916367351893</v>
      </c>
      <c r="P22" s="70">
        <f ca="1">P53*INDEX(Assumptions!$B:$B,MATCH("Raptor engines per booster (Super Heavy)",Assumptions!$A$1:$A$257,0))+P18*INDEX(Assumptions!$B:$B,MATCH("Raptor engines per ship (2nd stage)",Assumptions!$A$1:$A$257,0))</f>
        <v>113.59012580342232</v>
      </c>
      <c r="Q22" s="70">
        <f ca="1">Q53*INDEX(Assumptions!$B:$B,MATCH("Raptor engines per booster (Super Heavy)",Assumptions!$A$1:$A$257,0))+Q18*INDEX(Assumptions!$B:$B,MATCH("Raptor engines per ship (2nd stage)",Assumptions!$A$1:$A$257,0))</f>
        <v>167.2074664801857</v>
      </c>
      <c r="R22" s="70">
        <f ca="1">R53*INDEX(Assumptions!$B:$B,MATCH("Raptor engines per booster (Super Heavy)",Assumptions!$A$1:$A$257,0))+R18*INDEX(Assumptions!$B:$B,MATCH("Raptor engines per ship (2nd stage)",Assumptions!$A$1:$A$257,0))</f>
        <v>280.04011870006553</v>
      </c>
      <c r="S22" s="70">
        <f ca="1">S53*INDEX(Assumptions!$B:$B,MATCH("Raptor engines per booster (Super Heavy)",Assumptions!$A$1:$A$257,0))+S18*INDEX(Assumptions!$B:$B,MATCH("Raptor engines per ship (2nd stage)",Assumptions!$A$1:$A$257,0))</f>
        <v>845.4076035267899</v>
      </c>
    </row>
    <row r="23" spans="1:19">
      <c r="A23" s="5" t="s">
        <v>1754</v>
      </c>
      <c r="B23" s="3"/>
      <c r="C23" s="3"/>
      <c r="D23" s="80">
        <f ca="1">IFERROR(MAX(0, D22 - INDEX(Assumptions!$B:$B,MATCH("Engine facility base capacity 2025 (engines/yr)",Assumptions!$A:$A,0))) / INDEX(Assumptions!$B:$B,MATCH("Engine facility capacity (engines/yr per increment)",Assumptions!$A:$A,0)) * INDEX(Assumptions!$B:$B,MATCH("Engine facility cost per capacity increment ($mm)",Assumptions!$A:$A,0)), 0)</f>
        <v>0</v>
      </c>
      <c r="E23" s="80">
        <f ca="1">IFERROR(MAX(0, E22 - D28) / INDEX(Assumptions!$B:$B,MATCH("Engine facility capacity (engines/yr per increment)",Assumptions!$A:$A,0)) * INDEX(Assumptions!$B:$B,MATCH("Engine facility cost per capacity increment ($mm)",Assumptions!$A:$A,0)), 0)</f>
        <v>0</v>
      </c>
      <c r="F23" s="80">
        <f ca="1">IFERROR(MAX(0, F22 - E28) / INDEX(Assumptions!$B:$B,MATCH("Engine facility capacity (engines/yr per increment)",Assumptions!$A:$A,0)) * INDEX(Assumptions!$B:$B,MATCH("Engine facility cost per capacity increment ($mm)",Assumptions!$A:$A,0)), 0)</f>
        <v>0</v>
      </c>
      <c r="G23" s="80">
        <f ca="1">IFERROR(MAX(0, G22 - F28) / INDEX(Assumptions!$B:$B,MATCH("Engine facility capacity (engines/yr per increment)",Assumptions!$A:$A,0)) * INDEX(Assumptions!$B:$B,MATCH("Engine facility cost per capacity increment ($mm)",Assumptions!$A:$A,0)), 0)</f>
        <v>96.399999999999991</v>
      </c>
      <c r="H23" s="80">
        <f ca="1">IFERROR(MAX(0, H22 - G28) / INDEX(Assumptions!$B:$B,MATCH("Engine facility capacity (engines/yr per increment)",Assumptions!$A:$A,0)) * INDEX(Assumptions!$B:$B,MATCH("Engine facility cost per capacity increment ($mm)",Assumptions!$A:$A,0)), 0)</f>
        <v>117</v>
      </c>
      <c r="I23" s="80">
        <f ca="1">IFERROR(MAX(0, I22 - H28) / INDEX(Assumptions!$B:$B,MATCH("Engine facility capacity (engines/yr per increment)",Assumptions!$A:$A,0)) * INDEX(Assumptions!$B:$B,MATCH("Engine facility cost per capacity increment ($mm)",Assumptions!$A:$A,0)), 0)</f>
        <v>117</v>
      </c>
      <c r="J23" s="80">
        <f ca="1">IFERROR(MAX(0, J22 - I28) / INDEX(Assumptions!$B:$B,MATCH("Engine facility capacity (engines/yr per increment)",Assumptions!$A:$A,0)) * INDEX(Assumptions!$B:$B,MATCH("Engine facility cost per capacity increment ($mm)",Assumptions!$A:$A,0)), 0)</f>
        <v>117</v>
      </c>
      <c r="K23" s="80">
        <f ca="1">IFERROR(MAX(0, K22 - J28) / INDEX(Assumptions!$B:$B,MATCH("Engine facility capacity (engines/yr per increment)",Assumptions!$A:$A,0)) * INDEX(Assumptions!$B:$B,MATCH("Engine facility cost per capacity increment ($mm)",Assumptions!$A:$A,0)), 0)</f>
        <v>0</v>
      </c>
      <c r="L23" s="80">
        <f ca="1">IFERROR(MAX(0, L22 - K28) / INDEX(Assumptions!$B:$B,MATCH("Engine facility capacity (engines/yr per increment)",Assumptions!$A:$A,0)) * INDEX(Assumptions!$B:$B,MATCH("Engine facility cost per capacity increment ($mm)",Assumptions!$A:$A,0)), 0)</f>
        <v>0</v>
      </c>
      <c r="M23" s="80">
        <f ca="1">IFERROR(MAX(0, M22 - L28) / INDEX(Assumptions!$B:$B,MATCH("Engine facility capacity (engines/yr per increment)",Assumptions!$A:$A,0)) * INDEX(Assumptions!$B:$B,MATCH("Engine facility cost per capacity increment ($mm)",Assumptions!$A:$A,0)), 0)</f>
        <v>0</v>
      </c>
      <c r="N23" s="80">
        <f ca="1">IFERROR(MAX(0, N22 - M28) / INDEX(Assumptions!$B:$B,MATCH("Engine facility capacity (engines/yr per increment)",Assumptions!$A:$A,0)) * INDEX(Assumptions!$B:$B,MATCH("Engine facility cost per capacity increment ($mm)",Assumptions!$A:$A,0)), 0)</f>
        <v>0</v>
      </c>
      <c r="O23" s="80">
        <f ca="1">IFERROR(MAX(0, O22 - N28) / INDEX(Assumptions!$B:$B,MATCH("Engine facility capacity (engines/yr per increment)",Assumptions!$A:$A,0)) * INDEX(Assumptions!$B:$B,MATCH("Engine facility cost per capacity increment ($mm)",Assumptions!$A:$A,0)), 0)</f>
        <v>0</v>
      </c>
      <c r="P23" s="80">
        <f ca="1">IFERROR(MAX(0, P22 - O28) / INDEX(Assumptions!$B:$B,MATCH("Engine facility capacity (engines/yr per increment)",Assumptions!$A:$A,0)) * INDEX(Assumptions!$B:$B,MATCH("Engine facility cost per capacity increment ($mm)",Assumptions!$A:$A,0)), 0)</f>
        <v>0</v>
      </c>
      <c r="Q23" s="80">
        <f ca="1">IFERROR(MAX(0, Q22 - P28) / INDEX(Assumptions!$B:$B,MATCH("Engine facility capacity (engines/yr per increment)",Assumptions!$A:$A,0)) * INDEX(Assumptions!$B:$B,MATCH("Engine facility cost per capacity increment ($mm)",Assumptions!$A:$A,0)), 0)</f>
        <v>0</v>
      </c>
      <c r="R23" s="80">
        <f ca="1">IFERROR(MAX(0, R22 - Q28) / INDEX(Assumptions!$B:$B,MATCH("Engine facility capacity (engines/yr per increment)",Assumptions!$A:$A,0)) * INDEX(Assumptions!$B:$B,MATCH("Engine facility cost per capacity increment ($mm)",Assumptions!$A:$A,0)), 0)</f>
        <v>0</v>
      </c>
      <c r="S23" s="80">
        <f ca="1">IFERROR(MAX(0, S22 - R28) / INDEX(Assumptions!$B:$B,MATCH("Engine facility capacity (engines/yr per increment)",Assumptions!$A:$A,0)) * INDEX(Assumptions!$B:$B,MATCH("Engine facility cost per capacity increment ($mm)",Assumptions!$A:$A,0)), 0)</f>
        <v>0</v>
      </c>
    </row>
    <row r="24" spans="1:19">
      <c r="A24" s="5" t="s">
        <v>1755</v>
      </c>
      <c r="B24" s="3"/>
      <c r="C24" s="3"/>
      <c r="D24" s="22">
        <f t="array" aca="1" ref="D24" ca="1">IFERROR(INDEX('Vehicle Build'!$D:$AC, MATCH("Starship launches per year", 'Vehicle Build'!$A$1:$A$119, 0), D$5+1) / INDEX(Assumptions!$B:$B, MATCH("Starship launches per pad per year", Assumptions!$A$1:$A$257, 0)), 0)</f>
        <v>0</v>
      </c>
      <c r="E24" s="22">
        <f t="array" aca="1" ref="E24" ca="1">IFERROR(INDEX('Vehicle Build'!$D:$AC, MATCH("Starship launches per year", 'Vehicle Build'!$A$1:$A$119, 0), E$5+1) / INDEX(Assumptions!$B:$B, MATCH("Starship launches per pad per year", Assumptions!$A$1:$A$257, 0)), 0)</f>
        <v>0</v>
      </c>
      <c r="F24" s="22">
        <f t="array" aca="1" ref="F24" ca="1">IFERROR(INDEX('Vehicle Build'!$D:$AC, MATCH("Starship launches per year", 'Vehicle Build'!$A$1:$A$119, 0), F$5+1) / INDEX(Assumptions!$B:$B, MATCH("Starship launches per pad per year", Assumptions!$A$1:$A$257, 0)), 0)</f>
        <v>0.80263157894736847</v>
      </c>
      <c r="G24" s="22">
        <f t="array" aca="1" ref="G24" ca="1">IFERROR(INDEX('Vehicle Build'!$D:$AC, MATCH("Starship launches per year", 'Vehicle Build'!$A$1:$A$119, 0), G$5+1) / INDEX(Assumptions!$B:$B, MATCH("Starship launches per pad per year", Assumptions!$A$1:$A$257, 0)), 0)</f>
        <v>1.6710526315789473</v>
      </c>
      <c r="H24" s="22">
        <f t="array" aca="1" ref="H24" ca="1">IFERROR(INDEX('Vehicle Build'!$D:$AC, MATCH("Starship launches per year", 'Vehicle Build'!$A$1:$A$119, 0), H$5+1) / INDEX(Assumptions!$B:$B, MATCH("Starship launches per pad per year", Assumptions!$A$1:$A$257, 0)), 0)</f>
        <v>4.0921052631578956</v>
      </c>
      <c r="I24" s="22">
        <f t="array" aca="1" ref="I24" ca="1">IFERROR(INDEX('Vehicle Build'!$D:$AC, MATCH("Starship launches per year", 'Vehicle Build'!$A$1:$A$119, 0), I$5+1) / INDEX(Assumptions!$B:$B, MATCH("Starship launches per pad per year", Assumptions!$A$1:$A$257, 0)), 0)</f>
        <v>7.6890342200909041</v>
      </c>
      <c r="J24" s="22">
        <f t="array" aca="1" ref="J24" ca="1">IFERROR(INDEX('Vehicle Build'!$D:$AC, MATCH("Starship launches per year", 'Vehicle Build'!$A$1:$A$119, 0), J$5+1) / INDEX(Assumptions!$B:$B, MATCH("Starship launches per pad per year", Assumptions!$A$1:$A$257, 0)), 0)</f>
        <v>7.9289847333490382</v>
      </c>
      <c r="K24" s="22">
        <f t="array" aca="1" ref="K24" ca="1">IFERROR(INDEX('Vehicle Build'!$D:$AC, MATCH("Starship launches per year", 'Vehicle Build'!$A$1:$A$119, 0), K$5+1) / INDEX(Assumptions!$B:$B, MATCH("Starship launches per pad per year", Assumptions!$A$1:$A$257, 0)), 0)</f>
        <v>13.693316273020764</v>
      </c>
      <c r="L24" s="22">
        <f t="array" aca="1" ref="L24" ca="1">IFERROR(INDEX('Vehicle Build'!$D:$AC, MATCH("Starship launches per year", 'Vehicle Build'!$A$1:$A$119, 0), L$5+1) / INDEX(Assumptions!$B:$B, MATCH("Starship launches per pad per year", Assumptions!$A$1:$A$257, 0)), 0)</f>
        <v>8.5315579552077896</v>
      </c>
      <c r="M24" s="22">
        <f t="array" aca="1" ref="M24" ca="1">IFERROR(INDEX('Vehicle Build'!$D:$AC, MATCH("Starship launches per year", 'Vehicle Build'!$A$1:$A$119, 0), M$5+1) / INDEX(Assumptions!$B:$B, MATCH("Starship launches per pad per year", Assumptions!$A$1:$A$257, 0)), 0)</f>
        <v>15.092114788691793</v>
      </c>
      <c r="N24" s="22">
        <f t="array" aca="1" ref="N24" ca="1">IFERROR(INDEX('Vehicle Build'!$D:$AC, MATCH("Starship launches per year", 'Vehicle Build'!$A$1:$A$119, 0), N$5+1) / INDEX(Assumptions!$B:$B, MATCH("Starship launches per pad per year", Assumptions!$A$1:$A$257, 0)), 0)</f>
        <v>18.436466789494265</v>
      </c>
      <c r="O24" s="22">
        <f t="array" aca="1" ref="O24" ca="1">IFERROR(INDEX('Vehicle Build'!$D:$AC, MATCH("Starship launches per year", 'Vehicle Build'!$A$1:$A$119, 0), O$5+1) / INDEX(Assumptions!$B:$B, MATCH("Starship launches per pad per year", Assumptions!$A$1:$A$257, 0)), 0)</f>
        <v>25.268693554276304</v>
      </c>
      <c r="P24" s="22">
        <f t="array" aca="1" ref="P24" ca="1">IFERROR(INDEX('Vehicle Build'!$D:$AC, MATCH("Starship launches per year", 'Vehicle Build'!$A$1:$A$119, 0), P$5+1) / INDEX(Assumptions!$B:$B, MATCH("Starship launches per pad per year", Assumptions!$A$1:$A$257, 0)), 0)</f>
        <v>19.815806716335757</v>
      </c>
      <c r="Q24" s="22">
        <f t="array" aca="1" ref="Q24" ca="1">IFERROR(INDEX('Vehicle Build'!$D:$AC, MATCH("Starship launches per year", 'Vehicle Build'!$A$1:$A$119, 0), Q$5+1) / INDEX(Assumptions!$B:$B, MATCH("Starship launches per pad per year", Assumptions!$A$1:$A$257, 0)), 0)</f>
        <v>17.490755985149629</v>
      </c>
      <c r="R24" s="22">
        <f t="array" aca="1" ref="R24" ca="1">IFERROR(INDEX('Vehicle Build'!$D:$AC, MATCH("Starship launches per year", 'Vehicle Build'!$A$1:$A$119, 0), R$5+1) / INDEX(Assumptions!$B:$B, MATCH("Starship launches per pad per year", Assumptions!$A$1:$A$257, 0)), 0)</f>
        <v>16.315961741749849</v>
      </c>
      <c r="S24" s="22">
        <f t="array" aca="1" ref="S24" ca="1">IFERROR(INDEX('Vehicle Build'!$D:$AC, MATCH("Starship launches per year", 'Vehicle Build'!$A$1:$A$119, 0), S$5+1) / INDEX(Assumptions!$B:$B, MATCH("Starship launches per pad per year", Assumptions!$A$1:$A$257, 0)), 0)</f>
        <v>11.381155855940188</v>
      </c>
    </row>
    <row r="25" spans="1:19">
      <c r="A25" s="5" t="s">
        <v>1756</v>
      </c>
      <c r="B25" s="3"/>
      <c r="C25" s="3"/>
      <c r="D25" s="80">
        <f ca="1">MAX(0, ROUNDUP(D24,0) - INDEX(Assumptions!$B:$B,MATCH("Launch pads base in service 2025 (Starship-capable)",Assumptions!$A:$A,0))) * INDEX(Assumptions!$B:$B,MATCH("Launch pad build/upgrade cost ($mm per pad)",Assumptions!$A:$A,0))</f>
        <v>0</v>
      </c>
      <c r="E25" s="80">
        <f ca="1">MAX(0, ROUNDUP(E24,0)-D29) * INDEX(Assumptions!$B:$B, MATCH("Launch pad build/upgrade cost ($mm per pad)", Assumptions!$A$1:$A$257, 0))</f>
        <v>0</v>
      </c>
      <c r="F25" s="80">
        <f ca="1">MAX(0, ROUNDUP(F24,0)-E29) * INDEX(Assumptions!$B:$B, MATCH("Launch pad build/upgrade cost ($mm per pad)", Assumptions!$A$1:$A$257, 0))</f>
        <v>0</v>
      </c>
      <c r="G25" s="80">
        <f ca="1">MAX(0, ROUNDUP(G24,0)-F29) * INDEX(Assumptions!$B:$B, MATCH("Launch pad build/upgrade cost ($mm per pad)", Assumptions!$A$1:$A$257, 0))</f>
        <v>0</v>
      </c>
      <c r="H25" s="80">
        <f ca="1">MAX(0, ROUNDUP(H24,0)-G29) * INDEX(Assumptions!$B:$B, MATCH("Launch pad build/upgrade cost ($mm per pad)", Assumptions!$A$1:$A$257, 0))</f>
        <v>600</v>
      </c>
      <c r="I25" s="80">
        <f ca="1">MAX(0, ROUNDUP(I24,0)-H29) * INDEX(Assumptions!$B:$B, MATCH("Launch pad build/upgrade cost ($mm per pad)", Assumptions!$A$1:$A$257, 0))</f>
        <v>600</v>
      </c>
      <c r="J25" s="80">
        <f ca="1">MAX(0, ROUNDUP(J24,0)-I29) * INDEX(Assumptions!$B:$B, MATCH("Launch pad build/upgrade cost ($mm per pad)", Assumptions!$A$1:$A$257, 0))</f>
        <v>0</v>
      </c>
      <c r="K25" s="80">
        <f ca="1">MAX(0, ROUNDUP(K24,0)-J29) * INDEX(Assumptions!$B:$B, MATCH("Launch pad build/upgrade cost ($mm per pad)", Assumptions!$A$1:$A$257, 0))</f>
        <v>1200</v>
      </c>
      <c r="L25" s="80">
        <f ca="1">MAX(0, ROUNDUP(L24,0)-K29) * INDEX(Assumptions!$B:$B, MATCH("Launch pad build/upgrade cost ($mm per pad)", Assumptions!$A$1:$A$257, 0))</f>
        <v>0</v>
      </c>
      <c r="M25" s="80">
        <f ca="1">MAX(0, ROUNDUP(M24,0)-L29) * INDEX(Assumptions!$B:$B, MATCH("Launch pad build/upgrade cost ($mm per pad)", Assumptions!$A$1:$A$257, 0))</f>
        <v>400</v>
      </c>
      <c r="N25" s="80">
        <f ca="1">MAX(0, ROUNDUP(N24,0)-M29) * INDEX(Assumptions!$B:$B, MATCH("Launch pad build/upgrade cost ($mm per pad)", Assumptions!$A$1:$A$257, 0))</f>
        <v>600</v>
      </c>
      <c r="O25" s="80">
        <f ca="1">MAX(0, ROUNDUP(O24,0)-N29) * INDEX(Assumptions!$B:$B, MATCH("Launch pad build/upgrade cost ($mm per pad)", Assumptions!$A$1:$A$257, 0))</f>
        <v>1400</v>
      </c>
      <c r="P25" s="80">
        <f ca="1">MAX(0, ROUNDUP(P24,0)-O29) * INDEX(Assumptions!$B:$B, MATCH("Launch pad build/upgrade cost ($mm per pad)", Assumptions!$A$1:$A$257, 0))</f>
        <v>0</v>
      </c>
      <c r="Q25" s="80">
        <f ca="1">MAX(0, ROUNDUP(Q24,0)-P29) * INDEX(Assumptions!$B:$B, MATCH("Launch pad build/upgrade cost ($mm per pad)", Assumptions!$A$1:$A$257, 0))</f>
        <v>0</v>
      </c>
      <c r="R25" s="80">
        <f ca="1">MAX(0, ROUNDUP(R24,0)-Q29) * INDEX(Assumptions!$B:$B, MATCH("Launch pad build/upgrade cost ($mm per pad)", Assumptions!$A$1:$A$257, 0))</f>
        <v>0</v>
      </c>
      <c r="S25" s="80">
        <f ca="1">MAX(0, ROUNDUP(S24,0)-R29) * INDEX(Assumptions!$B:$B, MATCH("Launch pad build/upgrade cost ($mm per pad)", Assumptions!$A$1:$A$257, 0))</f>
        <v>0</v>
      </c>
    </row>
    <row r="26" spans="1:19">
      <c r="A26" s="78" t="s">
        <v>1757</v>
      </c>
      <c r="B26" s="78"/>
      <c r="C26" s="78"/>
      <c r="D26" s="84">
        <f t="shared" ref="D26:S26" ca="1" si="3">D21+D23+D25+D51</f>
        <v>750</v>
      </c>
      <c r="E26" s="84">
        <f t="shared" ca="1" si="3"/>
        <v>750</v>
      </c>
      <c r="F26" s="84">
        <f t="shared" ca="1" si="3"/>
        <v>375</v>
      </c>
      <c r="G26" s="84">
        <f t="shared" ca="1" si="3"/>
        <v>471.4</v>
      </c>
      <c r="H26" s="84">
        <f t="shared" ca="1" si="3"/>
        <v>1092</v>
      </c>
      <c r="I26" s="84">
        <f t="shared" ca="1" si="3"/>
        <v>1092</v>
      </c>
      <c r="J26" s="84">
        <f t="shared" ca="1" si="3"/>
        <v>492</v>
      </c>
      <c r="K26" s="84">
        <f t="shared" ca="1" si="3"/>
        <v>1575</v>
      </c>
      <c r="L26" s="84">
        <f t="shared" ca="1" si="3"/>
        <v>375</v>
      </c>
      <c r="M26" s="84">
        <f t="shared" ca="1" si="3"/>
        <v>775</v>
      </c>
      <c r="N26" s="84">
        <f t="shared" ca="1" si="3"/>
        <v>975</v>
      </c>
      <c r="O26" s="84">
        <f t="shared" ca="1" si="3"/>
        <v>1775</v>
      </c>
      <c r="P26" s="84">
        <f t="shared" ca="1" si="3"/>
        <v>375</v>
      </c>
      <c r="Q26" s="84">
        <f t="shared" ca="1" si="3"/>
        <v>375</v>
      </c>
      <c r="R26" s="84">
        <f t="shared" ca="1" si="3"/>
        <v>375</v>
      </c>
      <c r="S26" s="84">
        <f t="shared" ca="1" si="3"/>
        <v>375</v>
      </c>
    </row>
    <row r="27" spans="1:19">
      <c r="A27" s="78" t="s">
        <v>1758</v>
      </c>
      <c r="B27" s="78"/>
      <c r="C27" s="78"/>
      <c r="D27" s="97">
        <f ca="1">MIN( SUM($D21:D21)+SUM($D23:D23)+SUM($D25:D25), SUM($D21:D21)/INDEX(Assumptions!$B:$B, MATCH("Starship facility useful life (years)", Assumptions!$A$1:$A$257, 0)) + SUM($D23:D23)/INDEX(Assumptions!$B:$B, MATCH("Engine facility useful life (years)", Assumptions!$A$1:$A$257, 0)) + SUM($D25:D25)/INDEX(Assumptions!$B:$B, MATCH("Launch pad useful life (years)", Assumptions!$A$1:$A$257, 0)) )+D52</f>
        <v>25</v>
      </c>
      <c r="E27" s="97">
        <f ca="1">MIN( SUM($D21:E21)+SUM($D23:E23)+SUM($D25:E25), SUM($D21:E21)/INDEX(Assumptions!$B:$B, MATCH("Starship facility useful life (years)", Assumptions!$A$1:$A$257, 0)) + SUM($D23:E23)/INDEX(Assumptions!$B:$B, MATCH("Engine facility useful life (years)", Assumptions!$A$1:$A$257, 0)) + SUM($D25:E25)/INDEX(Assumptions!$B:$B, MATCH("Launch pad useful life (years)", Assumptions!$A$1:$A$257, 0)) )+E52</f>
        <v>50</v>
      </c>
      <c r="F27" s="97">
        <f ca="1">MIN( SUM($D21:F21)+SUM($D23:F23)+SUM($D25:F25), SUM($D21:F21)/INDEX(Assumptions!$B:$B, MATCH("Starship facility useful life (years)", Assumptions!$A$1:$A$257, 0)) + SUM($D23:F23)/INDEX(Assumptions!$B:$B, MATCH("Engine facility useful life (years)", Assumptions!$A$1:$A$257, 0)) + SUM($D25:F25)/INDEX(Assumptions!$B:$B, MATCH("Launch pad useful life (years)", Assumptions!$A$1:$A$257, 0)) )+F52</f>
        <v>62.5</v>
      </c>
      <c r="G27" s="97">
        <f ca="1">MIN( SUM($D21:G21)+SUM($D23:G23)+SUM($D25:G25), SUM($D21:G21)/INDEX(Assumptions!$B:$B, MATCH("Starship facility useful life (years)", Assumptions!$A$1:$A$257, 0)) + SUM($D23:G23)/INDEX(Assumptions!$B:$B, MATCH("Engine facility useful life (years)", Assumptions!$A$1:$A$257, 0)) + SUM($D25:G25)/INDEX(Assumptions!$B:$B, MATCH("Launch pad useful life (years)", Assumptions!$A$1:$A$257, 0)) )+G52</f>
        <v>78.213333333333338</v>
      </c>
      <c r="H27" s="97">
        <f ca="1">MIN( SUM($D21:H21)+SUM($D23:H23)+SUM($D25:H25), SUM($D21:H21)/INDEX(Assumptions!$B:$B, MATCH("Starship facility useful life (years)", Assumptions!$A$1:$A$257, 0)) + SUM($D23:H23)/INDEX(Assumptions!$B:$B, MATCH("Engine facility useful life (years)", Assumptions!$A$1:$A$257, 0)) + SUM($D25:H25)/INDEX(Assumptions!$B:$B, MATCH("Launch pad useful life (years)", Assumptions!$A$1:$A$257, 0)) )+H52</f>
        <v>114.61333333333333</v>
      </c>
      <c r="I27" s="97">
        <f ca="1">MIN( SUM($D21:I21)+SUM($D23:I23)+SUM($D25:I25), SUM($D21:I21)/INDEX(Assumptions!$B:$B, MATCH("Starship facility useful life (years)", Assumptions!$A$1:$A$257, 0)) + SUM($D23:I23)/INDEX(Assumptions!$B:$B, MATCH("Engine facility useful life (years)", Assumptions!$A$1:$A$257, 0)) + SUM($D25:I25)/INDEX(Assumptions!$B:$B, MATCH("Launch pad useful life (years)", Assumptions!$A$1:$A$257, 0)) )+I52</f>
        <v>151.01333333333332</v>
      </c>
      <c r="J27" s="97">
        <f ca="1">MIN( SUM($D21:J21)+SUM($D23:J23)+SUM($D25:J25), SUM($D21:J21)/INDEX(Assumptions!$B:$B, MATCH("Starship facility useful life (years)", Assumptions!$A$1:$A$257, 0)) + SUM($D23:J23)/INDEX(Assumptions!$B:$B, MATCH("Engine facility useful life (years)", Assumptions!$A$1:$A$257, 0)) + SUM($D25:J25)/INDEX(Assumptions!$B:$B, MATCH("Launch pad useful life (years)", Assumptions!$A$1:$A$257, 0)) )+J52</f>
        <v>167.41333333333333</v>
      </c>
      <c r="K27" s="97">
        <f ca="1">MIN( SUM($D21:K21)+SUM($D23:K23)+SUM($D25:K25), SUM($D21:K21)/INDEX(Assumptions!$B:$B, MATCH("Starship facility useful life (years)", Assumptions!$A$1:$A$257, 0)) + SUM($D23:K23)/INDEX(Assumptions!$B:$B, MATCH("Engine facility useful life (years)", Assumptions!$A$1:$A$257, 0)) + SUM($D25:K25)/INDEX(Assumptions!$B:$B, MATCH("Launch pad useful life (years)", Assumptions!$A$1:$A$257, 0)) )+K52</f>
        <v>219.91333333333333</v>
      </c>
      <c r="L27" s="97">
        <f ca="1">MIN( SUM($D21:L21)+SUM($D23:L23)+SUM($D25:L25), SUM($D21:L21)/INDEX(Assumptions!$B:$B, MATCH("Starship facility useful life (years)", Assumptions!$A$1:$A$257, 0)) + SUM($D23:L23)/INDEX(Assumptions!$B:$B, MATCH("Engine facility useful life (years)", Assumptions!$A$1:$A$257, 0)) + SUM($D25:L25)/INDEX(Assumptions!$B:$B, MATCH("Launch pad useful life (years)", Assumptions!$A$1:$A$257, 0)) )+L52</f>
        <v>232.41333333333333</v>
      </c>
      <c r="M27" s="97">
        <f ca="1">MIN( SUM($D21:M21)+SUM($D23:M23)+SUM($D25:M25), SUM($D21:M21)/INDEX(Assumptions!$B:$B, MATCH("Starship facility useful life (years)", Assumptions!$A$1:$A$257, 0)) + SUM($D23:M23)/INDEX(Assumptions!$B:$B, MATCH("Engine facility useful life (years)", Assumptions!$A$1:$A$257, 0)) + SUM($D25:M25)/INDEX(Assumptions!$B:$B, MATCH("Launch pad useful life (years)", Assumptions!$A$1:$A$257, 0)) )+M52</f>
        <v>258.24666666666667</v>
      </c>
      <c r="N27" s="97">
        <f ca="1">MIN( SUM($D21:N21)+SUM($D23:N23)+SUM($D25:N25), SUM($D21:N21)/INDEX(Assumptions!$B:$B, MATCH("Starship facility useful life (years)", Assumptions!$A$1:$A$257, 0)) + SUM($D23:N23)/INDEX(Assumptions!$B:$B, MATCH("Engine facility useful life (years)", Assumptions!$A$1:$A$257, 0)) + SUM($D25:N25)/INDEX(Assumptions!$B:$B, MATCH("Launch pad useful life (years)", Assumptions!$A$1:$A$257, 0)) )+N52</f>
        <v>290.74666666666667</v>
      </c>
      <c r="O27" s="97">
        <f ca="1">MIN( SUM($D21:O21)+SUM($D23:O23)+SUM($D25:O25), SUM($D21:O21)/INDEX(Assumptions!$B:$B, MATCH("Starship facility useful life (years)", Assumptions!$A$1:$A$257, 0)) + SUM($D23:O23)/INDEX(Assumptions!$B:$B, MATCH("Engine facility useful life (years)", Assumptions!$A$1:$A$257, 0)) + SUM($D25:O25)/INDEX(Assumptions!$B:$B, MATCH("Launch pad useful life (years)", Assumptions!$A$1:$A$257, 0)) )+O52</f>
        <v>349.9133333333333</v>
      </c>
      <c r="P27" s="97">
        <f ca="1">MIN( SUM($D21:P21)+SUM($D23:P23)+SUM($D25:P25), SUM($D21:P21)/INDEX(Assumptions!$B:$B, MATCH("Starship facility useful life (years)", Assumptions!$A$1:$A$257, 0)) + SUM($D23:P23)/INDEX(Assumptions!$B:$B, MATCH("Engine facility useful life (years)", Assumptions!$A$1:$A$257, 0)) + SUM($D25:P25)/INDEX(Assumptions!$B:$B, MATCH("Launch pad useful life (years)", Assumptions!$A$1:$A$257, 0)) )+P52</f>
        <v>362.4133333333333</v>
      </c>
      <c r="Q27" s="97">
        <f ca="1">MIN( SUM($D21:Q21)+SUM($D23:Q23)+SUM($D25:Q25), SUM($D21:Q21)/INDEX(Assumptions!$B:$B, MATCH("Starship facility useful life (years)", Assumptions!$A$1:$A$257, 0)) + SUM($D23:Q23)/INDEX(Assumptions!$B:$B, MATCH("Engine facility useful life (years)", Assumptions!$A$1:$A$257, 0)) + SUM($D25:Q25)/INDEX(Assumptions!$B:$B, MATCH("Launch pad useful life (years)", Assumptions!$A$1:$A$257, 0)) )+Q52</f>
        <v>374.9133333333333</v>
      </c>
      <c r="R27" s="97">
        <f ca="1">MIN( SUM($D21:R21)+SUM($D23:R23)+SUM($D25:R25), SUM($D21:R21)/INDEX(Assumptions!$B:$B, MATCH("Starship facility useful life (years)", Assumptions!$A$1:$A$257, 0)) + SUM($D23:R23)/INDEX(Assumptions!$B:$B, MATCH("Engine facility useful life (years)", Assumptions!$A$1:$A$257, 0)) + SUM($D25:R25)/INDEX(Assumptions!$B:$B, MATCH("Launch pad useful life (years)", Assumptions!$A$1:$A$257, 0)) )+R52</f>
        <v>387.4133333333333</v>
      </c>
      <c r="S27" s="97">
        <f ca="1">MIN( SUM($D21:S21)+SUM($D23:S23)+SUM($D25:S25), SUM($D21:S21)/INDEX(Assumptions!$B:$B, MATCH("Starship facility useful life (years)", Assumptions!$A$1:$A$257, 0)) + SUM($D23:S23)/INDEX(Assumptions!$B:$B, MATCH("Engine facility useful life (years)", Assumptions!$A$1:$A$257, 0)) + SUM($D25:S25)/INDEX(Assumptions!$B:$B, MATCH("Launch pad useful life (years)", Assumptions!$A$1:$A$257, 0)) )+S52</f>
        <v>399.9133333333333</v>
      </c>
    </row>
    <row r="28" spans="1:19">
      <c r="A28" s="16" t="s">
        <v>1759</v>
      </c>
      <c r="B28" s="3"/>
      <c r="C28" s="3"/>
      <c r="D28" s="70">
        <f ca="1">MAX(INDEX(Assumptions!$B:$B,MATCH("Engine facility base capacity 2025 (engines/yr)",Assumptions!$A:$A,0)), D22)</f>
        <v>1000</v>
      </c>
      <c r="E28" s="29">
        <f t="shared" ref="E28:S28" ca="1" si="4">MAX(D28, E22)</f>
        <v>1000</v>
      </c>
      <c r="F28" s="29">
        <f t="shared" ca="1" si="4"/>
        <v>1000</v>
      </c>
      <c r="G28" s="29">
        <f t="shared" ca="1" si="4"/>
        <v>1482</v>
      </c>
      <c r="H28" s="29">
        <f t="shared" ca="1" si="4"/>
        <v>2067</v>
      </c>
      <c r="I28" s="29">
        <f t="shared" ca="1" si="4"/>
        <v>2652</v>
      </c>
      <c r="J28" s="29">
        <f t="shared" ca="1" si="4"/>
        <v>3237</v>
      </c>
      <c r="K28" s="29">
        <f t="shared" ca="1" si="4"/>
        <v>3237</v>
      </c>
      <c r="L28" s="29">
        <f t="shared" ca="1" si="4"/>
        <v>3237</v>
      </c>
      <c r="M28" s="29">
        <f t="shared" ca="1" si="4"/>
        <v>3237</v>
      </c>
      <c r="N28" s="29">
        <f t="shared" ca="1" si="4"/>
        <v>3237</v>
      </c>
      <c r="O28" s="29">
        <f t="shared" ca="1" si="4"/>
        <v>3237</v>
      </c>
      <c r="P28" s="29">
        <f t="shared" ca="1" si="4"/>
        <v>3237</v>
      </c>
      <c r="Q28" s="29">
        <f t="shared" ca="1" si="4"/>
        <v>3237</v>
      </c>
      <c r="R28" s="29">
        <f t="shared" ca="1" si="4"/>
        <v>3237</v>
      </c>
      <c r="S28" s="29">
        <f t="shared" ca="1" si="4"/>
        <v>3237</v>
      </c>
    </row>
    <row r="29" spans="1:19">
      <c r="A29" s="16" t="s">
        <v>1760</v>
      </c>
      <c r="B29" s="3"/>
      <c r="C29" s="3"/>
      <c r="D29" s="70">
        <f ca="1">MAX(INDEX(Assumptions!$B:$B,MATCH("Launch pads base in service 2025 (Starship-capable)",Assumptions!$A:$A,0)), ROUNDUP(D24,0))</f>
        <v>2</v>
      </c>
      <c r="E29" s="29">
        <f t="shared" ref="E29:S29" ca="1" si="5">MAX(D29, ROUNDUP(E24,0))</f>
        <v>2</v>
      </c>
      <c r="F29" s="29">
        <f t="shared" ca="1" si="5"/>
        <v>2</v>
      </c>
      <c r="G29" s="29">
        <f t="shared" ca="1" si="5"/>
        <v>2</v>
      </c>
      <c r="H29" s="29">
        <f t="shared" ca="1" si="5"/>
        <v>5</v>
      </c>
      <c r="I29" s="29">
        <f t="shared" ca="1" si="5"/>
        <v>8</v>
      </c>
      <c r="J29" s="29">
        <f t="shared" ca="1" si="5"/>
        <v>8</v>
      </c>
      <c r="K29" s="29">
        <f t="shared" ca="1" si="5"/>
        <v>14</v>
      </c>
      <c r="L29" s="29">
        <f t="shared" ca="1" si="5"/>
        <v>14</v>
      </c>
      <c r="M29" s="29">
        <f t="shared" ca="1" si="5"/>
        <v>16</v>
      </c>
      <c r="N29" s="29">
        <f t="shared" ca="1" si="5"/>
        <v>19</v>
      </c>
      <c r="O29" s="29">
        <f t="shared" ca="1" si="5"/>
        <v>26</v>
      </c>
      <c r="P29" s="29">
        <f t="shared" ca="1" si="5"/>
        <v>26</v>
      </c>
      <c r="Q29" s="29">
        <f t="shared" ca="1" si="5"/>
        <v>26</v>
      </c>
      <c r="R29" s="29">
        <f t="shared" ca="1" si="5"/>
        <v>26</v>
      </c>
      <c r="S29" s="29">
        <f t="shared" ca="1" si="5"/>
        <v>26</v>
      </c>
    </row>
    <row r="30" spans="1:1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13" t="s">
        <v>1761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>
      <c r="A32" s="5" t="s">
        <v>1762</v>
      </c>
      <c r="B32" s="3"/>
      <c r="C32" s="3"/>
      <c r="D32" s="70">
        <f t="array" ref="D32">(IF(D$4=2025,IFERROR(INDEX(Starlink!$D:$AC,MATCH("BB net adds (M)",Starlink!$A:$A,0),D$5+1),0),IFERROR(INDEX(Starlink!$D:$AC,MATCH("BB net adds (M)",Starlink!$A:$A,0),D$5),0)))*1000000*INDEX(Assumptions!$B:$B,MATCH("Terminal kits per net subscriber add",Assumptions!$A:$A,0))+C35*INDEX(Assumptions!$B:$B,MATCH("Terminal replacement rate (% installed/yr)",Assumptions!$A:$A,0))</f>
        <v>2514835.9577777777</v>
      </c>
      <c r="E32" s="70">
        <f t="array" ref="E32">(IF(E$4=2025,IFERROR(INDEX(Starlink!$D:$AC,MATCH("BB net adds (M)",Starlink!$A:$A,0),E$5+1),0),IFERROR(INDEX(Starlink!$D:$AC,MATCH("BB net adds (M)",Starlink!$A:$A,0),E$5),0)))*1000000*INDEX(Assumptions!$B:$B,MATCH("Terminal kits per net subscriber add",Assumptions!$A:$A,0))+D35*INDEX(Assumptions!$B:$B,MATCH("Terminal replacement rate (% installed/yr)",Assumptions!$A:$A,0))</f>
        <v>2766319.5535555556</v>
      </c>
      <c r="F32" s="70">
        <f t="array" aca="1" ref="F32" ca="1">(IF(F$4=2025,IFERROR(INDEX(Starlink!$D:$AC,MATCH("BB net adds (M)",Starlink!$A:$A,0),F$5+1),0),IFERROR(INDEX(Starlink!$D:$AC,MATCH("BB net adds (M)",Starlink!$A:$A,0),F$5),0)))*1000000*INDEX(Assumptions!$B:$B,MATCH("Terminal kits per net subscriber add",Assumptions!$A:$A,0))+E35*INDEX(Assumptions!$B:$B,MATCH("Terminal replacement rate (% installed/yr)",Assumptions!$A:$A,0))</f>
        <v>3589151.0577867823</v>
      </c>
      <c r="G32" s="70">
        <f t="array" aca="1" ref="G32" ca="1">(IF(G$4=2025,IFERROR(INDEX(Starlink!$D:$AC,MATCH("BB net adds (M)",Starlink!$A:$A,0),G$5+1),0),IFERROR(INDEX(Starlink!$D:$AC,MATCH("BB net adds (M)",Starlink!$A:$A,0),G$5),0)))*1000000*INDEX(Assumptions!$B:$B,MATCH("Terminal kits per net subscriber add",Assumptions!$A:$A,0))+F35*INDEX(Assumptions!$B:$B,MATCH("Terminal replacement rate (% installed/yr)",Assumptions!$A:$A,0))</f>
        <v>33938170.549692899</v>
      </c>
      <c r="H32" s="70">
        <f t="array" aca="1" ref="H32" ca="1">(IF(H$4=2025,IFERROR(INDEX(Starlink!$D:$AC,MATCH("BB net adds (M)",Starlink!$A:$A,0),H$5+1),0),IFERROR(INDEX(Starlink!$D:$AC,MATCH("BB net adds (M)",Starlink!$A:$A,0),H$5),0)))*1000000*INDEX(Assumptions!$B:$B,MATCH("Terminal kits per net subscriber add",Assumptions!$A:$A,0))+G35*INDEX(Assumptions!$B:$B,MATCH("Terminal replacement rate (% installed/yr)",Assumptions!$A:$A,0))</f>
        <v>56817811.220813759</v>
      </c>
      <c r="I32" s="70">
        <f t="array" aca="1" ref="I32" ca="1">(IF(I$4=2025,IFERROR(INDEX(Starlink!$D:$AC,MATCH("BB net adds (M)",Starlink!$A:$A,0),I$5+1),0),IFERROR(INDEX(Starlink!$D:$AC,MATCH("BB net adds (M)",Starlink!$A:$A,0),I$5),0)))*1000000*INDEX(Assumptions!$B:$B,MATCH("Terminal kits per net subscriber add",Assumptions!$A:$A,0))+H35*INDEX(Assumptions!$B:$B,MATCH("Terminal replacement rate (% installed/yr)",Assumptions!$A:$A,0))</f>
        <v>90415302.853366777</v>
      </c>
      <c r="J32" s="70">
        <f t="array" aca="1" ref="J32" ca="1">(IF(J$4=2025,IFERROR(INDEX(Starlink!$D:$AC,MATCH("BB net adds (M)",Starlink!$A:$A,0),J$5+1),0),IFERROR(INDEX(Starlink!$D:$AC,MATCH("BB net adds (M)",Starlink!$A:$A,0),J$5),0)))*1000000*INDEX(Assumptions!$B:$B,MATCH("Terminal kits per net subscriber add",Assumptions!$A:$A,0))+I35*INDEX(Assumptions!$B:$B,MATCH("Terminal replacement rate (% installed/yr)",Assumptions!$A:$A,0))</f>
        <v>62378876.518356934</v>
      </c>
      <c r="K32" s="70">
        <f t="array" aca="1" ref="K32" ca="1">(IF(K$4=2025,IFERROR(INDEX(Starlink!$D:$AC,MATCH("BB net adds (M)",Starlink!$A:$A,0),K$5+1),0),IFERROR(INDEX(Starlink!$D:$AC,MATCH("BB net adds (M)",Starlink!$A:$A,0),K$5),0)))*1000000*INDEX(Assumptions!$B:$B,MATCH("Terminal kits per net subscriber add",Assumptions!$A:$A,0))+J35*INDEX(Assumptions!$B:$B,MATCH("Terminal replacement rate (% installed/yr)",Assumptions!$A:$A,0))</f>
        <v>75296427.704291567</v>
      </c>
      <c r="L32" s="70">
        <f t="array" aca="1" ref="L32" ca="1">(IF(L$4=2025,IFERROR(INDEX(Starlink!$D:$AC,MATCH("BB net adds (M)",Starlink!$A:$A,0),L$5+1),0),IFERROR(INDEX(Starlink!$D:$AC,MATCH("BB net adds (M)",Starlink!$A:$A,0),L$5),0)))*1000000*INDEX(Assumptions!$B:$B,MATCH("Terminal kits per net subscriber add",Assumptions!$A:$A,0))+K35*INDEX(Assumptions!$B:$B,MATCH("Terminal replacement rate (% installed/yr)",Assumptions!$A:$A,0))</f>
        <v>54978963.554660685</v>
      </c>
      <c r="M32" s="70">
        <f t="array" aca="1" ref="M32" ca="1">(IF(M$4=2025,IFERROR(INDEX(Starlink!$D:$AC,MATCH("BB net adds (M)",Starlink!$A:$A,0),M$5+1),0),IFERROR(INDEX(Starlink!$D:$AC,MATCH("BB net adds (M)",Starlink!$A:$A,0),M$5),0)))*1000000*INDEX(Assumptions!$B:$B,MATCH("Terminal kits per net subscriber add",Assumptions!$A:$A,0))+L35*INDEX(Assumptions!$B:$B,MATCH("Terminal replacement rate (% installed/yr)",Assumptions!$A:$A,0))</f>
        <v>37427926.910512358</v>
      </c>
      <c r="N32" s="70">
        <f t="array" aca="1" ref="N32" ca="1">(IF(N$4=2025,IFERROR(INDEX(Starlink!$D:$AC,MATCH("BB net adds (M)",Starlink!$A:$A,0),N$5+1),0),IFERROR(INDEX(Starlink!$D:$AC,MATCH("BB net adds (M)",Starlink!$A:$A,0),N$5),0)))*1000000*INDEX(Assumptions!$B:$B,MATCH("Terminal kits per net subscriber add",Assumptions!$A:$A,0))+M35*INDEX(Assumptions!$B:$B,MATCH("Terminal replacement rate (% installed/yr)",Assumptions!$A:$A,0))</f>
        <v>25896819.521094389</v>
      </c>
      <c r="O32" s="70">
        <f t="array" aca="1" ref="O32" ca="1">(IF(O$4=2025,IFERROR(INDEX(Starlink!$D:$AC,MATCH("BB net adds (M)",Starlink!$A:$A,0),O$5+1),0),IFERROR(INDEX(Starlink!$D:$AC,MATCH("BB net adds (M)",Starlink!$A:$A,0),O$5),0)))*1000000*INDEX(Assumptions!$B:$B,MATCH("Terminal kits per net subscriber add",Assumptions!$A:$A,0))+N35*INDEX(Assumptions!$B:$B,MATCH("Terminal replacement rate (% installed/yr)",Assumptions!$A:$A,0))</f>
        <v>44173206.632135279</v>
      </c>
      <c r="P32" s="70">
        <f t="array" aca="1" ref="P32" ca="1">(IF(P$4=2025,IFERROR(INDEX(Starlink!$D:$AC,MATCH("BB net adds (M)",Starlink!$A:$A,0),P$5+1),0),IFERROR(INDEX(Starlink!$D:$AC,MATCH("BB net adds (M)",Starlink!$A:$A,0),P$5),0)))*1000000*INDEX(Assumptions!$B:$B,MATCH("Terminal kits per net subscriber add",Assumptions!$A:$A,0))+O35*INDEX(Assumptions!$B:$B,MATCH("Terminal replacement rate (% installed/yr)",Assumptions!$A:$A,0))</f>
        <v>45581876.078863136</v>
      </c>
      <c r="Q32" s="70">
        <f t="array" aca="1" ref="Q32" ca="1">(IF(Q$4=2025,IFERROR(INDEX(Starlink!$D:$AC,MATCH("BB net adds (M)",Starlink!$A:$A,0),Q$5+1),0),IFERROR(INDEX(Starlink!$D:$AC,MATCH("BB net adds (M)",Starlink!$A:$A,0),Q$5),0)))*1000000*INDEX(Assumptions!$B:$B,MATCH("Terminal kits per net subscriber add",Assumptions!$A:$A,0))+P35*INDEX(Assumptions!$B:$B,MATCH("Terminal replacement rate (% installed/yr)",Assumptions!$A:$A,0))</f>
        <v>34462019.47770416</v>
      </c>
      <c r="R32" s="70">
        <f t="array" aca="1" ref="R32" ca="1">(IF(R$4=2025,IFERROR(INDEX(Starlink!$D:$AC,MATCH("BB net adds (M)",Starlink!$A:$A,0),R$5+1),0),IFERROR(INDEX(Starlink!$D:$AC,MATCH("BB net adds (M)",Starlink!$A:$A,0),R$5),0)))*1000000*INDEX(Assumptions!$B:$B,MATCH("Terminal kits per net subscriber add",Assumptions!$A:$A,0))+Q35*INDEX(Assumptions!$B:$B,MATCH("Terminal replacement rate (% installed/yr)",Assumptions!$A:$A,0))</f>
        <v>30066779.207989529</v>
      </c>
      <c r="S32" s="70">
        <f t="array" aca="1" ref="S32" ca="1">(IF(S$4=2025,IFERROR(INDEX(Starlink!$D:$AC,MATCH("BB net adds (M)",Starlink!$A:$A,0),S$5+1),0),IFERROR(INDEX(Starlink!$D:$AC,MATCH("BB net adds (M)",Starlink!$A:$A,0),S$5),0)))*1000000*INDEX(Assumptions!$B:$B,MATCH("Terminal kits per net subscriber add",Assumptions!$A:$A,0))+R35*INDEX(Assumptions!$B:$B,MATCH("Terminal replacement rate (% installed/yr)",Assumptions!$A:$A,0))</f>
        <v>19794793.585616875</v>
      </c>
    </row>
    <row r="33" spans="1:19">
      <c r="A33" s="5" t="s">
        <v>1763</v>
      </c>
      <c r="B33" s="3"/>
      <c r="C33" s="3"/>
      <c r="D33" s="80">
        <f>IFERROR(MAX(0, D32-D32)/INDEX(Assumptions!$B:$B,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E33" s="80">
        <f>IFERROR(MAX(0, E32-E35)/INDEX(Assumptions!$B:$B,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8.2841655079738619</v>
      </c>
      <c r="F33" s="80">
        <f ca="1">IFERROR(MAX(0, F32-F35)/INDEX(Assumptions!$B:$B,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27.105037786440406</v>
      </c>
      <c r="G33" s="80">
        <f ca="1">IFERROR(MAX(0, G32-G35)/INDEX(Assumptions!$B:$B,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999.73240679220146</v>
      </c>
      <c r="H33" s="80">
        <f ca="1">IFERROR(MAX(0, H32-H35)/INDEX(Assumptions!$B:$B,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753.68228093104005</v>
      </c>
      <c r="I33" s="80">
        <f ca="1">IFERROR(MAX(0, I32-I35)/INDEX(Assumptions!$B:$B,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1106.7409008370405</v>
      </c>
      <c r="J33" s="80">
        <f ca="1">IFERROR(MAX(0, J32-J35)/INDEX(Assumptions!$B:$B,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K33" s="80">
        <f ca="1">IFERROR(MAX(0, K32-K35)/INDEX(Assumptions!$B:$B,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L33" s="80">
        <f ca="1">IFERROR(MAX(0, L32-L35)/INDEX(Assumptions!$B:$B,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M33" s="80">
        <f ca="1">IFERROR(MAX(0, M32-M35)/INDEX(Assumptions!$B:$B,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N33" s="80">
        <f ca="1">IFERROR(MAX(0, N32-N35)/INDEX(Assumptions!$B:$B,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O33" s="80">
        <f ca="1">IFERROR(MAX(0, O32-O35)/INDEX(Assumptions!$B:$B,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P33" s="80">
        <f ca="1">IFERROR(MAX(0, P32-P35)/INDEX(Assumptions!$B:$B,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Q33" s="80">
        <f ca="1">IFERROR(MAX(0, Q32-Q35)/INDEX(Assumptions!$B:$B,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R33" s="80">
        <f ca="1">IFERROR(MAX(0, R32-R35)/INDEX(Assumptions!$B:$B,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  <c r="S33" s="80">
        <f ca="1">IFERROR(MAX(0, S32-S35)/INDEX(Assumptions!$B:$B, MATCH("Terminal factory capacity (kits/yr per increment)", Assumptions!$A$1:$A$257, 0)) * INDEX(Assumptions!$B:$B, MATCH("Terminal factory cost per capacity increment ($mm)", Assumptions!$A$1:$A$257, 0)), 0) * INDEX(Assumptions!$B:$B, MATCH("Terminal factory CapEx toggle (1=on,0=off)", Assumptions!$A$1:$A$257, 0))</f>
        <v>0</v>
      </c>
    </row>
    <row r="34" spans="1:19">
      <c r="A34" s="82" t="s">
        <v>1764</v>
      </c>
      <c r="B34" s="3"/>
      <c r="C34" s="3"/>
      <c r="D34" s="80">
        <f>MIN( SUM($D33:D33), SUM($D33:D33)/INDEX(Assumptions!$B:$B, MATCH("Terminal factory useful life (years)", Assumptions!$A$1:$A$257, 0)) )</f>
        <v>0</v>
      </c>
      <c r="E34" s="80">
        <f>MIN( SUM($D33:E33), SUM($D33:E33)/INDEX(Assumptions!$B:$B, MATCH("Terminal factory useful life (years)", Assumptions!$A$1:$A$257, 0)) )</f>
        <v>0.41420827539869309</v>
      </c>
      <c r="F34" s="80">
        <f ca="1">MIN( SUM($D33:F33), SUM($D33:F33)/INDEX(Assumptions!$B:$B, MATCH("Terminal factory useful life (years)", Assumptions!$A$1:$A$257, 0)) )</f>
        <v>1.7694601647207133</v>
      </c>
      <c r="G34" s="80">
        <f ca="1">MIN( SUM($D33:G33), SUM($D33:G33)/INDEX(Assumptions!$B:$B, MATCH("Terminal factory useful life (years)", Assumptions!$A$1:$A$257, 0)) )</f>
        <v>51.756080504330782</v>
      </c>
      <c r="H34" s="80">
        <f ca="1">MIN( SUM($D33:H33), SUM($D33:H33)/INDEX(Assumptions!$B:$B, MATCH("Terminal factory useful life (years)", Assumptions!$A$1:$A$257, 0)) )</f>
        <v>89.440194550882779</v>
      </c>
      <c r="I34" s="80">
        <f ca="1">MIN( SUM($D33:I33), SUM($D33:I33)/INDEX(Assumptions!$B:$B, MATCH("Terminal factory useful life (years)", Assumptions!$A$1:$A$257, 0)) )</f>
        <v>144.77723959273482</v>
      </c>
      <c r="J34" s="80">
        <f ca="1">MIN( SUM($D33:J33), SUM($D33:J33)/INDEX(Assumptions!$B:$B, MATCH("Terminal factory useful life (years)", Assumptions!$A$1:$A$257, 0)) )</f>
        <v>144.77723959273482</v>
      </c>
      <c r="K34" s="80">
        <f ca="1">MIN( SUM($D33:K33), SUM($D33:K33)/INDEX(Assumptions!$B:$B, MATCH("Terminal factory useful life (years)", Assumptions!$A$1:$A$257, 0)) )</f>
        <v>144.77723959273482</v>
      </c>
      <c r="L34" s="80">
        <f ca="1">MIN( SUM($D33:L33), SUM($D33:L33)/INDEX(Assumptions!$B:$B, MATCH("Terminal factory useful life (years)", Assumptions!$A$1:$A$257, 0)) )</f>
        <v>144.77723959273482</v>
      </c>
      <c r="M34" s="80">
        <f ca="1">MIN( SUM($D33:M33), SUM($D33:M33)/INDEX(Assumptions!$B:$B, MATCH("Terminal factory useful life (years)", Assumptions!$A$1:$A$257, 0)) )</f>
        <v>144.77723959273482</v>
      </c>
      <c r="N34" s="80">
        <f ca="1">MIN( SUM($D33:N33), SUM($D33:N33)/INDEX(Assumptions!$B:$B, MATCH("Terminal factory useful life (years)", Assumptions!$A$1:$A$257, 0)) )</f>
        <v>144.77723959273482</v>
      </c>
      <c r="O34" s="80">
        <f ca="1">MIN( SUM($D33:O33), SUM($D33:O33)/INDEX(Assumptions!$B:$B, MATCH("Terminal factory useful life (years)", Assumptions!$A$1:$A$257, 0)) )</f>
        <v>144.77723959273482</v>
      </c>
      <c r="P34" s="80">
        <f ca="1">MIN( SUM($D33:P33), SUM($D33:P33)/INDEX(Assumptions!$B:$B, MATCH("Terminal factory useful life (years)", Assumptions!$A$1:$A$257, 0)) )</f>
        <v>144.77723959273482</v>
      </c>
      <c r="Q34" s="80">
        <f ca="1">MIN( SUM($D33:Q33), SUM($D33:Q33)/INDEX(Assumptions!$B:$B, MATCH("Terminal factory useful life (years)", Assumptions!$A$1:$A$257, 0)) )</f>
        <v>144.77723959273482</v>
      </c>
      <c r="R34" s="80">
        <f ca="1">MIN( SUM($D33:R33), SUM($D33:R33)/INDEX(Assumptions!$B:$B, MATCH("Terminal factory useful life (years)", Assumptions!$A$1:$A$257, 0)) )</f>
        <v>144.77723959273482</v>
      </c>
      <c r="S34" s="80">
        <f ca="1">MIN( SUM($D33:S33), SUM($D33:S33)/INDEX(Assumptions!$B:$B, MATCH("Terminal factory useful life (years)", Assumptions!$A$1:$A$257, 0)) )</f>
        <v>144.77723959273482</v>
      </c>
    </row>
    <row r="35" spans="1:19">
      <c r="A35" s="16" t="s">
        <v>1765</v>
      </c>
      <c r="B35" s="3"/>
      <c r="C35" s="3"/>
      <c r="D35" s="90">
        <f>D32</f>
        <v>2514835.9577777777</v>
      </c>
      <c r="E35" s="90">
        <f t="shared" ref="E35:S35" si="6">D35+MAX(0, D32-D35)</f>
        <v>2514835.9577777777</v>
      </c>
      <c r="F35" s="90">
        <f t="shared" si="6"/>
        <v>2766319.5535555556</v>
      </c>
      <c r="G35" s="90">
        <f t="shared" ca="1" si="6"/>
        <v>3589151.0577867823</v>
      </c>
      <c r="H35" s="90">
        <f t="shared" ca="1" si="6"/>
        <v>33938170.549692899</v>
      </c>
      <c r="I35" s="90">
        <f t="shared" ca="1" si="6"/>
        <v>56817811.220813759</v>
      </c>
      <c r="J35" s="90">
        <f t="shared" ca="1" si="6"/>
        <v>90415302.853366777</v>
      </c>
      <c r="K35" s="90">
        <f t="shared" ca="1" si="6"/>
        <v>90415302.853366777</v>
      </c>
      <c r="L35" s="90">
        <f t="shared" ca="1" si="6"/>
        <v>90415302.853366777</v>
      </c>
      <c r="M35" s="90">
        <f t="shared" ca="1" si="6"/>
        <v>90415302.853366777</v>
      </c>
      <c r="N35" s="90">
        <f t="shared" ca="1" si="6"/>
        <v>90415302.853366777</v>
      </c>
      <c r="O35" s="90">
        <f t="shared" ca="1" si="6"/>
        <v>90415302.853366777</v>
      </c>
      <c r="P35" s="90">
        <f t="shared" ca="1" si="6"/>
        <v>90415302.853366777</v>
      </c>
      <c r="Q35" s="90">
        <f t="shared" ca="1" si="6"/>
        <v>90415302.853366777</v>
      </c>
      <c r="R35" s="90">
        <f t="shared" ca="1" si="6"/>
        <v>90415302.853366777</v>
      </c>
      <c r="S35" s="90">
        <f t="shared" ca="1" si="6"/>
        <v>90415302.853366777</v>
      </c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13" t="s">
        <v>1766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>
      <c r="A38" s="180" t="s">
        <v>1767</v>
      </c>
      <c r="B38" s="92"/>
      <c r="C38" s="92"/>
      <c r="D38" s="181">
        <f t="array" ref="D38">IFERROR(INDEX('Group P&amp;L'!$D:$AC, MATCH("Group Revenue ($mm)",'Group P&amp;L'!$A:$A,0), D$5+1), 0)</f>
        <v>18674</v>
      </c>
      <c r="E38" s="181">
        <f t="array" aca="1" ref="E38" ca="1">IFERROR(INDEX('Group P&amp;L'!$D:$AC, MATCH("Group Revenue ($mm)",'Group P&amp;L'!$A:$A,0), E$5+1), 0)</f>
        <v>22476.432722651574</v>
      </c>
      <c r="F38" s="181">
        <f t="array" aca="1" ref="F38" ca="1">IFERROR(INDEX('Group P&amp;L'!$D:$AC, MATCH("Group Revenue ($mm)",'Group P&amp;L'!$A:$A,0), F$5+1), 0)</f>
        <v>74502.361764839152</v>
      </c>
      <c r="G38" s="181">
        <f t="array" aca="1" ref="G38" ca="1">IFERROR(INDEX('Group P&amp;L'!$D:$AC, MATCH("Group Revenue ($mm)",'Group P&amp;L'!$A:$A,0), G$5+1), 0)</f>
        <v>131853.15480347234</v>
      </c>
      <c r="H38" s="181">
        <f t="array" aca="1" ref="H38" ca="1">IFERROR(INDEX('Group P&amp;L'!$D:$AC, MATCH("Group Revenue ($mm)",'Group P&amp;L'!$A:$A,0), H$5+1), 0)</f>
        <v>223352.9368251882</v>
      </c>
      <c r="I38" s="181">
        <f t="array" aca="1" ref="I38" ca="1">IFERROR(INDEX('Group P&amp;L'!$D:$AC, MATCH("Group Revenue ($mm)",'Group P&amp;L'!$A:$A,0), I$5+1), 0)</f>
        <v>303410.63930427388</v>
      </c>
      <c r="J38" s="181">
        <f t="array" aca="1" ref="J38" ca="1">IFERROR(INDEX('Group P&amp;L'!$D:$AC, MATCH("Group Revenue ($mm)",'Group P&amp;L'!$A:$A,0), J$5+1), 0)</f>
        <v>407763.15937032894</v>
      </c>
      <c r="K38" s="181">
        <f t="array" aca="1" ref="K38" ca="1">IFERROR(INDEX('Group P&amp;L'!$D:$AC, MATCH("Group Revenue ($mm)",'Group P&amp;L'!$A:$A,0), K$5+1), 0)</f>
        <v>489077.34573356376</v>
      </c>
      <c r="L38" s="181">
        <f t="array" aca="1" ref="L38" ca="1">IFERROR(INDEX('Group P&amp;L'!$D:$AC, MATCH("Group Revenue ($mm)",'Group P&amp;L'!$A:$A,0), L$5+1), 0)</f>
        <v>513613.40677406942</v>
      </c>
      <c r="M38" s="181">
        <f t="array" aca="1" ref="M38" ca="1">IFERROR(INDEX('Group P&amp;L'!$D:$AC, MATCH("Group Revenue ($mm)",'Group P&amp;L'!$A:$A,0), M$5+1), 0)</f>
        <v>562232.26081810868</v>
      </c>
      <c r="N38" s="181">
        <f t="array" aca="1" ref="N38" ca="1">IFERROR(INDEX('Group P&amp;L'!$D:$AC, MATCH("Group Revenue ($mm)",'Group P&amp;L'!$A:$A,0), N$5+1), 0)</f>
        <v>670876.79470998817</v>
      </c>
      <c r="O38" s="181">
        <f t="array" aca="1" ref="O38" ca="1">IFERROR(INDEX('Group P&amp;L'!$D:$AC, MATCH("Group Revenue ($mm)",'Group P&amp;L'!$A:$A,0), O$5+1), 0)</f>
        <v>834538.15363503108</v>
      </c>
      <c r="P38" s="181">
        <f t="array" aca="1" ref="P38" ca="1">IFERROR(INDEX('Group P&amp;L'!$D:$AC, MATCH("Group Revenue ($mm)",'Group P&amp;L'!$A:$A,0), P$5+1), 0)</f>
        <v>1015553.8654901711</v>
      </c>
      <c r="Q38" s="181">
        <f t="array" aca="1" ref="Q38" ca="1">IFERROR(INDEX('Group P&amp;L'!$D:$AC, MATCH("Group Revenue ($mm)",'Group P&amp;L'!$A:$A,0), Q$5+1), 0)</f>
        <v>1199932.6848804487</v>
      </c>
      <c r="R38" s="181">
        <f t="array" aca="1" ref="R38" ca="1">IFERROR(INDEX('Group P&amp;L'!$D:$AC, MATCH("Group Revenue ($mm)",'Group P&amp;L'!$A:$A,0), R$5+1), 0)</f>
        <v>1457575.1723640908</v>
      </c>
      <c r="S38" s="181">
        <f t="array" aca="1" ref="S38" ca="1">IFERROR(INDEX('Group P&amp;L'!$D:$AC, MATCH("Group Revenue ($mm)",'Group P&amp;L'!$A:$A,0), S$5+1), 0)</f>
        <v>1781635.986914631</v>
      </c>
    </row>
    <row r="39" spans="1:19">
      <c r="A39" s="94" t="s">
        <v>1768</v>
      </c>
      <c r="B39" s="94"/>
      <c r="C39" s="94"/>
      <c r="D39" s="182">
        <f>D38*INDEX(Assumptions!$B:$B, MATCH("HQ facility CapEx (% of revenue)", Assumptions!$A$1:$A$257, 0))</f>
        <v>93.37</v>
      </c>
      <c r="E39" s="182">
        <f ca="1">E38*INDEX(Assumptions!$B:$B, MATCH("HQ facility CapEx (% of revenue)", Assumptions!$A$1:$A$257, 0))</f>
        <v>112.38216361325787</v>
      </c>
      <c r="F39" s="182">
        <f ca="1">F38*INDEX(Assumptions!$B:$B, MATCH("HQ facility CapEx (% of revenue)", Assumptions!$A$1:$A$257, 0))</f>
        <v>372.51180882419578</v>
      </c>
      <c r="G39" s="182">
        <f ca="1">G38*INDEX(Assumptions!$B:$B, MATCH("HQ facility CapEx (% of revenue)", Assumptions!$A$1:$A$257, 0))</f>
        <v>659.26577401736165</v>
      </c>
      <c r="H39" s="182">
        <f ca="1">H38*INDEX(Assumptions!$B:$B, MATCH("HQ facility CapEx (% of revenue)", Assumptions!$A$1:$A$257, 0))</f>
        <v>1116.7646841259409</v>
      </c>
      <c r="I39" s="182">
        <f ca="1">I38*INDEX(Assumptions!$B:$B, MATCH("HQ facility CapEx (% of revenue)", Assumptions!$A$1:$A$257, 0))</f>
        <v>1517.0531965213695</v>
      </c>
      <c r="J39" s="182">
        <f ca="1">J38*INDEX(Assumptions!$B:$B, MATCH("HQ facility CapEx (% of revenue)", Assumptions!$A$1:$A$257, 0))</f>
        <v>2038.8157968516448</v>
      </c>
      <c r="K39" s="182">
        <f ca="1">K38*INDEX(Assumptions!$B:$B, MATCH("HQ facility CapEx (% of revenue)", Assumptions!$A$1:$A$257, 0))</f>
        <v>2445.3867286678187</v>
      </c>
      <c r="L39" s="182">
        <f ca="1">L38*INDEX(Assumptions!$B:$B, MATCH("HQ facility CapEx (% of revenue)", Assumptions!$A$1:$A$257, 0))</f>
        <v>2568.0670338703471</v>
      </c>
      <c r="M39" s="182">
        <f ca="1">M38*INDEX(Assumptions!$B:$B, MATCH("HQ facility CapEx (% of revenue)", Assumptions!$A$1:$A$257, 0))</f>
        <v>2811.1613040905436</v>
      </c>
      <c r="N39" s="182">
        <f ca="1">N38*INDEX(Assumptions!$B:$B, MATCH("HQ facility CapEx (% of revenue)", Assumptions!$A$1:$A$257, 0))</f>
        <v>3354.3839735499409</v>
      </c>
      <c r="O39" s="182">
        <f ca="1">O38*INDEX(Assumptions!$B:$B, MATCH("HQ facility CapEx (% of revenue)", Assumptions!$A$1:$A$257, 0))</f>
        <v>4172.6907681751554</v>
      </c>
      <c r="P39" s="182">
        <f ca="1">P38*INDEX(Assumptions!$B:$B, MATCH("HQ facility CapEx (% of revenue)", Assumptions!$A$1:$A$257, 0))</f>
        <v>5077.7693274508556</v>
      </c>
      <c r="Q39" s="182">
        <f ca="1">Q38*INDEX(Assumptions!$B:$B, MATCH("HQ facility CapEx (% of revenue)", Assumptions!$A$1:$A$257, 0))</f>
        <v>5999.6634244022434</v>
      </c>
      <c r="R39" s="182">
        <f ca="1">R38*INDEX(Assumptions!$B:$B, MATCH("HQ facility CapEx (% of revenue)", Assumptions!$A$1:$A$257, 0))</f>
        <v>7287.8758618204538</v>
      </c>
      <c r="S39" s="182">
        <f ca="1">S38*INDEX(Assumptions!$B:$B, MATCH("HQ facility CapEx (% of revenue)", Assumptions!$A$1:$A$257, 0))</f>
        <v>8908.1799345731542</v>
      </c>
    </row>
    <row r="40" spans="1:19">
      <c r="A40" s="78" t="s">
        <v>1769</v>
      </c>
      <c r="B40" s="78"/>
      <c r="C40" s="78"/>
      <c r="D40" s="97">
        <f>MIN( SUM($D39:D39), SUM($D39:D39)/INDEX(Assumptions!$B:$B, MATCH("HQ facility useful life (years)", Assumptions!$A$1:$A$257, 0)) )</f>
        <v>3.1123333333333334</v>
      </c>
      <c r="E40" s="97">
        <f ca="1">MIN( SUM($D39:E39), SUM($D39:E39)/INDEX(Assumptions!$B:$B, MATCH("HQ facility useful life (years)", Assumptions!$A$1:$A$257, 0)) )</f>
        <v>6.858405453775263</v>
      </c>
      <c r="F40" s="97">
        <f ca="1">MIN( SUM($D39:F39), SUM($D39:F39)/INDEX(Assumptions!$B:$B, MATCH("HQ facility useful life (years)", Assumptions!$A$1:$A$257, 0)) )</f>
        <v>19.275465747915124</v>
      </c>
      <c r="G40" s="97">
        <f ca="1">MIN( SUM($D39:G39), SUM($D39:G39)/INDEX(Assumptions!$B:$B, MATCH("HQ facility useful life (years)", Assumptions!$A$1:$A$257, 0)) )</f>
        <v>41.250991548493843</v>
      </c>
      <c r="H40" s="97">
        <f ca="1">MIN( SUM($D39:H39), SUM($D39:H39)/INDEX(Assumptions!$B:$B, MATCH("HQ facility useful life (years)", Assumptions!$A$1:$A$257, 0)) )</f>
        <v>78.47648101935853</v>
      </c>
      <c r="I40" s="97">
        <f ca="1">MIN( SUM($D39:I39), SUM($D39:I39)/INDEX(Assumptions!$B:$B, MATCH("HQ facility useful life (years)", Assumptions!$A$1:$A$257, 0)) )</f>
        <v>129.04492090340418</v>
      </c>
      <c r="J40" s="97">
        <f ca="1">MIN( SUM($D39:J39), SUM($D39:J39)/INDEX(Assumptions!$B:$B, MATCH("HQ facility useful life (years)", Assumptions!$A$1:$A$257, 0)) )</f>
        <v>197.00544746512568</v>
      </c>
      <c r="K40" s="97">
        <f ca="1">MIN( SUM($D39:K39), SUM($D39:K39)/INDEX(Assumptions!$B:$B, MATCH("HQ facility useful life (years)", Assumptions!$A$1:$A$257, 0)) )</f>
        <v>278.5183384207196</v>
      </c>
      <c r="L40" s="97">
        <f ca="1">MIN( SUM($D39:L39), SUM($D39:L39)/INDEX(Assumptions!$B:$B, MATCH("HQ facility useful life (years)", Assumptions!$A$1:$A$257, 0)) )</f>
        <v>364.12057288306454</v>
      </c>
      <c r="M40" s="97">
        <f ca="1">MIN( SUM($D39:M39), SUM($D39:M39)/INDEX(Assumptions!$B:$B, MATCH("HQ facility useful life (years)", Assumptions!$A$1:$A$257, 0)) )</f>
        <v>457.82594968608265</v>
      </c>
      <c r="N40" s="97">
        <f ca="1">MIN( SUM($D39:N39), SUM($D39:N39)/INDEX(Assumptions!$B:$B, MATCH("HQ facility useful life (years)", Assumptions!$A$1:$A$257, 0)) )</f>
        <v>569.63874880441404</v>
      </c>
      <c r="O40" s="97">
        <f ca="1">MIN( SUM($D39:O39), SUM($D39:O39)/INDEX(Assumptions!$B:$B, MATCH("HQ facility useful life (years)", Assumptions!$A$1:$A$257, 0)) )</f>
        <v>708.72844107691913</v>
      </c>
      <c r="P40" s="97">
        <f ca="1">MIN( SUM($D39:P39), SUM($D39:P39)/INDEX(Assumptions!$B:$B, MATCH("HQ facility useful life (years)", Assumptions!$A$1:$A$257, 0)) )</f>
        <v>877.98741865861439</v>
      </c>
      <c r="Q40" s="97">
        <f ca="1">MIN( SUM($D39:Q39), SUM($D39:Q39)/INDEX(Assumptions!$B:$B, MATCH("HQ facility useful life (years)", Assumptions!$A$1:$A$257, 0)) )</f>
        <v>1077.9761994720225</v>
      </c>
      <c r="R40" s="97">
        <f ca="1">MIN( SUM($D39:R39), SUM($D39:R39)/INDEX(Assumptions!$B:$B, MATCH("HQ facility useful life (years)", Assumptions!$A$1:$A$257, 0)) )</f>
        <v>1320.9053948660376</v>
      </c>
      <c r="S40" s="97">
        <f ca="1">MIN( SUM($D39:S39), SUM($D39:S39)/INDEX(Assumptions!$B:$B, MATCH("HQ facility useful life (years)", Assumptions!$A$1:$A$257, 0)) )</f>
        <v>1617.8447260184762</v>
      </c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13" t="s">
        <v>1770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>
      <c r="A43" s="78" t="s">
        <v>1771</v>
      </c>
      <c r="B43" s="78"/>
      <c r="C43" s="78"/>
      <c r="D43" s="84">
        <f t="shared" ref="D43:S43" ca="1" si="7">D14+D26+D33+D39+D63</f>
        <v>950.72164835164835</v>
      </c>
      <c r="E43" s="84">
        <f t="shared" ca="1" si="7"/>
        <v>12628.791078977587</v>
      </c>
      <c r="F43" s="84">
        <f t="shared" ca="1" si="7"/>
        <v>12941.918714158066</v>
      </c>
      <c r="G43" s="84">
        <f t="shared" ca="1" si="7"/>
        <v>14647.520955930358</v>
      </c>
      <c r="H43" s="84">
        <f t="shared" ca="1" si="7"/>
        <v>5236.4791015645787</v>
      </c>
      <c r="I43" s="84">
        <f t="shared" ca="1" si="7"/>
        <v>6555.374977165714</v>
      </c>
      <c r="J43" s="84">
        <f t="shared" ca="1" si="7"/>
        <v>3041.3320524503642</v>
      </c>
      <c r="K43" s="84">
        <f t="shared" ca="1" si="7"/>
        <v>5255.2061685697781</v>
      </c>
      <c r="L43" s="84">
        <f t="shared" ca="1" si="7"/>
        <v>3023.011727185266</v>
      </c>
      <c r="M43" s="84">
        <f t="shared" ca="1" si="7"/>
        <v>3669.0730321853148</v>
      </c>
      <c r="N43" s="84">
        <f t="shared" ca="1" si="7"/>
        <v>7295.583281695961</v>
      </c>
      <c r="O43" s="84">
        <f t="shared" ca="1" si="7"/>
        <v>11528.013710026727</v>
      </c>
      <c r="P43" s="84">
        <f t="shared" ca="1" si="7"/>
        <v>5555.3192716398462</v>
      </c>
      <c r="Q43" s="84">
        <f t="shared" ca="1" si="7"/>
        <v>6469.5891232356662</v>
      </c>
      <c r="R43" s="84">
        <f t="shared" ca="1" si="7"/>
        <v>7744.2750707235591</v>
      </c>
      <c r="S43" s="84">
        <f t="shared" ca="1" si="7"/>
        <v>20970.689584238571</v>
      </c>
    </row>
    <row r="44" spans="1:19">
      <c r="A44" s="5" t="s">
        <v>1772</v>
      </c>
      <c r="B44" s="3"/>
      <c r="C44" s="3"/>
      <c r="D44" s="90">
        <f ca="1">MAX( SUM($D$15:D15)-SUM($D$14:D14), SUM($D$27:D27)-SUM($D$26:D26), SUM($D$34:D34)-SUM($D$33:D33), SUM($D$40:D40)-SUM($D$39:D39), SUM($D$64:D64)-SUM($D$63:D63), SUM($D$52:D52)-SUM($D$51:D51) )</f>
        <v>0</v>
      </c>
      <c r="E44" s="90">
        <f ca="1">MAX( SUM($D$15:E15)-SUM($D$14:E14), SUM($D$27:E27)-SUM($D$26:E26), SUM($D$34:E34)-SUM($D$33:E33), SUM($D$40:E40)-SUM($D$39:E39), SUM($D$64:E64)-SUM($D$63:E63), SUM($D$52:E52)-SUM($D$51:E51) )</f>
        <v>-7.8699572325751692</v>
      </c>
      <c r="F44" s="90">
        <f ca="1">MAX( SUM($D$15:F15)-SUM($D$14:F14), SUM($D$27:F27)-SUM($D$26:F26), SUM($D$34:F34)-SUM($D$33:F33), SUM($D$40:F40)-SUM($D$39:F39), SUM($D$64:F64)-SUM($D$63:F63), SUM($D$52:F52)-SUM($D$51:F51) )</f>
        <v>-33.205534854294861</v>
      </c>
      <c r="G44" s="90">
        <f ca="1">MAX( SUM($D$15:G15)-SUM($D$14:G14), SUM($D$27:G27)-SUM($D$26:G26), SUM($D$34:G34)-SUM($D$33:G33), SUM($D$40:G40)-SUM($D$39:G39), SUM($D$64:G64)-SUM($D$63:G63), SUM($D$52:G52)-SUM($D$51:G51) )</f>
        <v>-981.18186114216542</v>
      </c>
      <c r="H44" s="90">
        <f ca="1">MAX( SUM($D$15:H15)-SUM($D$14:H14), SUM($D$27:H27)-SUM($D$26:H26), SUM($D$34:H34)-SUM($D$33:H33), SUM($D$40:H40)-SUM($D$39:H39), SUM($D$64:H64)-SUM($D$63:H63), SUM($D$52:H52)-SUM($D$51:H51) )</f>
        <v>-1275</v>
      </c>
      <c r="I44" s="90">
        <f ca="1">MAX( SUM($D$15:I15)-SUM($D$14:I14), SUM($D$27:I27)-SUM($D$26:I26), SUM($D$34:I34)-SUM($D$33:I33), SUM($D$40:I40)-SUM($D$39:I39), SUM($D$64:I64)-SUM($D$63:I63), SUM($D$52:I52)-SUM($D$51:I51) )</f>
        <v>-1225</v>
      </c>
      <c r="J44" s="90">
        <f ca="1">MAX( SUM($D$15:J15)-SUM($D$14:J14), SUM($D$27:J27)-SUM($D$26:J26), SUM($D$34:J34)-SUM($D$33:J33), SUM($D$40:J40)-SUM($D$39:J39), SUM($D$64:J64)-SUM($D$63:J63), SUM($D$52:J52)-SUM($D$51:J51) )</f>
        <v>-1175</v>
      </c>
      <c r="K44" s="90">
        <f ca="1">MAX( SUM($D$15:K15)-SUM($D$14:K14), SUM($D$27:K27)-SUM($D$26:K26), SUM($D$34:K34)-SUM($D$33:K33), SUM($D$40:K40)-SUM($D$39:K39), SUM($D$64:K64)-SUM($D$63:K63), SUM($D$52:K52)-SUM($D$51:K51) )</f>
        <v>-1125</v>
      </c>
      <c r="L44" s="90">
        <f ca="1">MAX( SUM($D$15:L15)-SUM($D$14:L14), SUM($D$27:L27)-SUM($D$26:L26), SUM($D$34:L34)-SUM($D$33:L33), SUM($D$40:L40)-SUM($D$39:L39), SUM($D$64:L64)-SUM($D$63:L63), SUM($D$52:L52)-SUM($D$51:L51) )</f>
        <v>-1075</v>
      </c>
      <c r="M44" s="90">
        <f ca="1">MAX( SUM($D$15:M15)-SUM($D$14:M14), SUM($D$27:M27)-SUM($D$26:M26), SUM($D$34:M34)-SUM($D$33:M33), SUM($D$40:M40)-SUM($D$39:M39), SUM($D$64:M64)-SUM($D$63:M63), SUM($D$52:M52)-SUM($D$51:M51) )</f>
        <v>-1025</v>
      </c>
      <c r="N44" s="90">
        <f ca="1">MAX( SUM($D$15:N15)-SUM($D$14:N14), SUM($D$27:N27)-SUM($D$26:N26), SUM($D$34:N34)-SUM($D$33:N33), SUM($D$40:N40)-SUM($D$39:N39), SUM($D$64:N64)-SUM($D$63:N63), SUM($D$52:N52)-SUM($D$51:N51) )</f>
        <v>0</v>
      </c>
      <c r="O44" s="90">
        <f ca="1">MAX( SUM($D$15:O15)-SUM($D$14:O14), SUM($D$27:O27)-SUM($D$26:O26), SUM($D$34:O34)-SUM($D$33:O33), SUM($D$40:O40)-SUM($D$39:O39), SUM($D$64:O64)-SUM($D$63:O63), SUM($D$52:O52)-SUM($D$51:O51) )</f>
        <v>0</v>
      </c>
      <c r="P44" s="90">
        <f ca="1">MAX( SUM($D$15:P15)-SUM($D$14:P14), SUM($D$27:P27)-SUM($D$26:P26), SUM($D$34:P34)-SUM($D$33:P33), SUM($D$40:P40)-SUM($D$39:P39), SUM($D$64:P64)-SUM($D$63:P63), SUM($D$52:P52)-SUM($D$51:P51) )</f>
        <v>0</v>
      </c>
      <c r="Q44" s="90">
        <f ca="1">MAX( SUM($D$15:Q15)-SUM($D$14:Q14), SUM($D$27:Q27)-SUM($D$26:Q26), SUM($D$34:Q34)-SUM($D$33:Q33), SUM($D$40:Q40)-SUM($D$39:Q39), SUM($D$64:Q64)-SUM($D$63:Q63), SUM($D$52:Q52)-SUM($D$51:Q51) )</f>
        <v>0</v>
      </c>
      <c r="R44" s="90">
        <f ca="1">MAX( SUM($D$15:R15)-SUM($D$14:R14), SUM($D$27:R27)-SUM($D$26:R26), SUM($D$34:R34)-SUM($D$33:R33), SUM($D$40:R40)-SUM($D$39:R39), SUM($D$64:R64)-SUM($D$63:R63), SUM($D$52:R52)-SUM($D$51:R51) )</f>
        <v>0</v>
      </c>
      <c r="S44" s="90">
        <f ca="1">MAX( SUM($D$15:S15)-SUM($D$14:S14), SUM($D$27:S27)-SUM($D$26:S26), SUM($D$34:S34)-SUM($D$33:S33), SUM($D$40:S40)-SUM($D$39:S39), SUM($D$64:S64)-SUM($D$63:S63), SUM($D$52:S52)-SUM($D$51:S51) )</f>
        <v>-725</v>
      </c>
    </row>
    <row r="45" spans="1:19">
      <c r="A45" s="16" t="s">
        <v>1773</v>
      </c>
      <c r="B45" s="3"/>
      <c r="C45" s="3"/>
      <c r="D45" s="90">
        <f t="shared" ref="D45:S45" si="8">D14</f>
        <v>107.35164835164835</v>
      </c>
      <c r="E45" s="90">
        <f t="shared" ca="1" si="8"/>
        <v>144.66641652302212</v>
      </c>
      <c r="F45" s="90">
        <f t="shared" ca="1" si="8"/>
        <v>553.84353421409583</v>
      </c>
      <c r="G45" s="90">
        <f t="shared" ca="1" si="8"/>
        <v>903.66444178746156</v>
      </c>
      <c r="H45" s="90">
        <f t="shared" ca="1" si="8"/>
        <v>2274.0321365075974</v>
      </c>
      <c r="I45" s="90">
        <f t="shared" ca="1" si="8"/>
        <v>2839.580879807304</v>
      </c>
      <c r="J45" s="90">
        <f t="shared" ca="1" si="8"/>
        <v>510.51625559871917</v>
      </c>
      <c r="K45" s="90">
        <f t="shared" ca="1" si="8"/>
        <v>1234.8194399019594</v>
      </c>
      <c r="L45" s="90">
        <f t="shared" ca="1" si="8"/>
        <v>79.944693314918652</v>
      </c>
      <c r="M45" s="90">
        <f t="shared" ca="1" si="8"/>
        <v>82.911728094771178</v>
      </c>
      <c r="N45" s="90">
        <f t="shared" ca="1" si="8"/>
        <v>2966.1993081460205</v>
      </c>
      <c r="O45" s="90">
        <f t="shared" ca="1" si="8"/>
        <v>5580.3229418515721</v>
      </c>
      <c r="P45" s="90">
        <f t="shared" ca="1" si="8"/>
        <v>102.54994418899095</v>
      </c>
      <c r="Q45" s="90">
        <f t="shared" ca="1" si="8"/>
        <v>94.925698833422985</v>
      </c>
      <c r="R45" s="90">
        <f t="shared" ca="1" si="8"/>
        <v>81.399208903105077</v>
      </c>
      <c r="S45" s="90">
        <f t="shared" ca="1" si="8"/>
        <v>74.051316332080589</v>
      </c>
    </row>
    <row r="46" spans="1:19">
      <c r="A46" s="16" t="s">
        <v>1774</v>
      </c>
      <c r="B46" s="3"/>
      <c r="C46" s="3"/>
      <c r="D46" s="90">
        <f t="shared" ref="D46:S46" ca="1" si="9">D26</f>
        <v>750</v>
      </c>
      <c r="E46" s="90">
        <f t="shared" ca="1" si="9"/>
        <v>750</v>
      </c>
      <c r="F46" s="90">
        <f t="shared" ca="1" si="9"/>
        <v>375</v>
      </c>
      <c r="G46" s="90">
        <f t="shared" ca="1" si="9"/>
        <v>471.4</v>
      </c>
      <c r="H46" s="90">
        <f t="shared" ca="1" si="9"/>
        <v>1092</v>
      </c>
      <c r="I46" s="90">
        <f t="shared" ca="1" si="9"/>
        <v>1092</v>
      </c>
      <c r="J46" s="90">
        <f t="shared" ca="1" si="9"/>
        <v>492</v>
      </c>
      <c r="K46" s="90">
        <f t="shared" ca="1" si="9"/>
        <v>1575</v>
      </c>
      <c r="L46" s="90">
        <f t="shared" ca="1" si="9"/>
        <v>375</v>
      </c>
      <c r="M46" s="90">
        <f t="shared" ca="1" si="9"/>
        <v>775</v>
      </c>
      <c r="N46" s="90">
        <f t="shared" ca="1" si="9"/>
        <v>975</v>
      </c>
      <c r="O46" s="90">
        <f t="shared" ca="1" si="9"/>
        <v>1775</v>
      </c>
      <c r="P46" s="90">
        <f t="shared" ca="1" si="9"/>
        <v>375</v>
      </c>
      <c r="Q46" s="90">
        <f t="shared" ca="1" si="9"/>
        <v>375</v>
      </c>
      <c r="R46" s="90">
        <f t="shared" ca="1" si="9"/>
        <v>375</v>
      </c>
      <c r="S46" s="90">
        <f t="shared" ca="1" si="9"/>
        <v>375</v>
      </c>
    </row>
    <row r="47" spans="1:19">
      <c r="A47" s="16" t="s">
        <v>1775</v>
      </c>
      <c r="B47" s="3"/>
      <c r="C47" s="3"/>
      <c r="D47" s="90">
        <f t="shared" ref="D47:S47" si="10">D39</f>
        <v>93.37</v>
      </c>
      <c r="E47" s="90">
        <f t="shared" ca="1" si="10"/>
        <v>112.38216361325787</v>
      </c>
      <c r="F47" s="90">
        <f t="shared" ca="1" si="10"/>
        <v>372.51180882419578</v>
      </c>
      <c r="G47" s="90">
        <f t="shared" ca="1" si="10"/>
        <v>659.26577401736165</v>
      </c>
      <c r="H47" s="90">
        <f t="shared" ca="1" si="10"/>
        <v>1116.7646841259409</v>
      </c>
      <c r="I47" s="90">
        <f t="shared" ca="1" si="10"/>
        <v>1517.0531965213695</v>
      </c>
      <c r="J47" s="90">
        <f t="shared" ca="1" si="10"/>
        <v>2038.8157968516448</v>
      </c>
      <c r="K47" s="90">
        <f t="shared" ca="1" si="10"/>
        <v>2445.3867286678187</v>
      </c>
      <c r="L47" s="90">
        <f t="shared" ca="1" si="10"/>
        <v>2568.0670338703471</v>
      </c>
      <c r="M47" s="90">
        <f t="shared" ca="1" si="10"/>
        <v>2811.1613040905436</v>
      </c>
      <c r="N47" s="90">
        <f t="shared" ca="1" si="10"/>
        <v>3354.3839735499409</v>
      </c>
      <c r="O47" s="90">
        <f t="shared" ca="1" si="10"/>
        <v>4172.6907681751554</v>
      </c>
      <c r="P47" s="90">
        <f t="shared" ca="1" si="10"/>
        <v>5077.7693274508556</v>
      </c>
      <c r="Q47" s="90">
        <f t="shared" ca="1" si="10"/>
        <v>5999.6634244022434</v>
      </c>
      <c r="R47" s="90">
        <f t="shared" ca="1" si="10"/>
        <v>7287.8758618204538</v>
      </c>
      <c r="S47" s="90">
        <f t="shared" ca="1" si="10"/>
        <v>8908.1799345731542</v>
      </c>
    </row>
    <row r="48" spans="1:19">
      <c r="A48" s="183" t="s">
        <v>1776</v>
      </c>
      <c r="B48" s="78"/>
      <c r="C48" s="78"/>
      <c r="D48" s="109">
        <f ca="1">D43 / INDEX(Assumptions!$B:$B,MATCH("S-1 2025 SpaceX total CapEx ($mm)",Assumptions!$A:$A,0))</f>
        <v>0.11884020604395605</v>
      </c>
      <c r="E48" s="109">
        <f ca="1">E43 / INDEX(Assumptions!$B:$B,MATCH("S-1 2025 SpaceX total CapEx ($mm)",Assumptions!$A:$A,0))</f>
        <v>1.5785988848721983</v>
      </c>
      <c r="F48" s="109">
        <f ca="1">F43 / INDEX(Assumptions!$B:$B,MATCH("S-1 2025 SpaceX total CapEx ($mm)",Assumptions!$A:$A,0))</f>
        <v>1.6177398392697582</v>
      </c>
      <c r="G48" s="109">
        <f ca="1">G43 / INDEX(Assumptions!$B:$B,MATCH("S-1 2025 SpaceX total CapEx ($mm)",Assumptions!$A:$A,0))</f>
        <v>1.8309401194912949</v>
      </c>
      <c r="H48" s="109">
        <f ca="1">H43 / INDEX(Assumptions!$B:$B,MATCH("S-1 2025 SpaceX total CapEx ($mm)",Assumptions!$A:$A,0))</f>
        <v>0.65455988769557238</v>
      </c>
      <c r="I48" s="109">
        <f ca="1">I43 / INDEX(Assumptions!$B:$B,MATCH("S-1 2025 SpaceX total CapEx ($mm)",Assumptions!$A:$A,0))</f>
        <v>0.81942187214571427</v>
      </c>
      <c r="J48" s="109">
        <f ca="1">J43 / INDEX(Assumptions!$B:$B,MATCH("S-1 2025 SpaceX total CapEx ($mm)",Assumptions!$A:$A,0))</f>
        <v>0.38016650655629552</v>
      </c>
      <c r="K48" s="109">
        <f ca="1">K43 / INDEX(Assumptions!$B:$B,MATCH("S-1 2025 SpaceX total CapEx ($mm)",Assumptions!$A:$A,0))</f>
        <v>0.65690077107122224</v>
      </c>
      <c r="L48" s="109">
        <f ca="1">L43 / INDEX(Assumptions!$B:$B,MATCH("S-1 2025 SpaceX total CapEx ($mm)",Assumptions!$A:$A,0))</f>
        <v>0.37787646589815826</v>
      </c>
      <c r="M48" s="109">
        <f ca="1">M43 / INDEX(Assumptions!$B:$B,MATCH("S-1 2025 SpaceX total CapEx ($mm)",Assumptions!$A:$A,0))</f>
        <v>0.45863412902316436</v>
      </c>
      <c r="N48" s="109">
        <f ca="1">N43 / INDEX(Assumptions!$B:$B,MATCH("S-1 2025 SpaceX total CapEx ($mm)",Assumptions!$A:$A,0))</f>
        <v>0.91194791021199517</v>
      </c>
      <c r="O48" s="109">
        <f ca="1">O43 / INDEX(Assumptions!$B:$B,MATCH("S-1 2025 SpaceX total CapEx ($mm)",Assumptions!$A:$A,0))</f>
        <v>1.4410017137533409</v>
      </c>
      <c r="P48" s="109">
        <f ca="1">P43 / INDEX(Assumptions!$B:$B,MATCH("S-1 2025 SpaceX total CapEx ($mm)",Assumptions!$A:$A,0))</f>
        <v>0.69441490895498081</v>
      </c>
      <c r="Q48" s="109">
        <f ca="1">Q43 / INDEX(Assumptions!$B:$B,MATCH("S-1 2025 SpaceX total CapEx ($mm)",Assumptions!$A:$A,0))</f>
        <v>0.80869864040445827</v>
      </c>
      <c r="R48" s="109">
        <f ca="1">R43 / INDEX(Assumptions!$B:$B,MATCH("S-1 2025 SpaceX total CapEx ($mm)",Assumptions!$A:$A,0))</f>
        <v>0.96803438384044493</v>
      </c>
      <c r="S48" s="109">
        <f ca="1">S43 / INDEX(Assumptions!$B:$B,MATCH("S-1 2025 SpaceX total CapEx ($mm)",Assumptions!$A:$A,0))</f>
        <v>2.6213361980298213</v>
      </c>
    </row>
    <row r="49" spans="1:19">
      <c r="A49" s="183" t="s">
        <v>1777</v>
      </c>
      <c r="B49" s="78"/>
      <c r="C49" s="78"/>
      <c r="D49" s="109">
        <f ca="1">(D43 - D63) / Assumptions!$B$245</f>
        <v>0.11884020604395605</v>
      </c>
      <c r="E49" s="109">
        <f ca="1">(E43 - E63) / Assumptions!$B$245</f>
        <v>0.12691659320553161</v>
      </c>
      <c r="F49" s="109">
        <f ca="1">(F43 - F63) / Assumptions!$B$245</f>
        <v>0.16605754760309149</v>
      </c>
      <c r="G49" s="109">
        <f ca="1">(G43 - G63) / Assumptions!$B$245</f>
        <v>0.37925782782462808</v>
      </c>
      <c r="H49" s="109">
        <f ca="1">(H43 - H63) / Assumptions!$B$245</f>
        <v>0.65455988769557238</v>
      </c>
      <c r="I49" s="109">
        <f ca="1">(I43 - I63) / Assumptions!$B$245</f>
        <v>0.81942187214571427</v>
      </c>
      <c r="J49" s="109">
        <f ca="1">(J43 - J63) / Assumptions!$B$245</f>
        <v>0.38016650655629552</v>
      </c>
      <c r="K49" s="109">
        <f ca="1">(K43 - K63) / Assumptions!$B$245</f>
        <v>0.65690077107122224</v>
      </c>
      <c r="L49" s="109">
        <f ca="1">(L43 - L63) / Assumptions!$B$245</f>
        <v>0.37787646589815826</v>
      </c>
      <c r="M49" s="109">
        <f ca="1">(M43 - M63) / Assumptions!$B$245</f>
        <v>0.45863412902316436</v>
      </c>
      <c r="N49" s="109">
        <f ca="1">(N43 - N63) / Assumptions!$B$245</f>
        <v>0.91194791021199517</v>
      </c>
      <c r="O49" s="109">
        <f ca="1">(O43 - O63) / Assumptions!$B$245</f>
        <v>1.4410017137533409</v>
      </c>
      <c r="P49" s="109">
        <f ca="1">(P43 - P63) / Assumptions!$B$245</f>
        <v>0.69441490895498081</v>
      </c>
      <c r="Q49" s="109">
        <f ca="1">(Q43 - Q63) / Assumptions!$B$245</f>
        <v>0.80869864040445827</v>
      </c>
      <c r="R49" s="109">
        <f ca="1">(R43 - R63) / Assumptions!$B$245</f>
        <v>0.96803438384044493</v>
      </c>
      <c r="S49" s="109">
        <f ca="1">(S43 - S63) / Assumptions!$B$245</f>
        <v>1.1696539063631546</v>
      </c>
    </row>
    <row r="50" spans="1:19">
      <c r="A50" s="13" t="s">
        <v>1778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>
      <c r="A51" s="16" t="s">
        <v>1779</v>
      </c>
      <c r="B51" s="3"/>
      <c r="C51" s="3"/>
      <c r="D51" s="77">
        <f>IF(AND(D$4&gt;=2025,D$4&lt;2025+INDEX(Assumptions!$B:$B,MATCH("Starfactory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750</v>
      </c>
      <c r="E51" s="77">
        <f>IF(AND(E$4&gt;=2025,E$4&lt;2025+INDEX(Assumptions!$B:$B,MATCH("Starfactory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750</v>
      </c>
      <c r="F51" s="77">
        <f>IF(AND(F$4&gt;=2025,F$4&lt;2025+INDEX(Assumptions!$B:$B,MATCH("Starfactory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G51" s="77">
        <f>IF(AND(G$4&gt;=2025,G$4&lt;2025+INDEX(Assumptions!$B:$B,MATCH("Starfactory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H51" s="77">
        <f>IF(AND(H$4&gt;=2025,H$4&lt;2025+INDEX(Assumptions!$B:$B,MATCH("Starfactory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I51" s="77">
        <f>IF(AND(I$4&gt;=2025,I$4&lt;2025+INDEX(Assumptions!$B:$B,MATCH("Starfactory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J51" s="77">
        <f>IF(AND(J$4&gt;=2025,J$4&lt;2025+INDEX(Assumptions!$B:$B,MATCH("Starfactory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K51" s="77">
        <f>IF(AND(K$4&gt;=2025,K$4&lt;2025+INDEX(Assumptions!$B:$B,MATCH("Starfactory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L51" s="77">
        <f>IF(AND(L$4&gt;=2025,L$4&lt;2025+INDEX(Assumptions!$B:$B,MATCH("Starfactory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M51" s="77">
        <f>IF(AND(M$4&gt;=2025,M$4&lt;2025+INDEX(Assumptions!$B:$B,MATCH("Starfactory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N51" s="77">
        <f>IF(AND(N$4&gt;=2025,N$4&lt;2025+INDEX(Assumptions!$B:$B,MATCH("Starfactory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O51" s="77">
        <f>IF(AND(O$4&gt;=2025,O$4&lt;2025+INDEX(Assumptions!$B:$B,MATCH("Starfactory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P51" s="77">
        <f>IF(AND(P$4&gt;=2025,P$4&lt;2025+INDEX(Assumptions!$B:$B,MATCH("Starfactory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Q51" s="77">
        <f>IF(AND(Q$4&gt;=2025,Q$4&lt;2025+INDEX(Assumptions!$B:$B,MATCH("Starfactory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R51" s="77">
        <f>IF(AND(R$4&gt;=2025,R$4&lt;2025+INDEX(Assumptions!$B:$B,MATCH("Starfactory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  <c r="S51" s="77">
        <f>IF(AND(S$4&gt;=2025,S$4&lt;2025+INDEX(Assumptions!$B:$B,MATCH("Starfactory build window (years)",Assumptions!$A$1:$A$257,0))),INDEX(Assumptions!$B:$B,MATCH("Starfactory build cost ($mm)",Assumptions!$A$1:$A$257,0))/INDEX(Assumptions!$B:$B,MATCH("Starfactory build window (years)",Assumptions!$A$1:$A$257,0)),0)</f>
        <v>0</v>
      </c>
    </row>
    <row r="52" spans="1:19">
      <c r="A52" s="16" t="s">
        <v>1780</v>
      </c>
      <c r="B52" s="3"/>
      <c r="C52" s="3"/>
      <c r="D52" s="77">
        <f>MIN(SUM($D51:D51),SUM($D51:D51)/INDEX(Assumptions!$B:$B,MATCH("Starship facility useful life (years)",Assumptions!$A$1:$A$257,0)))</f>
        <v>25</v>
      </c>
      <c r="E52" s="77">
        <f>MIN(SUM($D51:E51),SUM($D51:E51)/INDEX(Assumptions!$B:$B,MATCH("Starship facility useful life (years)",Assumptions!$A$1:$A$257,0)))</f>
        <v>50</v>
      </c>
      <c r="F52" s="77">
        <f>MIN(SUM($D51:F51),SUM($D51:F51)/INDEX(Assumptions!$B:$B,MATCH("Starship facility useful life (years)",Assumptions!$A$1:$A$257,0)))</f>
        <v>50</v>
      </c>
      <c r="G52" s="77">
        <f>MIN(SUM($D51:G51),SUM($D51:G51)/INDEX(Assumptions!$B:$B,MATCH("Starship facility useful life (years)",Assumptions!$A$1:$A$257,0)))</f>
        <v>50</v>
      </c>
      <c r="H52" s="77">
        <f>MIN(SUM($D51:H51),SUM($D51:H51)/INDEX(Assumptions!$B:$B,MATCH("Starship facility useful life (years)",Assumptions!$A$1:$A$257,0)))</f>
        <v>50</v>
      </c>
      <c r="I52" s="77">
        <f>MIN(SUM($D51:I51),SUM($D51:I51)/INDEX(Assumptions!$B:$B,MATCH("Starship facility useful life (years)",Assumptions!$A$1:$A$257,0)))</f>
        <v>50</v>
      </c>
      <c r="J52" s="77">
        <f>MIN(SUM($D51:J51),SUM($D51:J51)/INDEX(Assumptions!$B:$B,MATCH("Starship facility useful life (years)",Assumptions!$A$1:$A$257,0)))</f>
        <v>50</v>
      </c>
      <c r="K52" s="77">
        <f>MIN(SUM($D51:K51),SUM($D51:K51)/INDEX(Assumptions!$B:$B,MATCH("Starship facility useful life (years)",Assumptions!$A$1:$A$257,0)))</f>
        <v>50</v>
      </c>
      <c r="L52" s="77">
        <f>MIN(SUM($D51:L51),SUM($D51:L51)/INDEX(Assumptions!$B:$B,MATCH("Starship facility useful life (years)",Assumptions!$A$1:$A$257,0)))</f>
        <v>50</v>
      </c>
      <c r="M52" s="77">
        <f>MIN(SUM($D51:M51),SUM($D51:M51)/INDEX(Assumptions!$B:$B,MATCH("Starship facility useful life (years)",Assumptions!$A$1:$A$257,0)))</f>
        <v>50</v>
      </c>
      <c r="N52" s="77">
        <f>MIN(SUM($D51:N51),SUM($D51:N51)/INDEX(Assumptions!$B:$B,MATCH("Starship facility useful life (years)",Assumptions!$A$1:$A$257,0)))</f>
        <v>50</v>
      </c>
      <c r="O52" s="77">
        <f>MIN(SUM($D51:O51),SUM($D51:O51)/INDEX(Assumptions!$B:$B,MATCH("Starship facility useful life (years)",Assumptions!$A$1:$A$257,0)))</f>
        <v>50</v>
      </c>
      <c r="P52" s="77">
        <f>MIN(SUM($D51:P51),SUM($D51:P51)/INDEX(Assumptions!$B:$B,MATCH("Starship facility useful life (years)",Assumptions!$A$1:$A$257,0)))</f>
        <v>50</v>
      </c>
      <c r="Q52" s="77">
        <f>MIN(SUM($D51:Q51),SUM($D51:Q51)/INDEX(Assumptions!$B:$B,MATCH("Starship facility useful life (years)",Assumptions!$A$1:$A$257,0)))</f>
        <v>50</v>
      </c>
      <c r="R52" s="77">
        <f>MIN(SUM($D51:R51),SUM($D51:R51)/INDEX(Assumptions!$B:$B,MATCH("Starship facility useful life (years)",Assumptions!$A$1:$A$257,0)))</f>
        <v>50</v>
      </c>
      <c r="S52" s="77">
        <f>MIN(SUM($D51:S51),SUM($D51:S51)/INDEX(Assumptions!$B:$B,MATCH("Starship facility useful life (years)",Assumptions!$A$1:$A$257,0)))</f>
        <v>50</v>
      </c>
    </row>
    <row r="53" spans="1:19">
      <c r="A53" s="16" t="s">
        <v>1781</v>
      </c>
      <c r="B53" s="3"/>
      <c r="C53" s="3"/>
      <c r="D53" s="77">
        <f t="array" aca="1" ref="D53" ca="1">IFERROR(INDEX('Vehicle Build'!$D:$AC, MATCH("Boosters built (fleet)", 'Vehicle Build'!$A$1:$A$119, 0), D$5+1), 0)</f>
        <v>0</v>
      </c>
      <c r="E53" s="77">
        <f t="array" aca="1" ref="E53" ca="1">IFERROR(INDEX('Vehicle Build'!$D:$AC, MATCH("Boosters built (fleet)", 'Vehicle Build'!$A$1:$A$119, 0), E$5+1), 0)</f>
        <v>8</v>
      </c>
      <c r="F53" s="77">
        <f t="array" aca="1" ref="F53" ca="1">IFERROR(INDEX('Vehicle Build'!$D:$AC, MATCH("Boosters built (fleet)", 'Vehicle Build'!$A$1:$A$119, 0), F$5+1), 0)</f>
        <v>23</v>
      </c>
      <c r="G53" s="77">
        <f t="array" aca="1" ref="G53" ca="1">IFERROR(INDEX('Vehicle Build'!$D:$AC, MATCH("Boosters built (fleet)", 'Vehicle Build'!$A$1:$A$119, 0), G$5+1), 0)</f>
        <v>38</v>
      </c>
      <c r="H53" s="77">
        <f t="array" aca="1" ref="H53" ca="1">IFERROR(INDEX('Vehicle Build'!$D:$AC, MATCH("Boosters built (fleet)", 'Vehicle Build'!$A$1:$A$119, 0), H$5+1), 0)</f>
        <v>53</v>
      </c>
      <c r="I53" s="77">
        <f t="array" aca="1" ref="I53" ca="1">IFERROR(INDEX('Vehicle Build'!$D:$AC, MATCH("Boosters built (fleet)", 'Vehicle Build'!$A$1:$A$119, 0), I$5+1), 0)</f>
        <v>68</v>
      </c>
      <c r="J53" s="77">
        <f t="array" aca="1" ref="J53" ca="1">IFERROR(INDEX('Vehicle Build'!$D:$AC, MATCH("Boosters built (fleet)", 'Vehicle Build'!$A$1:$A$119, 0), J$5+1), 0)</f>
        <v>83</v>
      </c>
      <c r="K53" s="77">
        <f t="array" aca="1" ref="K53" ca="1">IFERROR(INDEX('Vehicle Build'!$D:$AC, MATCH("Boosters built (fleet)", 'Vehicle Build'!$A$1:$A$119, 0), K$5+1), 0)</f>
        <v>0</v>
      </c>
      <c r="L53" s="77">
        <f t="array" aca="1" ref="L53" ca="1">IFERROR(INDEX('Vehicle Build'!$D:$AC, MATCH("Boosters built (fleet)", 'Vehicle Build'!$A$1:$A$119, 0), L$5+1), 0)</f>
        <v>0</v>
      </c>
      <c r="M53" s="77">
        <f t="array" aca="1" ref="M53" ca="1">IFERROR(INDEX('Vehicle Build'!$D:$AC, MATCH("Boosters built (fleet)", 'Vehicle Build'!$A$1:$A$119, 0), M$5+1), 0)</f>
        <v>0</v>
      </c>
      <c r="N53" s="77">
        <f t="array" aca="1" ref="N53" ca="1">IFERROR(INDEX('Vehicle Build'!$D:$AC, MATCH("Boosters built (fleet)", 'Vehicle Build'!$A$1:$A$119, 0), N$5+1), 0)</f>
        <v>5.1799956661163549E-2</v>
      </c>
      <c r="O53" s="77">
        <f t="array" aca="1" ref="O53" ca="1">IFERROR(INDEX('Vehicle Build'!$D:$AC, MATCH("Boosters built (fleet)", 'Vehicle Build'!$A$1:$A$119, 0), O$5+1), 0)</f>
        <v>9.1308428781020119</v>
      </c>
      <c r="P53" s="77">
        <f t="array" aca="1" ref="P53" ca="1">IFERROR(INDEX('Vehicle Build'!$D:$AC, MATCH("Boosters built (fleet)", 'Vehicle Build'!$A$1:$A$119, 0), P$5+1), 0)</f>
        <v>0</v>
      </c>
      <c r="Q53" s="77">
        <f t="array" aca="1" ref="Q53" ca="1">IFERROR(INDEX('Vehicle Build'!$D:$AC, MATCH("Boosters built (fleet)", 'Vehicle Build'!$A$1:$A$119, 0), Q$5+1), 0)</f>
        <v>0</v>
      </c>
      <c r="R53" s="77">
        <f t="array" aca="1" ref="R53" ca="1">IFERROR(INDEX('Vehicle Build'!$D:$AC, MATCH("Boosters built (fleet)", 'Vehicle Build'!$A$1:$A$119, 0), R$5+1), 0)</f>
        <v>0</v>
      </c>
      <c r="S53" s="77">
        <f t="array" aca="1" ref="S53" ca="1">IFERROR(INDEX('Vehicle Build'!$D:$AC, MATCH("Boosters built (fleet)", 'Vehicle Build'!$A$1:$A$119, 0), S$5+1), 0)</f>
        <v>14.553465543597659</v>
      </c>
    </row>
    <row r="54" spans="1:19">
      <c r="A54" s="183" t="s">
        <v>1782</v>
      </c>
      <c r="B54" s="78"/>
      <c r="C54" s="78"/>
      <c r="D54" s="81">
        <f t="shared" ref="D54:S54" ca="1" si="11">D53+D18</f>
        <v>0</v>
      </c>
      <c r="E54" s="81">
        <f t="shared" ca="1" si="11"/>
        <v>16</v>
      </c>
      <c r="F54" s="81">
        <f t="shared" ca="1" si="11"/>
        <v>46</v>
      </c>
      <c r="G54" s="81">
        <f t="shared" ca="1" si="11"/>
        <v>76</v>
      </c>
      <c r="H54" s="81">
        <f t="shared" ca="1" si="11"/>
        <v>106</v>
      </c>
      <c r="I54" s="81">
        <f t="shared" ca="1" si="11"/>
        <v>136</v>
      </c>
      <c r="J54" s="81">
        <f t="shared" ca="1" si="11"/>
        <v>166</v>
      </c>
      <c r="K54" s="81">
        <f t="shared" ca="1" si="11"/>
        <v>98</v>
      </c>
      <c r="L54" s="81">
        <f t="shared" ca="1" si="11"/>
        <v>67.344236906469689</v>
      </c>
      <c r="M54" s="81">
        <f t="shared" ca="1" si="11"/>
        <v>54.363323400973329</v>
      </c>
      <c r="N54" s="81">
        <f t="shared" ca="1" si="11"/>
        <v>57.448639537003494</v>
      </c>
      <c r="O54" s="81">
        <f t="shared" ca="1" si="11"/>
        <v>68.544400994127443</v>
      </c>
      <c r="P54" s="81">
        <f t="shared" ca="1" si="11"/>
        <v>18.931687633903721</v>
      </c>
      <c r="Q54" s="81">
        <f t="shared" ca="1" si="11"/>
        <v>27.86791108003095</v>
      </c>
      <c r="R54" s="81">
        <f t="shared" ca="1" si="11"/>
        <v>46.673353116677589</v>
      </c>
      <c r="S54" s="81">
        <f t="shared" ca="1" si="11"/>
        <v>75.410672308275508</v>
      </c>
    </row>
    <row r="55" spans="1:1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13" t="s">
        <v>1783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>
      <c r="A57" s="25" t="s">
        <v>1784</v>
      </c>
      <c r="B57" s="3"/>
      <c r="C57" s="3"/>
      <c r="D57" s="70">
        <f ca="1">('AI - Compute'!D47 + 'AI - Compute'!D86) * Assumptions!$B$312</f>
        <v>0</v>
      </c>
      <c r="E57" s="70">
        <f ca="1">('AI - Compute'!E47 + 'AI - Compute'!E86) * Assumptions!$B$312</f>
        <v>245298.40707662964</v>
      </c>
      <c r="F57" s="70">
        <f ca="1">('AI - Compute'!F47 + 'AI - Compute'!F86) * Assumptions!$B$312</f>
        <v>666058.11376287695</v>
      </c>
      <c r="G57" s="70">
        <f ca="1">('AI - Compute'!G47 + 'AI - Compute'!G86) * Assumptions!$B$312</f>
        <v>188100</v>
      </c>
      <c r="H57" s="70">
        <f ca="1">('AI - Compute'!H47 + 'AI - Compute'!H86) * Assumptions!$B$312</f>
        <v>755081.62274674024</v>
      </c>
      <c r="I57" s="70">
        <f ca="1">('AI - Compute'!I47 + 'AI - Compute'!I86) * Assumptions!$B$312</f>
        <v>2198368.8208751236</v>
      </c>
      <c r="J57" s="70">
        <f ca="1">('AI - Compute'!J47 + 'AI - Compute'!J86) * Assumptions!$B$312</f>
        <v>4177206</v>
      </c>
      <c r="K57" s="70">
        <f ca="1">('AI - Compute'!K47 + 'AI - Compute'!K86) * Assumptions!$B$312</f>
        <v>5218911.5187552478</v>
      </c>
      <c r="L57" s="70">
        <f ca="1">('AI - Compute'!L47 + 'AI - Compute'!L86) * Assumptions!$B$312</f>
        <v>2622730</v>
      </c>
      <c r="M57" s="70">
        <f ca="1">('AI - Compute'!M47 + 'AI - Compute'!M86) * Assumptions!$B$312</f>
        <v>4002328.3658238808</v>
      </c>
      <c r="N57" s="70">
        <f ca="1">('AI - Compute'!N47 + 'AI - Compute'!N86) * Assumptions!$B$312</f>
        <v>6174941.6234109104</v>
      </c>
      <c r="O57" s="70">
        <f ca="1">('AI - Compute'!O47 + 'AI - Compute'!O86) * Assumptions!$B$312</f>
        <v>10253730.063299958</v>
      </c>
      <c r="P57" s="70">
        <f ca="1">('AI - Compute'!P47 + 'AI - Compute'!P86) * Assumptions!$B$312</f>
        <v>12413021.148906924</v>
      </c>
      <c r="Q57" s="70">
        <f ca="1">('AI - Compute'!Q47 + 'AI - Compute'!Q86) * Assumptions!$B$312</f>
        <v>12518197.493027139</v>
      </c>
      <c r="R57" s="70">
        <f ca="1">('AI - Compute'!R47 + 'AI - Compute'!R86) * Assumptions!$B$312</f>
        <v>17361987.544409487</v>
      </c>
      <c r="S57" s="70">
        <f ca="1">('AI - Compute'!S47 + 'AI - Compute'!S86) * Assumptions!$B$312</f>
        <v>22170934.420834485</v>
      </c>
    </row>
    <row r="58" spans="1:19">
      <c r="A58" s="25" t="s">
        <v>1785</v>
      </c>
      <c r="B58" s="3"/>
      <c r="C58" s="3"/>
      <c r="D58" s="70">
        <f ca="1">IFERROR(D57 / Assumptions!$B$317, 0)</f>
        <v>0</v>
      </c>
      <c r="E58" s="70">
        <f ca="1">IFERROR(E57 / Assumptions!$B$317, 0)</f>
        <v>560.29786906493746</v>
      </c>
      <c r="F58" s="70">
        <f ca="1">IFERROR(F57 / Assumptions!$B$317, 0)</f>
        <v>1521.3753169549495</v>
      </c>
      <c r="G58" s="70">
        <f ca="1">IFERROR(G57 / Assumptions!$B$317, 0)</f>
        <v>429.64824120603015</v>
      </c>
      <c r="H58" s="70">
        <f ca="1">IFERROR(H57 / Assumptions!$B$317, 0)</f>
        <v>1724.718188092143</v>
      </c>
      <c r="I58" s="70">
        <f ca="1">IFERROR(I57 / Assumptions!$B$317, 0)</f>
        <v>5021.3997735841103</v>
      </c>
      <c r="J58" s="70">
        <f ca="1">IFERROR(J57 / Assumptions!$B$317, 0)</f>
        <v>9541.3567839195985</v>
      </c>
      <c r="K58" s="70">
        <f ca="1">IFERROR(K57 / Assumptions!$B$317, 0)</f>
        <v>11920.766374498053</v>
      </c>
      <c r="L58" s="70">
        <f ca="1">IFERROR(L57 / Assumptions!$B$317, 0)</f>
        <v>5990.7035175879391</v>
      </c>
      <c r="M58" s="70">
        <f ca="1">IFERROR(M57 / Assumptions!$B$317, 0)</f>
        <v>9141.9103833345835</v>
      </c>
      <c r="N58" s="70">
        <f ca="1">IFERROR(N57 / Assumptions!$B$317, 0)</f>
        <v>14104.480638215875</v>
      </c>
      <c r="O58" s="70">
        <f ca="1">IFERROR(O57 / Assumptions!$B$317, 0)</f>
        <v>23421.037147784278</v>
      </c>
      <c r="P58" s="70">
        <f ca="1">IFERROR(P57 / Assumptions!$B$317, 0)</f>
        <v>28353.177590011244</v>
      </c>
      <c r="Q58" s="70">
        <f ca="1">IFERROR(Q57 / Assumptions!$B$317, 0)</f>
        <v>28593.415927426082</v>
      </c>
      <c r="R58" s="70">
        <f ca="1">IFERROR(R57 / Assumptions!$B$317, 0)</f>
        <v>39657.349347668998</v>
      </c>
      <c r="S58" s="70">
        <f ca="1">IFERROR(S57 / Assumptions!$B$317, 0)</f>
        <v>50641.695799073743</v>
      </c>
    </row>
    <row r="59" spans="1:19">
      <c r="A59" s="25" t="s">
        <v>1786</v>
      </c>
      <c r="B59" s="3"/>
      <c r="C59" s="3"/>
      <c r="D59" s="70">
        <f ca="1">MAX(0, CEILING(D58, Assumptions!$B$315))</f>
        <v>0</v>
      </c>
      <c r="E59" s="70">
        <f ca="1">MAX(D59, CEILING(E58, Assumptions!$B$315*Assumptions!$B$326))</f>
        <v>50000</v>
      </c>
      <c r="F59" s="70">
        <f ca="1">MAX(E59, CEILING(F58, Assumptions!$B$315*Assumptions!$B$326))</f>
        <v>50000</v>
      </c>
      <c r="G59" s="70">
        <f ca="1">MAX(F59, CEILING(G58, Assumptions!$B$315*Assumptions!$B$326))</f>
        <v>50000</v>
      </c>
      <c r="H59" s="70">
        <f ca="1">MAX(G59, CEILING(H58, Assumptions!$B$315*Assumptions!$B$326))</f>
        <v>50000</v>
      </c>
      <c r="I59" s="70">
        <f ca="1">MAX(H59, CEILING(I58, Assumptions!$B$315*Assumptions!$B$326))</f>
        <v>50000</v>
      </c>
      <c r="J59" s="70">
        <f ca="1">MAX(I59, CEILING(J58, Assumptions!$B$315*Assumptions!$B$326))</f>
        <v>50000</v>
      </c>
      <c r="K59" s="70">
        <f ca="1">MAX(J59, CEILING(K58, Assumptions!$B$315*Assumptions!$B$326))</f>
        <v>50000</v>
      </c>
      <c r="L59" s="70">
        <f ca="1">MAX(K59, CEILING(L58, Assumptions!$B$315*Assumptions!$B$326))</f>
        <v>50000</v>
      </c>
      <c r="M59" s="70">
        <f ca="1">MAX(L59, CEILING(M58, Assumptions!$B$315*Assumptions!$B$326))</f>
        <v>50000</v>
      </c>
      <c r="N59" s="70">
        <f ca="1">MAX(M59, CEILING(N58, Assumptions!$B$315*Assumptions!$B$326))</f>
        <v>50000</v>
      </c>
      <c r="O59" s="70">
        <f ca="1">MAX(N59, CEILING(O58, Assumptions!$B$315*Assumptions!$B$326))</f>
        <v>50000</v>
      </c>
      <c r="P59" s="70">
        <f ca="1">MAX(O59, CEILING(P58, Assumptions!$B$315*Assumptions!$B$326))</f>
        <v>50000</v>
      </c>
      <c r="Q59" s="70">
        <f ca="1">MAX(P59, CEILING(Q58, Assumptions!$B$315*Assumptions!$B$326))</f>
        <v>50000</v>
      </c>
      <c r="R59" s="70">
        <f ca="1">MAX(Q59, CEILING(R58, Assumptions!$B$315*Assumptions!$B$326))</f>
        <v>50000</v>
      </c>
      <c r="S59" s="70">
        <f ca="1">MAX(R59, CEILING(S58, Assumptions!$B$315*Assumptions!$B$326))</f>
        <v>100000</v>
      </c>
    </row>
    <row r="60" spans="1:19">
      <c r="A60" s="25" t="s">
        <v>1787</v>
      </c>
      <c r="B60" s="3"/>
      <c r="C60" s="3"/>
      <c r="D60" s="29">
        <f ca="1">D59</f>
        <v>0</v>
      </c>
      <c r="E60" s="29">
        <f t="shared" ref="E60:S60" ca="1" si="12">E59 - D59</f>
        <v>50000</v>
      </c>
      <c r="F60" s="29">
        <f t="shared" ca="1" si="12"/>
        <v>0</v>
      </c>
      <c r="G60" s="29">
        <f t="shared" ca="1" si="12"/>
        <v>0</v>
      </c>
      <c r="H60" s="29">
        <f t="shared" ca="1" si="12"/>
        <v>0</v>
      </c>
      <c r="I60" s="29">
        <f t="shared" ca="1" si="12"/>
        <v>0</v>
      </c>
      <c r="J60" s="29">
        <f t="shared" ca="1" si="12"/>
        <v>0</v>
      </c>
      <c r="K60" s="29">
        <f t="shared" ca="1" si="12"/>
        <v>0</v>
      </c>
      <c r="L60" s="29">
        <f t="shared" ca="1" si="12"/>
        <v>0</v>
      </c>
      <c r="M60" s="29">
        <f t="shared" ca="1" si="12"/>
        <v>0</v>
      </c>
      <c r="N60" s="29">
        <f t="shared" ca="1" si="12"/>
        <v>0</v>
      </c>
      <c r="O60" s="29">
        <f t="shared" ca="1" si="12"/>
        <v>0</v>
      </c>
      <c r="P60" s="29">
        <f t="shared" ca="1" si="12"/>
        <v>0</v>
      </c>
      <c r="Q60" s="29">
        <f t="shared" ca="1" si="12"/>
        <v>0</v>
      </c>
      <c r="R60" s="29">
        <f t="shared" ca="1" si="12"/>
        <v>0</v>
      </c>
      <c r="S60" s="29">
        <f t="shared" ca="1" si="12"/>
        <v>50000</v>
      </c>
    </row>
    <row r="61" spans="1:19" s="184" customFormat="1">
      <c r="A61" s="25" t="s">
        <v>1788</v>
      </c>
      <c r="B61" s="3"/>
      <c r="C61" s="3"/>
      <c r="D61" s="80">
        <f ca="1">D60 * Assumptions!$B$314 / 1000000</f>
        <v>0</v>
      </c>
      <c r="E61" s="80">
        <f ca="1">E60 * Assumptions!$B$314 / 1000000</f>
        <v>69680.75</v>
      </c>
      <c r="F61" s="80">
        <f ca="1">F60 * Assumptions!$B$314 / 1000000</f>
        <v>0</v>
      </c>
      <c r="G61" s="80">
        <f ca="1">G60 * Assumptions!$B$314 / 1000000</f>
        <v>0</v>
      </c>
      <c r="H61" s="80">
        <f ca="1">H60 * Assumptions!$B$314 / 1000000</f>
        <v>0</v>
      </c>
      <c r="I61" s="80">
        <f ca="1">I60 * Assumptions!$B$314 / 1000000</f>
        <v>0</v>
      </c>
      <c r="J61" s="80">
        <f ca="1">J60 * Assumptions!$B$314 / 1000000</f>
        <v>0</v>
      </c>
      <c r="K61" s="80">
        <f ca="1">K60 * Assumptions!$B$314 / 1000000</f>
        <v>0</v>
      </c>
      <c r="L61" s="80">
        <f ca="1">L60 * Assumptions!$B$314 / 1000000</f>
        <v>0</v>
      </c>
      <c r="M61" s="80">
        <f ca="1">M60 * Assumptions!$B$314 / 1000000</f>
        <v>0</v>
      </c>
      <c r="N61" s="80">
        <f ca="1">N60 * Assumptions!$B$314 / 1000000</f>
        <v>0</v>
      </c>
      <c r="O61" s="80">
        <f ca="1">O60 * Assumptions!$B$314 / 1000000</f>
        <v>0</v>
      </c>
      <c r="P61" s="80">
        <f ca="1">P60 * Assumptions!$B$314 / 1000000</f>
        <v>0</v>
      </c>
      <c r="Q61" s="80">
        <f ca="1">Q60 * Assumptions!$B$314 / 1000000</f>
        <v>0</v>
      </c>
      <c r="R61" s="80">
        <f ca="1">R60 * Assumptions!$B$314 / 1000000</f>
        <v>0</v>
      </c>
      <c r="S61" s="80">
        <f ca="1">S60 * Assumptions!$B$314 / 1000000</f>
        <v>69680.75</v>
      </c>
    </row>
    <row r="62" spans="1:19" s="184" customFormat="1">
      <c r="A62" s="25" t="s">
        <v>1789</v>
      </c>
      <c r="B62" s="3"/>
      <c r="C62" s="3"/>
      <c r="D62" s="80">
        <f ca="1">SUM($D61:D61) / Assumptions!$B$318</f>
        <v>0</v>
      </c>
      <c r="E62" s="80">
        <f ca="1">SUM($D61:E61) / Assumptions!$B$318</f>
        <v>23226.916666666668</v>
      </c>
      <c r="F62" s="80">
        <f ca="1">SUM($D61:F61) / Assumptions!$B$318</f>
        <v>23226.916666666668</v>
      </c>
      <c r="G62" s="80">
        <f ca="1">SUM(E61:G61) / Assumptions!$B$318</f>
        <v>23226.916666666668</v>
      </c>
      <c r="H62" s="80">
        <f ca="1">SUM(F61:H61) / Assumptions!$B$318</f>
        <v>0</v>
      </c>
      <c r="I62" s="80">
        <f ca="1">SUM(G61:I61) / Assumptions!$B$318</f>
        <v>0</v>
      </c>
      <c r="J62" s="80">
        <f ca="1">SUM(H61:J61) / Assumptions!$B$318</f>
        <v>0</v>
      </c>
      <c r="K62" s="80">
        <f ca="1">SUM(I61:K61) / Assumptions!$B$318</f>
        <v>0</v>
      </c>
      <c r="L62" s="80">
        <f ca="1">SUM(J61:L61) / Assumptions!$B$318</f>
        <v>0</v>
      </c>
      <c r="M62" s="80">
        <f ca="1">SUM(K61:M61) / Assumptions!$B$318</f>
        <v>0</v>
      </c>
      <c r="N62" s="80">
        <f ca="1">SUM(L61:N61) / Assumptions!$B$318</f>
        <v>0</v>
      </c>
      <c r="O62" s="80">
        <f ca="1">SUM(M61:O61) / Assumptions!$B$318</f>
        <v>0</v>
      </c>
      <c r="P62" s="80">
        <f ca="1">SUM(N61:P61) / Assumptions!$B$318</f>
        <v>0</v>
      </c>
      <c r="Q62" s="80">
        <f ca="1">SUM(O61:Q61) / Assumptions!$B$318</f>
        <v>0</v>
      </c>
      <c r="R62" s="80">
        <f ca="1">SUM(P61:R61) / Assumptions!$B$318</f>
        <v>0</v>
      </c>
      <c r="S62" s="80">
        <f ca="1">SUM(Q61:S61) / Assumptions!$B$318</f>
        <v>23226.916666666668</v>
      </c>
    </row>
    <row r="63" spans="1:19">
      <c r="A63" s="118" t="s">
        <v>1790</v>
      </c>
      <c r="B63" s="78"/>
      <c r="C63" s="78"/>
      <c r="D63" s="97">
        <f ca="1">D62*Assumptions!$B$326</f>
        <v>0</v>
      </c>
      <c r="E63" s="97">
        <f ca="1">E62*Assumptions!$B$326</f>
        <v>11613.458333333334</v>
      </c>
      <c r="F63" s="97">
        <f ca="1">F62*Assumptions!$B$326</f>
        <v>11613.458333333334</v>
      </c>
      <c r="G63" s="97">
        <f ca="1">G62*Assumptions!$B$326</f>
        <v>11613.458333333334</v>
      </c>
      <c r="H63" s="97">
        <f ca="1">H62*Assumptions!$B$326</f>
        <v>0</v>
      </c>
      <c r="I63" s="97">
        <f ca="1">I62*Assumptions!$B$326</f>
        <v>0</v>
      </c>
      <c r="J63" s="97">
        <f ca="1">J62*Assumptions!$B$326</f>
        <v>0</v>
      </c>
      <c r="K63" s="97">
        <f ca="1">K62*Assumptions!$B$326</f>
        <v>0</v>
      </c>
      <c r="L63" s="97">
        <f ca="1">L62*Assumptions!$B$326</f>
        <v>0</v>
      </c>
      <c r="M63" s="97">
        <f ca="1">M62*Assumptions!$B$326</f>
        <v>0</v>
      </c>
      <c r="N63" s="97">
        <f ca="1">N62*Assumptions!$B$326</f>
        <v>0</v>
      </c>
      <c r="O63" s="97">
        <f ca="1">O62*Assumptions!$B$326</f>
        <v>0</v>
      </c>
      <c r="P63" s="97">
        <f ca="1">P62*Assumptions!$B$326</f>
        <v>0</v>
      </c>
      <c r="Q63" s="97">
        <f ca="1">Q62*Assumptions!$B$326</f>
        <v>0</v>
      </c>
      <c r="R63" s="97">
        <f ca="1">R62*Assumptions!$B$326</f>
        <v>0</v>
      </c>
      <c r="S63" s="97">
        <f ca="1">S62*Assumptions!$B$326</f>
        <v>11613.458333333334</v>
      </c>
    </row>
    <row r="64" spans="1:19">
      <c r="A64" s="118" t="s">
        <v>1791</v>
      </c>
      <c r="B64" s="78"/>
      <c r="C64" s="78"/>
      <c r="D64" s="97">
        <f ca="1">( SUM($D$63:D63) - IF( D$5 &gt;= ROUND(Assumptions!$B$316,0), SUM( $D$63    : INDEX($D$63:D63, MAX(1, D$5 - ROUND(Assumptions!$B$316,0) + 1)) ), 0 ) ) / Assumptions!$B$316</f>
        <v>0</v>
      </c>
      <c r="E64" s="97">
        <f ca="1">( SUM($D$63:E63) - IF( E$5 &gt;= ROUND(Assumptions!$B$316,0), SUM( $D$63    : INDEX($D$63:E63, MAX(1, E$5 - ROUND(Assumptions!$B$316,0) + 1)) ), 0 ) ) / Assumptions!$B$316</f>
        <v>1451.6822916666667</v>
      </c>
      <c r="F64" s="97">
        <f ca="1">( SUM($D$63:F63) - IF( F$5 &gt;= ROUND(Assumptions!$B$316,0), SUM( $D$63    : INDEX($D$63:F63, MAX(1, F$5 - ROUND(Assumptions!$B$316,0) + 1)) ), 0 ) ) / Assumptions!$B$316</f>
        <v>2903.3645833333335</v>
      </c>
      <c r="G64" s="97">
        <f ca="1">( SUM($D$63:G63) - IF( G$5 &gt;= ROUND(Assumptions!$B$316,0), SUM( $D$63    : INDEX($D$63:G63, MAX(1, G$5 - ROUND(Assumptions!$B$316,0) + 1)) ), 0 ) ) / Assumptions!$B$316</f>
        <v>4355.046875</v>
      </c>
      <c r="H64" s="97">
        <f ca="1">( SUM($D$63:H63) - IF( H$5 &gt;= ROUND(Assumptions!$B$316,0), SUM( $D$63    : INDEX($D$63:H63, MAX(1, H$5 - ROUND(Assumptions!$B$316,0) + 1)) ), 0 ) ) / Assumptions!$B$316</f>
        <v>4355.046875</v>
      </c>
      <c r="I64" s="97">
        <f ca="1">( SUM($D$63:I63) - IF( I$5 &gt;= ROUND(Assumptions!$B$316,0), SUM( $D$63    : INDEX($D$63:I63, MAX(1, I$5 - ROUND(Assumptions!$B$316,0) + 1)) ), 0 ) ) / Assumptions!$B$316</f>
        <v>4355.046875</v>
      </c>
      <c r="J64" s="97">
        <f ca="1">( SUM($D$63:J63) - IF( J$5 &gt;= ROUND(Assumptions!$B$316,0), SUM( $D$63    : INDEX($D$63:J63, MAX(1, J$5 - ROUND(Assumptions!$B$316,0) + 1)) ), 0 ) ) / Assumptions!$B$316</f>
        <v>4355.046875</v>
      </c>
      <c r="K64" s="97">
        <f ca="1">( SUM($D$63:K63) - IF( K$5 &gt;= ROUND(Assumptions!$B$316,0), SUM( $D$63    : INDEX($D$63:K63, MAX(1, K$5 - ROUND(Assumptions!$B$316,0) + 1)) ), 0 ) ) / Assumptions!$B$316</f>
        <v>4355.046875</v>
      </c>
      <c r="L64" s="97">
        <f ca="1">( SUM($D$63:L63) - IF( L$5 &gt;= ROUND(Assumptions!$B$316,0), SUM( $D$63    : INDEX($D$63:L63, MAX(1, L$5 - ROUND(Assumptions!$B$316,0) + 1)) ), 0 ) ) / Assumptions!$B$316</f>
        <v>4355.046875</v>
      </c>
      <c r="M64" s="97">
        <f ca="1">( SUM($D$63:M63) - IF( M$5 &gt;= ROUND(Assumptions!$B$316,0), SUM( $D$63    : INDEX($D$63:M63, MAX(1, M$5 - ROUND(Assumptions!$B$316,0) + 1)) ), 0 ) ) / Assumptions!$B$316</f>
        <v>2903.364583333333</v>
      </c>
      <c r="N64" s="97">
        <f ca="1">( SUM($D$63:N63) - IF( N$5 &gt;= ROUND(Assumptions!$B$316,0), SUM( $D$63    : INDEX($D$63:N63, MAX(1, N$5 - ROUND(Assumptions!$B$316,0) + 1)) ), 0 ) ) / Assumptions!$B$316</f>
        <v>1451.6822916666665</v>
      </c>
      <c r="O64" s="97">
        <f ca="1">( SUM($D$63:O63) - IF( O$5 &gt;= ROUND(Assumptions!$B$316,0), SUM( $D$63    : INDEX($D$63:O63, MAX(1, O$5 - ROUND(Assumptions!$B$316,0) + 1)) ), 0 ) ) / Assumptions!$B$316</f>
        <v>0</v>
      </c>
      <c r="P64" s="97">
        <f ca="1">( SUM($D$63:P63) - IF( P$5 &gt;= ROUND(Assumptions!$B$316,0), SUM( $D$63    : INDEX($D$63:P63, MAX(1, P$5 - ROUND(Assumptions!$B$316,0) + 1)) ), 0 ) ) / Assumptions!$B$316</f>
        <v>0</v>
      </c>
      <c r="Q64" s="97">
        <f ca="1">( SUM($D$63:Q63) - IF( Q$5 &gt;= ROUND(Assumptions!$B$316,0), SUM( $D$63    : INDEX($D$63:Q63, MAX(1, Q$5 - ROUND(Assumptions!$B$316,0) + 1)) ), 0 ) ) / Assumptions!$B$316</f>
        <v>0</v>
      </c>
      <c r="R64" s="97">
        <f ca="1">( SUM($D$63:R63) - IF( R$5 &gt;= ROUND(Assumptions!$B$316,0), SUM( $D$63    : INDEX($D$63:R63, MAX(1, R$5 - ROUND(Assumptions!$B$316,0) + 1)) ), 0 ) ) / Assumptions!$B$316</f>
        <v>0</v>
      </c>
      <c r="S64" s="97">
        <f ca="1">( SUM($D$63:S63) - IF( S$5 &gt;= ROUND(Assumptions!$B$316,0), SUM( $D$63    : INDEX($D$63:S63, MAX(1, S$5 - ROUND(Assumptions!$B$316,0) + 1)) ), 0 ) ) / Assumptions!$B$316</f>
        <v>1451.682291666667</v>
      </c>
    </row>
    <row r="65" spans="1:19">
      <c r="A65" s="3"/>
      <c r="B65" s="3"/>
      <c r="C65" s="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>
      <c r="A66" s="25" t="s">
        <v>1792</v>
      </c>
      <c r="B66" s="3"/>
      <c r="C66" s="3"/>
      <c r="D66" s="70">
        <f ca="1">D57 - ( 'AI - Compute'!D47 + 'AI - Compute'!D86 ) * Assumptions!$B$312</f>
        <v>0</v>
      </c>
      <c r="E66" s="70">
        <f ca="1">E57 - ( 'AI - Compute'!E47 + 'AI - Compute'!E86 ) * Assumptions!$B$312</f>
        <v>0</v>
      </c>
      <c r="F66" s="70">
        <f ca="1">F57 - ( 'AI - Compute'!F47 + 'AI - Compute'!F86 ) * Assumptions!$B$312</f>
        <v>0</v>
      </c>
      <c r="G66" s="70">
        <f ca="1">G57 - ( 'AI - Compute'!G47 + 'AI - Compute'!G86 ) * Assumptions!$B$312</f>
        <v>0</v>
      </c>
      <c r="H66" s="70">
        <f ca="1">H57 - ( 'AI - Compute'!H47 + 'AI - Compute'!H86 ) * Assumptions!$B$312</f>
        <v>0</v>
      </c>
      <c r="I66" s="70">
        <f ca="1">I57 - ( 'AI - Compute'!I47 + 'AI - Compute'!I86 ) * Assumptions!$B$312</f>
        <v>0</v>
      </c>
      <c r="J66" s="70">
        <f ca="1">J57 - ( 'AI - Compute'!J47 + 'AI - Compute'!J86 ) * Assumptions!$B$312</f>
        <v>0</v>
      </c>
      <c r="K66" s="70">
        <f ca="1">K57 - ( 'AI - Compute'!K47 + 'AI - Compute'!K86 ) * Assumptions!$B$312</f>
        <v>0</v>
      </c>
      <c r="L66" s="70">
        <f ca="1">L57 - ( 'AI - Compute'!L47 + 'AI - Compute'!L86 ) * Assumptions!$B$312</f>
        <v>0</v>
      </c>
      <c r="M66" s="70">
        <f ca="1">M57 - ( 'AI - Compute'!M47 + 'AI - Compute'!M86 ) * Assumptions!$B$312</f>
        <v>0</v>
      </c>
      <c r="N66" s="70">
        <f ca="1">N57 - ( 'AI - Compute'!N47 + 'AI - Compute'!N86 ) * Assumptions!$B$312</f>
        <v>0</v>
      </c>
      <c r="O66" s="70">
        <f ca="1">O57 - ( 'AI - Compute'!O47 + 'AI - Compute'!O86 ) * Assumptions!$B$312</f>
        <v>0</v>
      </c>
      <c r="P66" s="70">
        <f ca="1">P57 - ( 'AI - Compute'!P47 + 'AI - Compute'!P86 ) * Assumptions!$B$312</f>
        <v>0</v>
      </c>
      <c r="Q66" s="70">
        <f ca="1">Q57 - ( 'AI - Compute'!Q47 + 'AI - Compute'!Q86 ) * Assumptions!$B$312</f>
        <v>0</v>
      </c>
      <c r="R66" s="70">
        <f ca="1">R57 - ( 'AI - Compute'!R47 + 'AI - Compute'!R86 ) * Assumptions!$B$312</f>
        <v>0</v>
      </c>
      <c r="S66" s="70">
        <f ca="1">S57 - ( 'AI - Compute'!S47 + 'AI - Compute'!S86 ) * Assumptions!$B$312</f>
        <v>0</v>
      </c>
    </row>
    <row r="67" spans="1:19">
      <c r="A67" s="16" t="s">
        <v>1793</v>
      </c>
      <c r="B67" s="3"/>
      <c r="C67" s="3"/>
      <c r="D67" s="70">
        <f ca="1">'AI - Compute'!D47 + 'AI - Compute'!D86</f>
        <v>0</v>
      </c>
      <c r="E67" s="70">
        <f ca="1">'AI - Compute'!E47 + 'AI - Compute'!E86</f>
        <v>245298.40707662964</v>
      </c>
      <c r="F67" s="70">
        <f ca="1">'AI - Compute'!F47 + 'AI - Compute'!F86</f>
        <v>666058.11376287695</v>
      </c>
      <c r="G67" s="70">
        <f ca="1">'AI - Compute'!G47 + 'AI - Compute'!G86</f>
        <v>188100</v>
      </c>
      <c r="H67" s="70">
        <f ca="1">'AI - Compute'!H47 + 'AI - Compute'!H86</f>
        <v>755081.62274674024</v>
      </c>
      <c r="I67" s="70">
        <f ca="1">'AI - Compute'!I47 + 'AI - Compute'!I86</f>
        <v>2198368.8208751236</v>
      </c>
      <c r="J67" s="70">
        <f ca="1">'AI - Compute'!J47 + 'AI - Compute'!J86</f>
        <v>4177206</v>
      </c>
      <c r="K67" s="70">
        <f ca="1">'AI - Compute'!K47 + 'AI - Compute'!K86</f>
        <v>5218911.5187552478</v>
      </c>
      <c r="L67" s="70">
        <f ca="1">'AI - Compute'!L47 + 'AI - Compute'!L86</f>
        <v>2622730</v>
      </c>
      <c r="M67" s="70">
        <f ca="1">'AI - Compute'!M47 + 'AI - Compute'!M86</f>
        <v>4002328.3658238808</v>
      </c>
      <c r="N67" s="70">
        <f ca="1">'AI - Compute'!N47 + 'AI - Compute'!N86</f>
        <v>6174941.6234109104</v>
      </c>
      <c r="O67" s="70">
        <f ca="1">'AI - Compute'!O47 + 'AI - Compute'!O86</f>
        <v>10253730.063299958</v>
      </c>
      <c r="P67" s="70">
        <f ca="1">'AI - Compute'!P47 + 'AI - Compute'!P86</f>
        <v>12413021.148906924</v>
      </c>
      <c r="Q67" s="70">
        <f ca="1">'AI - Compute'!Q47 + 'AI - Compute'!Q86</f>
        <v>12518197.493027139</v>
      </c>
      <c r="R67" s="70">
        <f ca="1">'AI - Compute'!R47 + 'AI - Compute'!R86</f>
        <v>17361987.544409487</v>
      </c>
      <c r="S67" s="70">
        <f ca="1">'AI - Compute'!S47 + 'AI - Compute'!S86</f>
        <v>22170934.420834485</v>
      </c>
    </row>
    <row r="68" spans="1:19">
      <c r="A68" s="16" t="s">
        <v>1794</v>
      </c>
      <c r="B68" s="3"/>
      <c r="C68" s="3"/>
      <c r="D68" s="90">
        <f t="shared" ref="D68:S68" ca="1" si="13">D62</f>
        <v>0</v>
      </c>
      <c r="E68" s="90">
        <f t="shared" ca="1" si="13"/>
        <v>23226.916666666668</v>
      </c>
      <c r="F68" s="90">
        <f t="shared" ca="1" si="13"/>
        <v>23226.916666666668</v>
      </c>
      <c r="G68" s="90">
        <f t="shared" ca="1" si="13"/>
        <v>23226.916666666668</v>
      </c>
      <c r="H68" s="90">
        <f t="shared" ca="1" si="13"/>
        <v>0</v>
      </c>
      <c r="I68" s="90">
        <f t="shared" ca="1" si="13"/>
        <v>0</v>
      </c>
      <c r="J68" s="90">
        <f t="shared" ca="1" si="13"/>
        <v>0</v>
      </c>
      <c r="K68" s="90">
        <f t="shared" ca="1" si="13"/>
        <v>0</v>
      </c>
      <c r="L68" s="90">
        <f t="shared" ca="1" si="13"/>
        <v>0</v>
      </c>
      <c r="M68" s="90">
        <f t="shared" ca="1" si="13"/>
        <v>0</v>
      </c>
      <c r="N68" s="90">
        <f t="shared" ca="1" si="13"/>
        <v>0</v>
      </c>
      <c r="O68" s="90">
        <f t="shared" ca="1" si="13"/>
        <v>0</v>
      </c>
      <c r="P68" s="90">
        <f t="shared" ca="1" si="13"/>
        <v>0</v>
      </c>
      <c r="Q68" s="90">
        <f t="shared" ca="1" si="13"/>
        <v>0</v>
      </c>
      <c r="R68" s="90">
        <f t="shared" ca="1" si="13"/>
        <v>0</v>
      </c>
      <c r="S68" s="90">
        <f t="shared" ca="1" si="13"/>
        <v>23226.916666666668</v>
      </c>
    </row>
    <row r="69" spans="1:19">
      <c r="A69" s="16" t="s">
        <v>1795</v>
      </c>
      <c r="B69" s="3"/>
      <c r="C69" s="3"/>
      <c r="D69" s="90">
        <f t="shared" ref="D69:S69" ca="1" si="14">D62-D63</f>
        <v>0</v>
      </c>
      <c r="E69" s="90">
        <f t="shared" ca="1" si="14"/>
        <v>11613.458333333334</v>
      </c>
      <c r="F69" s="90">
        <f t="shared" ca="1" si="14"/>
        <v>11613.458333333334</v>
      </c>
      <c r="G69" s="90">
        <f t="shared" ca="1" si="14"/>
        <v>11613.458333333334</v>
      </c>
      <c r="H69" s="90">
        <f t="shared" ca="1" si="14"/>
        <v>0</v>
      </c>
      <c r="I69" s="90">
        <f t="shared" ca="1" si="14"/>
        <v>0</v>
      </c>
      <c r="J69" s="90">
        <f t="shared" ca="1" si="14"/>
        <v>0</v>
      </c>
      <c r="K69" s="90">
        <f t="shared" ca="1" si="14"/>
        <v>0</v>
      </c>
      <c r="L69" s="90">
        <f t="shared" ca="1" si="14"/>
        <v>0</v>
      </c>
      <c r="M69" s="90">
        <f t="shared" ca="1" si="14"/>
        <v>0</v>
      </c>
      <c r="N69" s="90">
        <f t="shared" ca="1" si="14"/>
        <v>0</v>
      </c>
      <c r="O69" s="90">
        <f t="shared" ca="1" si="14"/>
        <v>0</v>
      </c>
      <c r="P69" s="90">
        <f t="shared" ca="1" si="14"/>
        <v>0</v>
      </c>
      <c r="Q69" s="90">
        <f t="shared" ca="1" si="14"/>
        <v>0</v>
      </c>
      <c r="R69" s="90">
        <f t="shared" ca="1" si="14"/>
        <v>0</v>
      </c>
      <c r="S69" s="90">
        <f t="shared" ca="1" si="14"/>
        <v>11613.458333333334</v>
      </c>
    </row>
    <row r="70" spans="1:19">
      <c r="A70" s="13" t="s">
        <v>1796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>
      <c r="A71" s="16" t="s">
        <v>1797</v>
      </c>
      <c r="B71" s="3"/>
      <c r="C71" s="3"/>
      <c r="D71" s="70">
        <f t="array" ref="D71">IF(D$4=2025,INDEX('Group P&amp;L'!$D:$AC,MATCH("Group Revenue ($mm)",'Group P&amp;L'!$A:$A,0),D$5+1),INDEX('Group P&amp;L'!$D:$AC,MATCH("Group Revenue ($mm)",'Group P&amp;L'!$A:$A,0),D$5))*INDEX(Assumptions!$B:$B,MATCH("Corporate, IT &amp; HQ CapEx (% of Group revenue)",Assumptions!$A:$A,0))</f>
        <v>653.59</v>
      </c>
      <c r="E71" s="70">
        <f t="array" ref="E71">IF(E$4=2025,INDEX('Group P&amp;L'!$D:$AC,MATCH("Group Revenue ($mm)",'Group P&amp;L'!$A:$A,0),E$5+1),INDEX('Group P&amp;L'!$D:$AC,MATCH("Group Revenue ($mm)",'Group P&amp;L'!$A:$A,0),E$5))*INDEX(Assumptions!$B:$B,MATCH("Corporate, IT &amp; HQ CapEx (% of Group revenue)",Assumptions!$A:$A,0))</f>
        <v>653.59</v>
      </c>
      <c r="F71" s="70">
        <f t="array" aca="1" ref="F71" ca="1">IF(F$4=2025,INDEX('Group P&amp;L'!$D:$AC,MATCH("Group Revenue ($mm)",'Group P&amp;L'!$A:$A,0),F$5+1),INDEX('Group P&amp;L'!$D:$AC,MATCH("Group Revenue ($mm)",'Group P&amp;L'!$A:$A,0),F$5))*INDEX(Assumptions!$B:$B,MATCH("Corporate, IT &amp; HQ CapEx (% of Group revenue)",Assumptions!$A:$A,0))</f>
        <v>786.67514529280515</v>
      </c>
      <c r="G71" s="70">
        <f t="array" aca="1" ref="G71" ca="1">IF(G$4=2025,INDEX('Group P&amp;L'!$D:$AC,MATCH("Group Revenue ($mm)",'Group P&amp;L'!$A:$A,0),G$5+1),INDEX('Group P&amp;L'!$D:$AC,MATCH("Group Revenue ($mm)",'Group P&amp;L'!$A:$A,0),G$5))*INDEX(Assumptions!$B:$B,MATCH("Corporate, IT &amp; HQ CapEx (% of Group revenue)",Assumptions!$A:$A,0))</f>
        <v>2607.5826617693706</v>
      </c>
      <c r="H71" s="70">
        <f t="array" aca="1" ref="H71" ca="1">IF(H$4=2025,INDEX('Group P&amp;L'!$D:$AC,MATCH("Group Revenue ($mm)",'Group P&amp;L'!$A:$A,0),H$5+1),INDEX('Group P&amp;L'!$D:$AC,MATCH("Group Revenue ($mm)",'Group P&amp;L'!$A:$A,0),H$5))*INDEX(Assumptions!$B:$B,MATCH("Corporate, IT &amp; HQ CapEx (% of Group revenue)",Assumptions!$A:$A,0))</f>
        <v>4614.8604181215323</v>
      </c>
      <c r="I71" s="70">
        <f t="array" aca="1" ref="I71" ca="1">IF(I$4=2025,INDEX('Group P&amp;L'!$D:$AC,MATCH("Group Revenue ($mm)",'Group P&amp;L'!$A:$A,0),I$5+1),INDEX('Group P&amp;L'!$D:$AC,MATCH("Group Revenue ($mm)",'Group P&amp;L'!$A:$A,0),I$5))*INDEX(Assumptions!$B:$B,MATCH("Corporate, IT &amp; HQ CapEx (% of Group revenue)",Assumptions!$A:$A,0))</f>
        <v>7817.3527888815879</v>
      </c>
      <c r="J71" s="70">
        <f t="array" aca="1" ref="J71" ca="1">IF(J$4=2025,INDEX('Group P&amp;L'!$D:$AC,MATCH("Group Revenue ($mm)",'Group P&amp;L'!$A:$A,0),J$5+1),INDEX('Group P&amp;L'!$D:$AC,MATCH("Group Revenue ($mm)",'Group P&amp;L'!$A:$A,0),J$5))*INDEX(Assumptions!$B:$B,MATCH("Corporate, IT &amp; HQ CapEx (% of Group revenue)",Assumptions!$A:$A,0))</f>
        <v>10619.372375649587</v>
      </c>
      <c r="K71" s="70">
        <f t="array" aca="1" ref="K71" ca="1">IF(K$4=2025,INDEX('Group P&amp;L'!$D:$AC,MATCH("Group Revenue ($mm)",'Group P&amp;L'!$A:$A,0),K$5+1),INDEX('Group P&amp;L'!$D:$AC,MATCH("Group Revenue ($mm)",'Group P&amp;L'!$A:$A,0),K$5))*INDEX(Assumptions!$B:$B,MATCH("Corporate, IT &amp; HQ CapEx (% of Group revenue)",Assumptions!$A:$A,0))</f>
        <v>14271.710577961514</v>
      </c>
      <c r="L71" s="70">
        <f t="array" aca="1" ref="L71" ca="1">IF(L$4=2025,INDEX('Group P&amp;L'!$D:$AC,MATCH("Group Revenue ($mm)",'Group P&amp;L'!$A:$A,0),L$5+1),INDEX('Group P&amp;L'!$D:$AC,MATCH("Group Revenue ($mm)",'Group P&amp;L'!$A:$A,0),L$5))*INDEX(Assumptions!$B:$B,MATCH("Corporate, IT &amp; HQ CapEx (% of Group revenue)",Assumptions!$A:$A,0))</f>
        <v>17117.707100674732</v>
      </c>
      <c r="M71" s="70">
        <f t="array" aca="1" ref="M71" ca="1">IF(M$4=2025,INDEX('Group P&amp;L'!$D:$AC,MATCH("Group Revenue ($mm)",'Group P&amp;L'!$A:$A,0),M$5+1),INDEX('Group P&amp;L'!$D:$AC,MATCH("Group Revenue ($mm)",'Group P&amp;L'!$A:$A,0),M$5))*INDEX(Assumptions!$B:$B,MATCH("Corporate, IT &amp; HQ CapEx (% of Group revenue)",Assumptions!$A:$A,0))</f>
        <v>17976.469237092431</v>
      </c>
      <c r="N71" s="70">
        <f t="array" aca="1" ref="N71" ca="1">IF(N$4=2025,INDEX('Group P&amp;L'!$D:$AC,MATCH("Group Revenue ($mm)",'Group P&amp;L'!$A:$A,0),N$5+1),INDEX('Group P&amp;L'!$D:$AC,MATCH("Group Revenue ($mm)",'Group P&amp;L'!$A:$A,0),N$5))*INDEX(Assumptions!$B:$B,MATCH("Corporate, IT &amp; HQ CapEx (% of Group revenue)",Assumptions!$A:$A,0))</f>
        <v>19678.129128633806</v>
      </c>
      <c r="O71" s="70">
        <f t="array" aca="1" ref="O71" ca="1">IF(O$4=2025,INDEX('Group P&amp;L'!$D:$AC,MATCH("Group Revenue ($mm)",'Group P&amp;L'!$A:$A,0),O$5+1),INDEX('Group P&amp;L'!$D:$AC,MATCH("Group Revenue ($mm)",'Group P&amp;L'!$A:$A,0),O$5))*INDEX(Assumptions!$B:$B,MATCH("Corporate, IT &amp; HQ CapEx (% of Group revenue)",Assumptions!$A:$A,0))</f>
        <v>23480.687814849589</v>
      </c>
      <c r="P71" s="70">
        <f t="array" aca="1" ref="P71" ca="1">IF(P$4=2025,INDEX('Group P&amp;L'!$D:$AC,MATCH("Group Revenue ($mm)",'Group P&amp;L'!$A:$A,0),P$5+1),INDEX('Group P&amp;L'!$D:$AC,MATCH("Group Revenue ($mm)",'Group P&amp;L'!$A:$A,0),P$5))*INDEX(Assumptions!$B:$B,MATCH("Corporate, IT &amp; HQ CapEx (% of Group revenue)",Assumptions!$A:$A,0))</f>
        <v>29208.835377226089</v>
      </c>
      <c r="Q71" s="70">
        <f t="array" aca="1" ref="Q71" ca="1">IF(Q$4=2025,INDEX('Group P&amp;L'!$D:$AC,MATCH("Group Revenue ($mm)",'Group P&amp;L'!$A:$A,0),Q$5+1),INDEX('Group P&amp;L'!$D:$AC,MATCH("Group Revenue ($mm)",'Group P&amp;L'!$A:$A,0),Q$5))*INDEX(Assumptions!$B:$B,MATCH("Corporate, IT &amp; HQ CapEx (% of Group revenue)",Assumptions!$A:$A,0))</f>
        <v>35544.385292155996</v>
      </c>
      <c r="R71" s="70">
        <f t="array" aca="1" ref="R71" ca="1">IF(R$4=2025,INDEX('Group P&amp;L'!$D:$AC,MATCH("Group Revenue ($mm)",'Group P&amp;L'!$A:$A,0),R$5+1),INDEX('Group P&amp;L'!$D:$AC,MATCH("Group Revenue ($mm)",'Group P&amp;L'!$A:$A,0),R$5))*INDEX(Assumptions!$B:$B,MATCH("Corporate, IT &amp; HQ CapEx (% of Group revenue)",Assumptions!$A:$A,0))</f>
        <v>41997.643970815712</v>
      </c>
      <c r="S71" s="70">
        <f t="array" aca="1" ref="S71" ca="1">IF(S$4=2025,INDEX('Group P&amp;L'!$D:$AC,MATCH("Group Revenue ($mm)",'Group P&amp;L'!$A:$A,0),S$5+1),INDEX('Group P&amp;L'!$D:$AC,MATCH("Group Revenue ($mm)",'Group P&amp;L'!$A:$A,0),S$5))*INDEX(Assumptions!$B:$B,MATCH("Corporate, IT &amp; HQ CapEx (% of Group revenue)",Assumptions!$A:$A,0))</f>
        <v>51015.131032743186</v>
      </c>
    </row>
    <row r="72" spans="1:19">
      <c r="A72" s="16" t="s">
        <v>1798</v>
      </c>
      <c r="B72" s="3"/>
      <c r="C72" s="3"/>
      <c r="D72" s="70">
        <f t="array" aca="1" ref="D72" ca="1">MAX(C72,IF(D$4=2025,INDEX('Vehicle Build'!$D:$AC,MATCH("Starship launches per year",'Vehicle Build'!$A$1:$A$119,0),D$5+1)+INDEX('Vehicle Build'!$D:$AC,MATCH("F9 launches per year",'Vehicle Build'!$A$1:$A$119,0),D$5+1),INDEX('Vehicle Build'!$D:$AC,MATCH("Starship launches per year",'Vehicle Build'!$A$1:$A$119,0),D$5)+INDEX('Vehicle Build'!$D:$AC,MATCH("F9 launches per year",'Vehicle Build'!$A$1:$A$119,0),D$5)))</f>
        <v>171</v>
      </c>
      <c r="E72" s="70">
        <f t="array" aca="1" ref="E72" ca="1">MAX(D72,IF(E$4=2025,INDEX('Vehicle Build'!$D:$AC,MATCH("Starship launches per year",'Vehicle Build'!$A$1:$A$119,0),E$5+1)+INDEX('Vehicle Build'!$D:$AC,MATCH("F9 launches per year",'Vehicle Build'!$A$1:$A$119,0),E$5+1),INDEX('Vehicle Build'!$D:$AC,MATCH("Starship launches per year",'Vehicle Build'!$A$1:$A$119,0),E$5)+INDEX('Vehicle Build'!$D:$AC,MATCH("F9 launches per year",'Vehicle Build'!$A$1:$A$119,0),E$5)))</f>
        <v>171</v>
      </c>
      <c r="F72" s="70">
        <f t="array" aca="1" ref="F72" ca="1">MAX(E72,IF(F$4=2025,INDEX('Vehicle Build'!$D:$AC,MATCH("Starship launches per year",'Vehicle Build'!$A$1:$A$119,0),F$5+1)+INDEX('Vehicle Build'!$D:$AC,MATCH("F9 launches per year",'Vehicle Build'!$A$1:$A$119,0),F$5+1),INDEX('Vehicle Build'!$D:$AC,MATCH("Starship launches per year",'Vehicle Build'!$A$1:$A$119,0),F$5)+INDEX('Vehicle Build'!$D:$AC,MATCH("F9 launches per year",'Vehicle Build'!$A$1:$A$119,0),F$5)))</f>
        <v>171</v>
      </c>
      <c r="G72" s="70">
        <f t="array" aca="1" ref="G72" ca="1">MAX(F72,IF(G$4=2025,INDEX('Vehicle Build'!$D:$AC,MATCH("Starship launches per year",'Vehicle Build'!$A$1:$A$119,0),G$5+1)+INDEX('Vehicle Build'!$D:$AC,MATCH("F9 launches per year",'Vehicle Build'!$A$1:$A$119,0),G$5+1),INDEX('Vehicle Build'!$D:$AC,MATCH("Starship launches per year",'Vehicle Build'!$A$1:$A$119,0),G$5)+INDEX('Vehicle Build'!$D:$AC,MATCH("F9 launches per year",'Vehicle Build'!$A$1:$A$119,0),G$5)))</f>
        <v>171</v>
      </c>
      <c r="H72" s="70">
        <f t="array" aca="1" ref="H72" ca="1">MAX(G72,IF(H$4=2025,INDEX('Vehicle Build'!$D:$AC,MATCH("Starship launches per year",'Vehicle Build'!$A$1:$A$119,0),H$5+1)+INDEX('Vehicle Build'!$D:$AC,MATCH("F9 launches per year",'Vehicle Build'!$A$1:$A$119,0),H$5+1),INDEX('Vehicle Build'!$D:$AC,MATCH("Starship launches per year",'Vehicle Build'!$A$1:$A$119,0),H$5)+INDEX('Vehicle Build'!$D:$AC,MATCH("F9 launches per year",'Vehicle Build'!$A$1:$A$119,0),H$5)))</f>
        <v>187</v>
      </c>
      <c r="I72" s="70">
        <f t="array" aca="1" ref="I72" ca="1">MAX(H72,IF(I$4=2025,INDEX('Vehicle Build'!$D:$AC,MATCH("Starship launches per year",'Vehicle Build'!$A$1:$A$119,0),I$5+1)+INDEX('Vehicle Build'!$D:$AC,MATCH("F9 launches per year",'Vehicle Build'!$A$1:$A$119,0),I$5+1),INDEX('Vehicle Build'!$D:$AC,MATCH("Starship launches per year",'Vehicle Build'!$A$1:$A$119,0),I$5)+INDEX('Vehicle Build'!$D:$AC,MATCH("F9 launches per year",'Vehicle Build'!$A$1:$A$119,0),I$5)))</f>
        <v>341.00000000000006</v>
      </c>
      <c r="J72" s="70">
        <f t="array" aca="1" ref="J72" ca="1">MAX(I72,IF(J$4=2025,INDEX('Vehicle Build'!$D:$AC,MATCH("Starship launches per year",'Vehicle Build'!$A$1:$A$119,0),J$5+1)+INDEX('Vehicle Build'!$D:$AC,MATCH("F9 launches per year",'Vehicle Build'!$A$1:$A$119,0),J$5+1),INDEX('Vehicle Build'!$D:$AC,MATCH("Starship launches per year",'Vehicle Build'!$A$1:$A$119,0),J$5)+INDEX('Vehicle Build'!$D:$AC,MATCH("F9 launches per year",'Vehicle Build'!$A$1:$A$119,0),J$5)))</f>
        <v>594.3666007269087</v>
      </c>
      <c r="K72" s="70">
        <f t="array" aca="1" ref="K72" ca="1">MAX(J72,IF(K$4=2025,INDEX('Vehicle Build'!$D:$AC,MATCH("Starship launches per year",'Vehicle Build'!$A$1:$A$119,0),K$5+1)+INDEX('Vehicle Build'!$D:$AC,MATCH("F9 launches per year",'Vehicle Build'!$A$1:$A$119,0),K$5+1),INDEX('Vehicle Build'!$D:$AC,MATCH("Starship launches per year",'Vehicle Build'!$A$1:$A$119,0),K$5)+INDEX('Vehicle Build'!$D:$AC,MATCH("F9 launches per year",'Vehicle Build'!$A$1:$A$119,0),K$5)))</f>
        <v>602.60283973452692</v>
      </c>
      <c r="L72" s="70">
        <f t="array" aca="1" ref="L72" ca="1">MAX(K72,IF(L$4=2025,INDEX('Vehicle Build'!$D:$AC,MATCH("Starship launches per year",'Vehicle Build'!$A$1:$A$119,0),L$5+1)+INDEX('Vehicle Build'!$D:$AC,MATCH("F9 launches per year",'Vehicle Build'!$A$1:$A$119,0),L$5+1),INDEX('Vehicle Build'!$D:$AC,MATCH("Starship launches per year",'Vehicle Build'!$A$1:$A$119,0),L$5)+INDEX('Vehicle Build'!$D:$AC,MATCH("F9 launches per year",'Vehicle Build'!$A$1:$A$119,0),L$5)))</f>
        <v>1040.6920367495782</v>
      </c>
      <c r="M72" s="70">
        <f t="array" aca="1" ref="M72" ca="1">MAX(L72,IF(M$4=2025,INDEX('Vehicle Build'!$D:$AC,MATCH("Starship launches per year",'Vehicle Build'!$A$1:$A$119,0),M$5+1)+INDEX('Vehicle Build'!$D:$AC,MATCH("F9 launches per year",'Vehicle Build'!$A$1:$A$119,0),M$5+1),INDEX('Vehicle Build'!$D:$AC,MATCH("Starship launches per year",'Vehicle Build'!$A$1:$A$119,0),M$5)+INDEX('Vehicle Build'!$D:$AC,MATCH("F9 launches per year",'Vehicle Build'!$A$1:$A$119,0),M$5)))</f>
        <v>1040.6920367495782</v>
      </c>
      <c r="N72" s="70">
        <f t="array" aca="1" ref="N72" ca="1">MAX(M72,IF(N$4=2025,INDEX('Vehicle Build'!$D:$AC,MATCH("Starship launches per year",'Vehicle Build'!$A$1:$A$119,0),N$5+1)+INDEX('Vehicle Build'!$D:$AC,MATCH("F9 launches per year",'Vehicle Build'!$A$1:$A$119,0),N$5+1),INDEX('Vehicle Build'!$D:$AC,MATCH("Starship launches per year",'Vehicle Build'!$A$1:$A$119,0),N$5)+INDEX('Vehicle Build'!$D:$AC,MATCH("F9 launches per year",'Vehicle Build'!$A$1:$A$119,0),N$5)))</f>
        <v>1147.0007239405763</v>
      </c>
      <c r="O72" s="70">
        <f t="array" aca="1" ref="O72" ca="1">MAX(N72,IF(O$4=2025,INDEX('Vehicle Build'!$D:$AC,MATCH("Starship launches per year",'Vehicle Build'!$A$1:$A$119,0),O$5+1)+INDEX('Vehicle Build'!$D:$AC,MATCH("F9 launches per year",'Vehicle Build'!$A$1:$A$119,0),O$5+1),INDEX('Vehicle Build'!$D:$AC,MATCH("Starship launches per year",'Vehicle Build'!$A$1:$A$119,0),O$5)+INDEX('Vehicle Build'!$D:$AC,MATCH("F9 launches per year",'Vehicle Build'!$A$1:$A$119,0),O$5)))</f>
        <v>1401.1714760015641</v>
      </c>
      <c r="P72" s="70">
        <f t="array" aca="1" ref="P72" ca="1">MAX(O72,IF(P$4=2025,INDEX('Vehicle Build'!$D:$AC,MATCH("Starship launches per year",'Vehicle Build'!$A$1:$A$119,0),P$5+1)+INDEX('Vehicle Build'!$D:$AC,MATCH("F9 launches per year",'Vehicle Build'!$A$1:$A$119,0),P$5+1),INDEX('Vehicle Build'!$D:$AC,MATCH("Starship launches per year",'Vehicle Build'!$A$1:$A$119,0),P$5)+INDEX('Vehicle Build'!$D:$AC,MATCH("F9 launches per year",'Vehicle Build'!$A$1:$A$119,0),P$5)))</f>
        <v>1920.420710124999</v>
      </c>
      <c r="Q72" s="70">
        <f t="array" aca="1" ref="Q72" ca="1">MAX(P72,IF(Q$4=2025,INDEX('Vehicle Build'!$D:$AC,MATCH("Starship launches per year",'Vehicle Build'!$A$1:$A$119,0),Q$5+1)+INDEX('Vehicle Build'!$D:$AC,MATCH("F9 launches per year",'Vehicle Build'!$A$1:$A$119,0),Q$5+1),INDEX('Vehicle Build'!$D:$AC,MATCH("Starship launches per year",'Vehicle Build'!$A$1:$A$119,0),Q$5)+INDEX('Vehicle Build'!$D:$AC,MATCH("F9 launches per year",'Vehicle Build'!$A$1:$A$119,0),Q$5)))</f>
        <v>1920.420710124999</v>
      </c>
      <c r="R72" s="70">
        <f t="array" aca="1" ref="R72" ca="1">MAX(Q72,IF(R$4=2025,INDEX('Vehicle Build'!$D:$AC,MATCH("Starship launches per year",'Vehicle Build'!$A$1:$A$119,0),R$5+1)+INDEX('Vehicle Build'!$D:$AC,MATCH("F9 launches per year",'Vehicle Build'!$A$1:$A$119,0),R$5+1),INDEX('Vehicle Build'!$D:$AC,MATCH("Starship launches per year",'Vehicle Build'!$A$1:$A$119,0),R$5)+INDEX('Vehicle Build'!$D:$AC,MATCH("F9 launches per year",'Vehicle Build'!$A$1:$A$119,0),R$5)))</f>
        <v>1920.420710124999</v>
      </c>
      <c r="S72" s="70">
        <f t="array" aca="1" ref="S72" ca="1">MAX(R72,IF(S$4=2025,INDEX('Vehicle Build'!$D:$AC,MATCH("Starship launches per year",'Vehicle Build'!$A$1:$A$119,0),S$5+1)+INDEX('Vehicle Build'!$D:$AC,MATCH("F9 launches per year",'Vehicle Build'!$A$1:$A$119,0),S$5+1),INDEX('Vehicle Build'!$D:$AC,MATCH("Starship launches per year",'Vehicle Build'!$A$1:$A$119,0),S$5)+INDEX('Vehicle Build'!$D:$AC,MATCH("F9 launches per year",'Vehicle Build'!$A$1:$A$119,0),S$5)))</f>
        <v>1920.420710124999</v>
      </c>
    </row>
    <row r="73" spans="1:19">
      <c r="A73" s="16" t="s">
        <v>1799</v>
      </c>
      <c r="B73" s="3"/>
      <c r="C73" s="3"/>
      <c r="D73" s="70">
        <f ca="1">MAX(0,D72-C72)*INDEX(Assumptions!$B:$B,MATCH("Launch-site infra CapEx ($mm per annual launch of capacity)",Assumptions!$A:$A,0))</f>
        <v>2223</v>
      </c>
      <c r="E73" s="70">
        <f ca="1">MAX(0,E72-D72)*INDEX(Assumptions!$B:$B,MATCH("Launch-site infra CapEx ($mm per annual launch of capacity)",Assumptions!$A:$A,0))</f>
        <v>0</v>
      </c>
      <c r="F73" s="70">
        <f ca="1">MAX(0,F72-E72)*INDEX(Assumptions!$B:$B,MATCH("Launch-site infra CapEx ($mm per annual launch of capacity)",Assumptions!$A:$A,0))</f>
        <v>0</v>
      </c>
      <c r="G73" s="70">
        <f ca="1">MAX(0,G72-F72)*INDEX(Assumptions!$B:$B,MATCH("Launch-site infra CapEx ($mm per annual launch of capacity)",Assumptions!$A:$A,0))</f>
        <v>0</v>
      </c>
      <c r="H73" s="70">
        <f ca="1">MAX(0,H72-G72)*INDEX(Assumptions!$B:$B,MATCH("Launch-site infra CapEx ($mm per annual launch of capacity)",Assumptions!$A:$A,0))</f>
        <v>208</v>
      </c>
      <c r="I73" s="70">
        <f ca="1">MAX(0,I72-H72)*INDEX(Assumptions!$B:$B,MATCH("Launch-site infra CapEx ($mm per annual launch of capacity)",Assumptions!$A:$A,0))</f>
        <v>2002.0000000000007</v>
      </c>
      <c r="J73" s="70">
        <f ca="1">MAX(0,J72-I72)*INDEX(Assumptions!$B:$B,MATCH("Launch-site infra CapEx ($mm per annual launch of capacity)",Assumptions!$A:$A,0))</f>
        <v>3293.7658094498124</v>
      </c>
      <c r="K73" s="70">
        <f ca="1">MAX(0,K72-J72)*INDEX(Assumptions!$B:$B,MATCH("Launch-site infra CapEx ($mm per annual launch of capacity)",Assumptions!$A:$A,0))</f>
        <v>107.07110709903691</v>
      </c>
      <c r="L73" s="70">
        <f ca="1">MAX(0,L72-K72)*INDEX(Assumptions!$B:$B,MATCH("Launch-site infra CapEx ($mm per annual launch of capacity)",Assumptions!$A:$A,0))</f>
        <v>5695.1595611956664</v>
      </c>
      <c r="M73" s="70">
        <f ca="1">MAX(0,M72-L72)*INDEX(Assumptions!$B:$B,MATCH("Launch-site infra CapEx ($mm per annual launch of capacity)",Assumptions!$A:$A,0))</f>
        <v>0</v>
      </c>
      <c r="N73" s="70">
        <f ca="1">MAX(0,N72-M72)*INDEX(Assumptions!$B:$B,MATCH("Launch-site infra CapEx ($mm per annual launch of capacity)",Assumptions!$A:$A,0))</f>
        <v>1382.0129334829762</v>
      </c>
      <c r="O73" s="70">
        <f ca="1">MAX(0,O72-N72)*INDEX(Assumptions!$B:$B,MATCH("Launch-site infra CapEx ($mm per annual launch of capacity)",Assumptions!$A:$A,0))</f>
        <v>3304.219776792841</v>
      </c>
      <c r="P73" s="70">
        <f ca="1">MAX(0,P72-O72)*INDEX(Assumptions!$B:$B,MATCH("Launch-site infra CapEx ($mm per annual launch of capacity)",Assumptions!$A:$A,0))</f>
        <v>6750.2400436046537</v>
      </c>
      <c r="Q73" s="70">
        <f ca="1">MAX(0,Q72-P72)*INDEX(Assumptions!$B:$B,MATCH("Launch-site infra CapEx ($mm per annual launch of capacity)",Assumptions!$A:$A,0))</f>
        <v>0</v>
      </c>
      <c r="R73" s="70">
        <f ca="1">MAX(0,R72-Q72)*INDEX(Assumptions!$B:$B,MATCH("Launch-site infra CapEx ($mm per annual launch of capacity)",Assumptions!$A:$A,0))</f>
        <v>0</v>
      </c>
      <c r="S73" s="70">
        <f ca="1">MAX(0,S72-R72)*INDEX(Assumptions!$B:$B,MATCH("Launch-site infra CapEx ($mm per annual launch of capacity)",Assumptions!$A:$A,0))</f>
        <v>0</v>
      </c>
    </row>
    <row r="74" spans="1:19">
      <c r="A74" s="16" t="s">
        <v>1800</v>
      </c>
      <c r="B74" s="3"/>
      <c r="C74" s="3"/>
      <c r="D74" s="70">
        <f t="array" ref="D74">IF(D$4=2025,INDEX('Group P&amp;L'!$D:$AC,MATCH("Revenue: Starlink",'Group P&amp;L'!$A:$A,0),D$5+1),INDEX('Group P&amp;L'!$D:$AC,MATCH("Revenue: Starlink",'Group P&amp;L'!$A:$A,0),D$5))*INDEX(Assumptions!$B:$B,MATCH("Starlink ground-network CapEx (% of Starlink revenue)",Assumptions!$A:$A,0))</f>
        <v>455.48</v>
      </c>
      <c r="E74" s="70">
        <f t="array" ref="E74">IF(E$4=2025,INDEX('Group P&amp;L'!$D:$AC,MATCH("Revenue: Starlink",'Group P&amp;L'!$A:$A,0),E$5+1),INDEX('Group P&amp;L'!$D:$AC,MATCH("Revenue: Starlink",'Group P&amp;L'!$A:$A,0),E$5))*INDEX(Assumptions!$B:$B,MATCH("Starlink ground-network CapEx (% of Starlink revenue)",Assumptions!$A:$A,0))</f>
        <v>455.48</v>
      </c>
      <c r="F74" s="70">
        <f t="array" aca="1" ref="F74" ca="1">IF(F$4=2025,INDEX('Group P&amp;L'!$D:$AC,MATCH("Revenue: Starlink",'Group P&amp;L'!$A:$A,0),F$5+1),INDEX('Group P&amp;L'!$D:$AC,MATCH("Revenue: Starlink",'Group P&amp;L'!$A:$A,0),F$5))*INDEX(Assumptions!$B:$B,MATCH("Starlink ground-network CapEx (% of Starlink revenue)",Assumptions!$A:$A,0))</f>
        <v>579.00424936427953</v>
      </c>
      <c r="G74" s="70">
        <f t="array" aca="1" ref="G74" ca="1">IF(G$4=2025,INDEX('Group P&amp;L'!$D:$AC,MATCH("Revenue: Starlink",'Group P&amp;L'!$A:$A,0),G$5+1),INDEX('Group P&amp;L'!$D:$AC,MATCH("Revenue: Starlink",'Group P&amp;L'!$A:$A,0),G$5))*INDEX(Assumptions!$B:$B,MATCH("Starlink ground-network CapEx (% of Starlink revenue)",Assumptions!$A:$A,0))</f>
        <v>2213.543869753536</v>
      </c>
      <c r="H74" s="70">
        <f t="array" aca="1" ref="H74" ca="1">IF(H$4=2025,INDEX('Group P&amp;L'!$D:$AC,MATCH("Revenue: Starlink",'Group P&amp;L'!$A:$A,0),H$5+1),INDEX('Group P&amp;L'!$D:$AC,MATCH("Revenue: Starlink",'Group P&amp;L'!$A:$A,0),H$5))*INDEX(Assumptions!$B:$B,MATCH("Starlink ground-network CapEx (% of Starlink revenue)",Assumptions!$A:$A,0))</f>
        <v>4372.9390495179032</v>
      </c>
      <c r="I74" s="70">
        <f t="array" aca="1" ref="I74" ca="1">IF(I$4=2025,INDEX('Group P&amp;L'!$D:$AC,MATCH("Revenue: Starlink",'Group P&amp;L'!$A:$A,0),I$5+1),INDEX('Group P&amp;L'!$D:$AC,MATCH("Revenue: Starlink",'Group P&amp;L'!$A:$A,0),I$5))*INDEX(Assumptions!$B:$B,MATCH("Starlink ground-network CapEx (% of Starlink revenue)",Assumptions!$A:$A,0))</f>
        <v>7616.1380638470873</v>
      </c>
      <c r="J74" s="70">
        <f t="array" aca="1" ref="J74" ca="1">IF(J$4=2025,INDEX('Group P&amp;L'!$D:$AC,MATCH("Revenue: Starlink",'Group P&amp;L'!$A:$A,0),J$5+1),INDEX('Group P&amp;L'!$D:$AC,MATCH("Revenue: Starlink",'Group P&amp;L'!$A:$A,0),J$5))*INDEX(Assumptions!$B:$B,MATCH("Starlink ground-network CapEx (% of Starlink revenue)",Assumptions!$A:$A,0))</f>
        <v>9580.4680913753473</v>
      </c>
      <c r="K74" s="70">
        <f t="array" aca="1" ref="K74" ca="1">IF(K$4=2025,INDEX('Group P&amp;L'!$D:$AC,MATCH("Revenue: Starlink",'Group P&amp;L'!$A:$A,0),K$5+1),INDEX('Group P&amp;L'!$D:$AC,MATCH("Revenue: Starlink",'Group P&amp;L'!$A:$A,0),K$5))*INDEX(Assumptions!$B:$B,MATCH("Starlink ground-network CapEx (% of Starlink revenue)",Assumptions!$A:$A,0))</f>
        <v>11470.169552179343</v>
      </c>
      <c r="L74" s="70">
        <f t="array" aca="1" ref="L74" ca="1">IF(L$4=2025,INDEX('Group P&amp;L'!$D:$AC,MATCH("Revenue: Starlink",'Group P&amp;L'!$A:$A,0),L$5+1),INDEX('Group P&amp;L'!$D:$AC,MATCH("Revenue: Starlink",'Group P&amp;L'!$A:$A,0),L$5))*INDEX(Assumptions!$B:$B,MATCH("Starlink ground-network CapEx (% of Starlink revenue)",Assumptions!$A:$A,0))</f>
        <v>12234.491419355028</v>
      </c>
      <c r="M74" s="70">
        <f t="array" aca="1" ref="M74" ca="1">IF(M$4=2025,INDEX('Group P&amp;L'!$D:$AC,MATCH("Revenue: Starlink",'Group P&amp;L'!$A:$A,0),M$5+1),INDEX('Group P&amp;L'!$D:$AC,MATCH("Revenue: Starlink",'Group P&amp;L'!$A:$A,0),M$5))*INDEX(Assumptions!$B:$B,MATCH("Starlink ground-network CapEx (% of Starlink revenue)",Assumptions!$A:$A,0))</f>
        <v>12207.593933069968</v>
      </c>
      <c r="N74" s="70">
        <f t="array" aca="1" ref="N74" ca="1">IF(N$4=2025,INDEX('Group P&amp;L'!$D:$AC,MATCH("Revenue: Starlink",'Group P&amp;L'!$A:$A,0),N$5+1),INDEX('Group P&amp;L'!$D:$AC,MATCH("Revenue: Starlink",'Group P&amp;L'!$A:$A,0),N$5))*INDEX(Assumptions!$B:$B,MATCH("Starlink ground-network CapEx (% of Starlink revenue)",Assumptions!$A:$A,0))</f>
        <v>12328.661877432531</v>
      </c>
      <c r="O74" s="70">
        <f t="array" aca="1" ref="O74" ca="1">IF(O$4=2025,INDEX('Group P&amp;L'!$D:$AC,MATCH("Revenue: Starlink",'Group P&amp;L'!$A:$A,0),O$5+1),INDEX('Group P&amp;L'!$D:$AC,MATCH("Revenue: Starlink",'Group P&amp;L'!$A:$A,0),O$5))*INDEX(Assumptions!$B:$B,MATCH("Starlink ground-network CapEx (% of Starlink revenue)",Assumptions!$A:$A,0))</f>
        <v>13517.354839185042</v>
      </c>
      <c r="P74" s="70">
        <f t="array" aca="1" ref="P74" ca="1">IF(P$4=2025,INDEX('Group P&amp;L'!$D:$AC,MATCH("Revenue: Starlink",'Group P&amp;L'!$A:$A,0),P$5+1),INDEX('Group P&amp;L'!$D:$AC,MATCH("Revenue: Starlink",'Group P&amp;L'!$A:$A,0),P$5))*INDEX(Assumptions!$B:$B,MATCH("Starlink ground-network CapEx (% of Starlink revenue)",Assumptions!$A:$A,0))</f>
        <v>14500.118264668959</v>
      </c>
      <c r="Q74" s="70">
        <f t="array" aca="1" ref="Q74" ca="1">IF(Q$4=2025,INDEX('Group P&amp;L'!$D:$AC,MATCH("Revenue: Starlink",'Group P&amp;L'!$A:$A,0),Q$5+1),INDEX('Group P&amp;L'!$D:$AC,MATCH("Revenue: Starlink",'Group P&amp;L'!$A:$A,0),Q$5))*INDEX(Assumptions!$B:$B,MATCH("Starlink ground-network CapEx (% of Starlink revenue)",Assumptions!$A:$A,0))</f>
        <v>15033.876254101115</v>
      </c>
      <c r="R74" s="70">
        <f t="array" aca="1" ref="R74" ca="1">IF(R$4=2025,INDEX('Group P&amp;L'!$D:$AC,MATCH("Revenue: Starlink",'Group P&amp;L'!$A:$A,0),R$5+1),INDEX('Group P&amp;L'!$D:$AC,MATCH("Revenue: Starlink",'Group P&amp;L'!$A:$A,0),R$5))*INDEX(Assumptions!$B:$B,MATCH("Starlink ground-network CapEx (% of Starlink revenue)",Assumptions!$A:$A,0))</f>
        <v>15560.099541146083</v>
      </c>
      <c r="S74" s="70">
        <f t="array" aca="1" ref="S74" ca="1">IF(S$4=2025,INDEX('Group P&amp;L'!$D:$AC,MATCH("Revenue: Starlink",'Group P&amp;L'!$A:$A,0),S$5+1),INDEX('Group P&amp;L'!$D:$AC,MATCH("Revenue: Starlink",'Group P&amp;L'!$A:$A,0),S$5))*INDEX(Assumptions!$B:$B,MATCH("Starlink ground-network CapEx (% of Starlink revenue)",Assumptions!$A:$A,0))</f>
        <v>15754.090524898758</v>
      </c>
    </row>
    <row r="75" spans="1:19">
      <c r="A75" s="16" t="s">
        <v>1801</v>
      </c>
      <c r="B75" s="3"/>
      <c r="C75" s="3"/>
      <c r="D75" s="6">
        <v>0</v>
      </c>
      <c r="E75" s="6">
        <v>0</v>
      </c>
      <c r="F75" s="6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</row>
    <row r="76" spans="1:19">
      <c r="A76" s="16" t="s">
        <v>1802</v>
      </c>
      <c r="B76" s="3"/>
      <c r="C76" s="3"/>
      <c r="D76" s="6">
        <v>0</v>
      </c>
      <c r="E76" s="6">
        <v>0</v>
      </c>
      <c r="F76" s="6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16" t="s">
        <v>1803</v>
      </c>
      <c r="B78" s="3"/>
      <c r="C78" s="3"/>
      <c r="D78" s="29">
        <f t="shared" ref="D78:S78" ca="1" si="15">D71+D73+D74+D84</f>
        <v>3332.07</v>
      </c>
      <c r="E78" s="29">
        <f t="shared" ca="1" si="15"/>
        <v>1109.0700000000002</v>
      </c>
      <c r="F78" s="29">
        <f t="shared" ca="1" si="15"/>
        <v>1365.6793946570847</v>
      </c>
      <c r="G78" s="29">
        <f t="shared" ca="1" si="15"/>
        <v>4821.1265315229066</v>
      </c>
      <c r="H78" s="29">
        <f t="shared" ca="1" si="15"/>
        <v>9465.7994676394355</v>
      </c>
      <c r="I78" s="29">
        <f t="shared" ca="1" si="15"/>
        <v>18102.390852728677</v>
      </c>
      <c r="J78" s="29">
        <f t="shared" ca="1" si="15"/>
        <v>25211.106276474748</v>
      </c>
      <c r="K78" s="29">
        <f t="shared" ca="1" si="15"/>
        <v>28916.751237239892</v>
      </c>
      <c r="L78" s="29">
        <f t="shared" ca="1" si="15"/>
        <v>35047.358081225422</v>
      </c>
      <c r="M78" s="29">
        <f t="shared" ca="1" si="15"/>
        <v>30184.063170162401</v>
      </c>
      <c r="N78" s="29">
        <f t="shared" ca="1" si="15"/>
        <v>33388.803939549311</v>
      </c>
      <c r="O78" s="29">
        <f t="shared" ca="1" si="15"/>
        <v>42131.66243082747</v>
      </c>
      <c r="P78" s="29">
        <f t="shared" ca="1" si="15"/>
        <v>54736.593685499705</v>
      </c>
      <c r="Q78" s="29">
        <f t="shared" ca="1" si="15"/>
        <v>52118.461546257109</v>
      </c>
      <c r="R78" s="29">
        <f t="shared" ca="1" si="15"/>
        <v>57585.943511961792</v>
      </c>
      <c r="S78" s="29">
        <f t="shared" ca="1" si="15"/>
        <v>71329.521557641943</v>
      </c>
    </row>
    <row r="79" spans="1:19">
      <c r="A79" s="183" t="s">
        <v>1804</v>
      </c>
      <c r="B79" s="78"/>
      <c r="C79" s="78"/>
      <c r="D79" s="81">
        <f t="shared" ref="D79:S79" ca="1" si="16">D78+D33</f>
        <v>3332.07</v>
      </c>
      <c r="E79" s="81">
        <f t="shared" ca="1" si="16"/>
        <v>1117.3541655079741</v>
      </c>
      <c r="F79" s="81">
        <f t="shared" ca="1" si="16"/>
        <v>1392.784432443525</v>
      </c>
      <c r="G79" s="81">
        <f t="shared" ca="1" si="16"/>
        <v>5820.8589383151084</v>
      </c>
      <c r="H79" s="81">
        <f t="shared" ca="1" si="16"/>
        <v>10219.481748570475</v>
      </c>
      <c r="I79" s="81">
        <f t="shared" ca="1" si="16"/>
        <v>19209.131753565718</v>
      </c>
      <c r="J79" s="81">
        <f t="shared" ca="1" si="16"/>
        <v>25211.106276474748</v>
      </c>
      <c r="K79" s="81">
        <f t="shared" ca="1" si="16"/>
        <v>28916.751237239892</v>
      </c>
      <c r="L79" s="81">
        <f t="shared" ca="1" si="16"/>
        <v>35047.358081225422</v>
      </c>
      <c r="M79" s="81">
        <f t="shared" ca="1" si="16"/>
        <v>30184.063170162401</v>
      </c>
      <c r="N79" s="81">
        <f t="shared" ca="1" si="16"/>
        <v>33388.803939549311</v>
      </c>
      <c r="O79" s="81">
        <f t="shared" ca="1" si="16"/>
        <v>42131.66243082747</v>
      </c>
      <c r="P79" s="81">
        <f t="shared" ca="1" si="16"/>
        <v>54736.593685499705</v>
      </c>
      <c r="Q79" s="81">
        <f t="shared" ca="1" si="16"/>
        <v>52118.461546257109</v>
      </c>
      <c r="R79" s="81">
        <f t="shared" ca="1" si="16"/>
        <v>57585.943511961792</v>
      </c>
      <c r="S79" s="81">
        <f t="shared" ca="1" si="16"/>
        <v>71329.521557641943</v>
      </c>
    </row>
    <row r="80" spans="1:19">
      <c r="A80" s="183" t="s">
        <v>1805</v>
      </c>
      <c r="B80" s="78"/>
      <c r="C80" s="78"/>
      <c r="D80" s="125">
        <f ca="1">(SUM($D$78:D78)-IF(D$5&gt;=INDEX(Assumptions!$B:$B,MATCH("Infrastructure useful life (years)",Assumptions!$A:$A,0)),SUM($D$78:INDEX($D$78:D78,MAX(1,D$5-INDEX(Assumptions!$B:$B,MATCH("Infrastructure useful life (years)",Assumptions!$A:$A,0))+1))),0))/INDEX(Assumptions!$B:$B,MATCH("Infrastructure useful life (years)",Assumptions!$A:$A,0))+D34</f>
        <v>166.6035</v>
      </c>
      <c r="E80" s="125">
        <f ca="1">(SUM($D$78:E78)-IF(E$5&gt;=INDEX(Assumptions!$B:$B,MATCH("Infrastructure useful life (years)",Assumptions!$A:$A,0)),SUM($D$78:INDEX($D$78:E78,MAX(1,E$5-INDEX(Assumptions!$B:$B,MATCH("Infrastructure useful life (years)",Assumptions!$A:$A,0))+1))),0))/INDEX(Assumptions!$B:$B,MATCH("Infrastructure useful life (years)",Assumptions!$A:$A,0))+E34</f>
        <v>222.47120827539871</v>
      </c>
      <c r="F80" s="125">
        <f ca="1">(SUM($D$78:F78)-IF(F$5&gt;=INDEX(Assumptions!$B:$B,MATCH("Infrastructure useful life (years)",Assumptions!$A:$A,0)),SUM($D$78:INDEX($D$78:F78,MAX(1,F$5-INDEX(Assumptions!$B:$B,MATCH("Infrastructure useful life (years)",Assumptions!$A:$A,0))+1))),0))/INDEX(Assumptions!$B:$B,MATCH("Infrastructure useful life (years)",Assumptions!$A:$A,0))+F34</f>
        <v>292.11042989757493</v>
      </c>
      <c r="G80" s="125">
        <f ca="1">(SUM($D$78:G78)-IF(G$5&gt;=INDEX(Assumptions!$B:$B,MATCH("Infrastructure useful life (years)",Assumptions!$A:$A,0)),SUM($D$78:INDEX($D$78:G78,MAX(1,G$5-INDEX(Assumptions!$B:$B,MATCH("Infrastructure useful life (years)",Assumptions!$A:$A,0))+1))),0))/INDEX(Assumptions!$B:$B,MATCH("Infrastructure useful life (years)",Assumptions!$A:$A,0))+G34</f>
        <v>583.1533768133304</v>
      </c>
      <c r="H80" s="125">
        <f ca="1">(SUM($D$78:H78)-IF(H$5&gt;=INDEX(Assumptions!$B:$B,MATCH("Infrastructure useful life (years)",Assumptions!$A:$A,0)),SUM($D$78:INDEX($D$78:H78,MAX(1,H$5-INDEX(Assumptions!$B:$B,MATCH("Infrastructure useful life (years)",Assumptions!$A:$A,0))+1))),0))/INDEX(Assumptions!$B:$B,MATCH("Infrastructure useful life (years)",Assumptions!$A:$A,0))+H34</f>
        <v>1094.1274642418541</v>
      </c>
      <c r="I80" s="125">
        <f ca="1">(SUM($D$78:I78)-IF(I$5&gt;=INDEX(Assumptions!$B:$B,MATCH("Infrastructure useful life (years)",Assumptions!$A:$A,0)),SUM($D$78:INDEX($D$78:I78,MAX(1,I$5-INDEX(Assumptions!$B:$B,MATCH("Infrastructure useful life (years)",Assumptions!$A:$A,0))+1))),0))/INDEX(Assumptions!$B:$B,MATCH("Infrastructure useful life (years)",Assumptions!$A:$A,0))+I34</f>
        <v>2054.5840519201402</v>
      </c>
      <c r="J80" s="125">
        <f ca="1">(SUM($D$78:J78)-IF(J$5&gt;=INDEX(Assumptions!$B:$B,MATCH("Infrastructure useful life (years)",Assumptions!$A:$A,0)),SUM($D$78:INDEX($D$78:J78,MAX(1,J$5-INDEX(Assumptions!$B:$B,MATCH("Infrastructure useful life (years)",Assumptions!$A:$A,0))+1))),0))/INDEX(Assumptions!$B:$B,MATCH("Infrastructure useful life (years)",Assumptions!$A:$A,0))+J34</f>
        <v>3315.1393657438775</v>
      </c>
      <c r="K80" s="125">
        <f ca="1">(SUM($D$78:K78)-IF(K$5&gt;=INDEX(Assumptions!$B:$B,MATCH("Infrastructure useful life (years)",Assumptions!$A:$A,0)),SUM($D$78:INDEX($D$78:K78,MAX(1,K$5-INDEX(Assumptions!$B:$B,MATCH("Infrastructure useful life (years)",Assumptions!$A:$A,0))+1))),0))/INDEX(Assumptions!$B:$B,MATCH("Infrastructure useful life (years)",Assumptions!$A:$A,0))+K34</f>
        <v>4760.9769276058723</v>
      </c>
      <c r="L80" s="125">
        <f ca="1">(SUM($D$78:L78)-IF(L$5&gt;=INDEX(Assumptions!$B:$B,MATCH("Infrastructure useful life (years)",Assumptions!$A:$A,0)),SUM($D$78:INDEX($D$78:L78,MAX(1,L$5-INDEX(Assumptions!$B:$B,MATCH("Infrastructure useful life (years)",Assumptions!$A:$A,0))+1))),0))/INDEX(Assumptions!$B:$B,MATCH("Infrastructure useful life (years)",Assumptions!$A:$A,0))+L34</f>
        <v>6513.3448316671438</v>
      </c>
      <c r="M80" s="125">
        <f ca="1">(SUM($D$78:M78)-IF(M$5&gt;=INDEX(Assumptions!$B:$B,MATCH("Infrastructure useful life (years)",Assumptions!$A:$A,0)),SUM($D$78:INDEX($D$78:M78,MAX(1,M$5-INDEX(Assumptions!$B:$B,MATCH("Infrastructure useful life (years)",Assumptions!$A:$A,0))+1))),0))/INDEX(Assumptions!$B:$B,MATCH("Infrastructure useful life (years)",Assumptions!$A:$A,0))+M34</f>
        <v>8022.5479901752633</v>
      </c>
      <c r="N80" s="125">
        <f ca="1">(SUM($D$78:N78)-IF(N$5&gt;=INDEX(Assumptions!$B:$B,MATCH("Infrastructure useful life (years)",Assumptions!$A:$A,0)),SUM($D$78:INDEX($D$78:N78,MAX(1,N$5-INDEX(Assumptions!$B:$B,MATCH("Infrastructure useful life (years)",Assumptions!$A:$A,0))+1))),0))/INDEX(Assumptions!$B:$B,MATCH("Infrastructure useful life (years)",Assumptions!$A:$A,0))+N34</f>
        <v>9691.9881871527286</v>
      </c>
      <c r="O80" s="125">
        <f ca="1">(SUM($D$78:O78)-IF(O$5&gt;=INDEX(Assumptions!$B:$B,MATCH("Infrastructure useful life (years)",Assumptions!$A:$A,0)),SUM($D$78:INDEX($D$78:O78,MAX(1,O$5-INDEX(Assumptions!$B:$B,MATCH("Infrastructure useful life (years)",Assumptions!$A:$A,0))+1))),0))/INDEX(Assumptions!$B:$B,MATCH("Infrastructure useful life (years)",Assumptions!$A:$A,0))+O34</f>
        <v>11798.571308694103</v>
      </c>
      <c r="P80" s="125">
        <f ca="1">(SUM($D$78:P78)-IF(P$5&gt;=INDEX(Assumptions!$B:$B,MATCH("Infrastructure useful life (years)",Assumptions!$A:$A,0)),SUM($D$78:INDEX($D$78:P78,MAX(1,P$5-INDEX(Assumptions!$B:$B,MATCH("Infrastructure useful life (years)",Assumptions!$A:$A,0))+1))),0))/INDEX(Assumptions!$B:$B,MATCH("Infrastructure useful life (years)",Assumptions!$A:$A,0))+P34</f>
        <v>14535.400992969087</v>
      </c>
      <c r="Q80" s="125">
        <f ca="1">(SUM($D$78:Q78)-IF(Q$5&gt;=INDEX(Assumptions!$B:$B,MATCH("Infrastructure useful life (years)",Assumptions!$A:$A,0)),SUM($D$78:INDEX($D$78:Q78,MAX(1,Q$5-INDEX(Assumptions!$B:$B,MATCH("Infrastructure useful life (years)",Assumptions!$A:$A,0))+1))),0))/INDEX(Assumptions!$B:$B,MATCH("Infrastructure useful life (years)",Assumptions!$A:$A,0))+Q34</f>
        <v>17141.324070281942</v>
      </c>
      <c r="R80" s="125">
        <f ca="1">(SUM($D$78:R78)-IF(R$5&gt;=INDEX(Assumptions!$B:$B,MATCH("Infrastructure useful life (years)",Assumptions!$A:$A,0)),SUM($D$78:INDEX($D$78:R78,MAX(1,R$5-INDEX(Assumptions!$B:$B,MATCH("Infrastructure useful life (years)",Assumptions!$A:$A,0))+1))),0))/INDEX(Assumptions!$B:$B,MATCH("Infrastructure useful life (years)",Assumptions!$A:$A,0))+R34</f>
        <v>20020.621245880033</v>
      </c>
      <c r="S80" s="125">
        <f ca="1">(SUM($D$78:S78)-IF(S$5&gt;=INDEX(Assumptions!$B:$B,MATCH("Infrastructure useful life (years)",Assumptions!$A:$A,0)),SUM($D$78:INDEX($D$78:S78,MAX(1,S$5-INDEX(Assumptions!$B:$B,MATCH("Infrastructure useful life (years)",Assumptions!$A:$A,0))+1))),0))/INDEX(Assumptions!$B:$B,MATCH("Infrastructure useful life (years)",Assumptions!$A:$A,0))+S34</f>
        <v>23587.097323762133</v>
      </c>
    </row>
    <row r="81" spans="1:1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16" t="s">
        <v>1806</v>
      </c>
      <c r="B82" s="3"/>
      <c r="C82" s="3"/>
      <c r="D82" s="77">
        <f t="array" aca="1" ref="D82" ca="1">IF(D$4=2025,IFERROR(INDEX('AI - Compute'!$D:$AC,MATCH("Sats deployed (actual)",'AI - Compute'!$A:$A,0),D$5+1),0),IFERROR(INDEX('AI - Compute'!$D:$AC,MATCH("Sats deployed (actual)",'AI - Compute'!$A:$A,0),D$5),0))</f>
        <v>0</v>
      </c>
      <c r="E82" s="77">
        <f t="array" aca="1" ref="E82" ca="1">IF(E$4=2025,IFERROR(INDEX('AI - Compute'!$D:$AC,MATCH("Sats deployed (actual)",'AI - Compute'!$A:$A,0),E$5+1),0),IFERROR(INDEX('AI - Compute'!$D:$AC,MATCH("Sats deployed (actual)",'AI - Compute'!$A:$A,0),E$5),0))</f>
        <v>0</v>
      </c>
      <c r="F82" s="77">
        <f t="array" aca="1" ref="F82" ca="1">IF(F$4=2025,IFERROR(INDEX('AI - Compute'!$D:$AC,MATCH("Sats deployed (actual)",'AI - Compute'!$A:$A,0),F$5+1),0),IFERROR(INDEX('AI - Compute'!$D:$AC,MATCH("Sats deployed (actual)",'AI - Compute'!$A:$A,0),F$5),0))</f>
        <v>0</v>
      </c>
      <c r="G82" s="77">
        <f t="array" aca="1" ref="G82" ca="1">IF(G$4=2025,IFERROR(INDEX('AI - Compute'!$D:$AC,MATCH("Sats deployed (actual)",'AI - Compute'!$A:$A,0),G$5+1),0),IFERROR(INDEX('AI - Compute'!$D:$AC,MATCH("Sats deployed (actual)",'AI - Compute'!$A:$A,0),G$5),0))</f>
        <v>0</v>
      </c>
      <c r="H82" s="77">
        <f t="array" aca="1" ref="H82" ca="1">IF(H$4=2025,IFERROR(INDEX('AI - Compute'!$D:$AC,MATCH("Sats deployed (actual)",'AI - Compute'!$A:$A,0),H$5+1),0),IFERROR(INDEX('AI - Compute'!$D:$AC,MATCH("Sats deployed (actual)",'AI - Compute'!$A:$A,0),H$5),0))</f>
        <v>900</v>
      </c>
      <c r="I82" s="77">
        <f t="array" aca="1" ref="I82" ca="1">IF(I$4=2025,IFERROR(INDEX('AI - Compute'!$D:$AC,MATCH("Sats deployed (actual)",'AI - Compute'!$A:$A,0),I$5+1),0),IFERROR(INDEX('AI - Compute'!$D:$AC,MATCH("Sats deployed (actual)",'AI - Compute'!$A:$A,0),I$5),0))</f>
        <v>3123</v>
      </c>
      <c r="J82" s="77">
        <f t="array" aca="1" ref="J82" ca="1">IF(J$4=2025,IFERROR(INDEX('AI - Compute'!$D:$AC,MATCH("Sats deployed (actual)",'AI - Compute'!$A:$A,0),J$5+1),0),IFERROR(INDEX('AI - Compute'!$D:$AC,MATCH("Sats deployed (actual)",'AI - Compute'!$A:$A,0),J$5),0))</f>
        <v>8848</v>
      </c>
      <c r="K82" s="77">
        <f t="array" aca="1" ref="K82" ca="1">IF(K$4=2025,IFERROR(INDEX('AI - Compute'!$D:$AC,MATCH("Sats deployed (actual)",'AI - Compute'!$A:$A,0),K$5+1),0),IFERROR(INDEX('AI - Compute'!$D:$AC,MATCH("Sats deployed (actual)",'AI - Compute'!$A:$A,0),K$5),0))</f>
        <v>19074</v>
      </c>
      <c r="L82" s="77">
        <f t="array" aca="1" ref="L82" ca="1">IF(L$4=2025,IFERROR(INDEX('AI - Compute'!$D:$AC,MATCH("Sats deployed (actual)",'AI - Compute'!$A:$A,0),L$5+1),0),IFERROR(INDEX('AI - Compute'!$D:$AC,MATCH("Sats deployed (actual)",'AI - Compute'!$A:$A,0),L$5),0))</f>
        <v>18308</v>
      </c>
      <c r="M82" s="77">
        <f t="array" aca="1" ref="M82" ca="1">IF(M$4=2025,IFERROR(INDEX('AI - Compute'!$D:$AC,MATCH("Sats deployed (actual)",'AI - Compute'!$A:$A,0),M$5+1),0),IFERROR(INDEX('AI - Compute'!$D:$AC,MATCH("Sats deployed (actual)",'AI - Compute'!$A:$A,0),M$5),0))</f>
        <v>11605</v>
      </c>
      <c r="N82" s="77">
        <f t="array" aca="1" ref="N82" ca="1">IF(N$4=2025,IFERROR(INDEX('AI - Compute'!$D:$AC,MATCH("Sats deployed (actual)",'AI - Compute'!$A:$A,0),N$5+1),0),IFERROR(INDEX('AI - Compute'!$D:$AC,MATCH("Sats deployed (actual)",'AI - Compute'!$A:$A,0),N$5),0))</f>
        <v>16598</v>
      </c>
      <c r="O82" s="77">
        <f t="array" aca="1" ref="O82" ca="1">IF(O$4=2025,IFERROR(INDEX('AI - Compute'!$D:$AC,MATCH("Sats deployed (actual)",'AI - Compute'!$A:$A,0),O$5+1),0),IFERROR(INDEX('AI - Compute'!$D:$AC,MATCH("Sats deployed (actual)",'AI - Compute'!$A:$A,0),O$5),0))</f>
        <v>25172</v>
      </c>
      <c r="P82" s="77">
        <f t="array" aca="1" ref="P82" ca="1">IF(P$4=2025,IFERROR(INDEX('AI - Compute'!$D:$AC,MATCH("Sats deployed (actual)",'AI - Compute'!$A:$A,0),P$5+1),0),IFERROR(INDEX('AI - Compute'!$D:$AC,MATCH("Sats deployed (actual)",'AI - Compute'!$A:$A,0),P$5),0))</f>
        <v>39430</v>
      </c>
      <c r="Q82" s="77">
        <f t="array" aca="1" ref="Q82" ca="1">IF(Q$4=2025,IFERROR(INDEX('AI - Compute'!$D:$AC,MATCH("Sats deployed (actual)",'AI - Compute'!$A:$A,0),Q$5+1),0),IFERROR(INDEX('AI - Compute'!$D:$AC,MATCH("Sats deployed (actual)",'AI - Compute'!$A:$A,0),Q$5),0))</f>
        <v>44564</v>
      </c>
      <c r="R82" s="77">
        <f t="array" aca="1" ref="R82" ca="1">IF(R$4=2025,IFERROR(INDEX('AI - Compute'!$D:$AC,MATCH("Sats deployed (actual)",'AI - Compute'!$A:$A,0),R$5+1),0),IFERROR(INDEX('AI - Compute'!$D:$AC,MATCH("Sats deployed (actual)",'AI - Compute'!$A:$A,0),R$5),0))</f>
        <v>44658</v>
      </c>
      <c r="S82" s="77">
        <f t="array" aca="1" ref="S82" ca="1">IF(S$4=2025,IFERROR(INDEX('AI - Compute'!$D:$AC,MATCH("Sats deployed (actual)",'AI - Compute'!$A:$A,0),S$5+1),0),IFERROR(INDEX('AI - Compute'!$D:$AC,MATCH("Sats deployed (actual)",'AI - Compute'!$A:$A,0),S$5),0))</f>
        <v>59859</v>
      </c>
    </row>
    <row r="83" spans="1:19">
      <c r="A83" s="16" t="s">
        <v>1807</v>
      </c>
      <c r="B83" s="3"/>
      <c r="C83" s="3"/>
      <c r="D83" s="23">
        <f t="shared" ref="D83:S83" ca="1" si="17">MAX(C83,D82)</f>
        <v>0</v>
      </c>
      <c r="E83" s="23">
        <f t="shared" ca="1" si="17"/>
        <v>0</v>
      </c>
      <c r="F83" s="23">
        <f t="shared" ca="1" si="17"/>
        <v>0</v>
      </c>
      <c r="G83" s="23">
        <f t="shared" ca="1" si="17"/>
        <v>0</v>
      </c>
      <c r="H83" s="23">
        <f t="shared" ca="1" si="17"/>
        <v>900</v>
      </c>
      <c r="I83" s="23">
        <f t="shared" ca="1" si="17"/>
        <v>3123</v>
      </c>
      <c r="J83" s="23">
        <f t="shared" ca="1" si="17"/>
        <v>8848</v>
      </c>
      <c r="K83" s="23">
        <f t="shared" ca="1" si="17"/>
        <v>19074</v>
      </c>
      <c r="L83" s="23">
        <f t="shared" ca="1" si="17"/>
        <v>19074</v>
      </c>
      <c r="M83" s="23">
        <f t="shared" ca="1" si="17"/>
        <v>19074</v>
      </c>
      <c r="N83" s="23">
        <f t="shared" ca="1" si="17"/>
        <v>19074</v>
      </c>
      <c r="O83" s="23">
        <f t="shared" ca="1" si="17"/>
        <v>25172</v>
      </c>
      <c r="P83" s="23">
        <f t="shared" ca="1" si="17"/>
        <v>39430</v>
      </c>
      <c r="Q83" s="23">
        <f t="shared" ca="1" si="17"/>
        <v>44564</v>
      </c>
      <c r="R83" s="23">
        <f t="shared" ca="1" si="17"/>
        <v>44658</v>
      </c>
      <c r="S83" s="23">
        <f t="shared" ca="1" si="17"/>
        <v>59859</v>
      </c>
    </row>
    <row r="84" spans="1:19">
      <c r="A84" s="183" t="s">
        <v>1808</v>
      </c>
      <c r="B84" s="78"/>
      <c r="C84" s="78"/>
      <c r="D84" s="79">
        <f ca="1">MAX(0,D83-C83)*INDEX(Assumptions!$B:$B,MATCH("ODC sat-factory CapEx ($mm per sat/yr of capacity)",Assumptions!$A:$A,0))</f>
        <v>0</v>
      </c>
      <c r="E84" s="79">
        <f ca="1">MAX(0,E83-D83)*INDEX(Assumptions!$B:$B,MATCH("ODC sat-factory CapEx ($mm per sat/yr of capacity)",Assumptions!$A:$A,0))</f>
        <v>0</v>
      </c>
      <c r="F84" s="79">
        <f ca="1">MAX(0,F83-E83)*INDEX(Assumptions!$B:$B,MATCH("ODC sat-factory CapEx ($mm per sat/yr of capacity)",Assumptions!$A:$A,0))</f>
        <v>0</v>
      </c>
      <c r="G84" s="79">
        <f ca="1">MAX(0,G83-F83)*INDEX(Assumptions!$B:$B,MATCH("ODC sat-factory CapEx ($mm per sat/yr of capacity)",Assumptions!$A:$A,0))</f>
        <v>0</v>
      </c>
      <c r="H84" s="79">
        <f ca="1">MAX(0,H83-G83)*INDEX(Assumptions!$B:$B,MATCH("ODC sat-factory CapEx ($mm per sat/yr of capacity)",Assumptions!$A:$A,0))</f>
        <v>270</v>
      </c>
      <c r="I84" s="79">
        <f ca="1">MAX(0,I83-H83)*INDEX(Assumptions!$B:$B,MATCH("ODC sat-factory CapEx ($mm per sat/yr of capacity)",Assumptions!$A:$A,0))</f>
        <v>666.9</v>
      </c>
      <c r="J84" s="79">
        <f ca="1">MAX(0,J83-I83)*INDEX(Assumptions!$B:$B,MATCH("ODC sat-factory CapEx ($mm per sat/yr of capacity)",Assumptions!$A:$A,0))</f>
        <v>1717.5</v>
      </c>
      <c r="K84" s="79">
        <f ca="1">MAX(0,K83-J83)*INDEX(Assumptions!$B:$B,MATCH("ODC sat-factory CapEx ($mm per sat/yr of capacity)",Assumptions!$A:$A,0))</f>
        <v>3067.7999999999997</v>
      </c>
      <c r="L84" s="79">
        <f ca="1">MAX(0,L83-K83)*INDEX(Assumptions!$B:$B,MATCH("ODC sat-factory CapEx ($mm per sat/yr of capacity)",Assumptions!$A:$A,0))</f>
        <v>0</v>
      </c>
      <c r="M84" s="79">
        <f ca="1">MAX(0,M83-L83)*INDEX(Assumptions!$B:$B,MATCH("ODC sat-factory CapEx ($mm per sat/yr of capacity)",Assumptions!$A:$A,0))</f>
        <v>0</v>
      </c>
      <c r="N84" s="79">
        <f ca="1">MAX(0,N83-M83)*INDEX(Assumptions!$B:$B,MATCH("ODC sat-factory CapEx ($mm per sat/yr of capacity)",Assumptions!$A:$A,0))</f>
        <v>0</v>
      </c>
      <c r="O84" s="79">
        <f ca="1">MAX(0,O83-N83)*INDEX(Assumptions!$B:$B,MATCH("ODC sat-factory CapEx ($mm per sat/yr of capacity)",Assumptions!$A:$A,0))</f>
        <v>1829.3999999999999</v>
      </c>
      <c r="P84" s="79">
        <f ca="1">MAX(0,P83-O83)*INDEX(Assumptions!$B:$B,MATCH("ODC sat-factory CapEx ($mm per sat/yr of capacity)",Assumptions!$A:$A,0))</f>
        <v>4277.3999999999996</v>
      </c>
      <c r="Q84" s="79">
        <f ca="1">MAX(0,Q83-P83)*INDEX(Assumptions!$B:$B,MATCH("ODC sat-factory CapEx ($mm per sat/yr of capacity)",Assumptions!$A:$A,0))</f>
        <v>1540.2</v>
      </c>
      <c r="R84" s="79">
        <f ca="1">MAX(0,R83-Q83)*INDEX(Assumptions!$B:$B,MATCH("ODC sat-factory CapEx ($mm per sat/yr of capacity)",Assumptions!$A:$A,0))</f>
        <v>28.2</v>
      </c>
      <c r="S84" s="79">
        <f ca="1">MAX(0,S83-R83)*INDEX(Assumptions!$B:$B,MATCH("ODC sat-factory CapEx ($mm per sat/yr of capacity)",Assumptions!$A:$A,0))</f>
        <v>4560.3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AC133"/>
  <sheetViews>
    <sheetView showGridLines="0" zoomScale="150" zoomScaleNormal="150" workbookViewId="0">
      <selection activeCell="U29" sqref="U29"/>
    </sheetView>
  </sheetViews>
  <sheetFormatPr baseColWidth="10" defaultColWidth="10.6640625" defaultRowHeight="16"/>
  <cols>
    <col min="1" max="1" width="38.33203125" customWidth="1"/>
  </cols>
  <sheetData>
    <row r="4" spans="1:29">
      <c r="A4" s="64"/>
      <c r="B4" s="64"/>
      <c r="C4" s="64"/>
      <c r="D4" s="75">
        <v>2025</v>
      </c>
      <c r="E4" s="75">
        <v>2026</v>
      </c>
      <c r="F4" s="75">
        <v>2027</v>
      </c>
      <c r="G4" s="75">
        <v>2028</v>
      </c>
      <c r="H4" s="75">
        <v>2029</v>
      </c>
      <c r="I4" s="75">
        <v>2030</v>
      </c>
      <c r="J4" s="75">
        <v>2031</v>
      </c>
      <c r="K4" s="75">
        <v>2032</v>
      </c>
      <c r="L4" s="75">
        <v>2033</v>
      </c>
      <c r="M4" s="75">
        <v>2034</v>
      </c>
      <c r="N4" s="75">
        <v>2035</v>
      </c>
      <c r="O4" s="75">
        <v>2036</v>
      </c>
      <c r="P4" s="75">
        <v>2037</v>
      </c>
      <c r="Q4" s="75">
        <v>2038</v>
      </c>
      <c r="R4" s="75">
        <v>2039</v>
      </c>
      <c r="S4" s="75">
        <v>2040</v>
      </c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>
      <c r="A5" s="66"/>
      <c r="B5" s="66"/>
      <c r="C5" s="66"/>
      <c r="D5" s="76">
        <v>0</v>
      </c>
      <c r="E5" s="76">
        <v>1</v>
      </c>
      <c r="F5" s="76">
        <v>2</v>
      </c>
      <c r="G5" s="76">
        <v>3</v>
      </c>
      <c r="H5" s="76">
        <v>4</v>
      </c>
      <c r="I5" s="76">
        <v>5</v>
      </c>
      <c r="J5" s="76">
        <v>6</v>
      </c>
      <c r="K5" s="76">
        <v>7</v>
      </c>
      <c r="L5" s="76">
        <v>8</v>
      </c>
      <c r="M5" s="76">
        <v>9</v>
      </c>
      <c r="N5" s="76">
        <v>10</v>
      </c>
      <c r="O5" s="76">
        <v>11</v>
      </c>
      <c r="P5" s="76">
        <v>12</v>
      </c>
      <c r="Q5" s="76">
        <v>13</v>
      </c>
      <c r="R5" s="76">
        <v>14</v>
      </c>
      <c r="S5" s="76">
        <v>15</v>
      </c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29" ht="17">
      <c r="A6" s="1" t="s">
        <v>1809</v>
      </c>
      <c r="B6" s="1"/>
      <c r="C6" s="1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>
      <c r="A7" s="94"/>
      <c r="B7" s="3"/>
      <c r="C7" s="3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29">
      <c r="A8" s="13" t="s">
        <v>1810</v>
      </c>
      <c r="B8" s="13"/>
      <c r="C8" s="13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 spans="1:29">
      <c r="A9" s="5" t="s">
        <v>1811</v>
      </c>
      <c r="B9" s="3"/>
      <c r="C9" s="3"/>
      <c r="D9" s="188">
        <f>Starlink!D145</f>
        <v>11387</v>
      </c>
      <c r="E9" s="188">
        <f ca="1">Starlink!E145</f>
        <v>14475.106234106988</v>
      </c>
      <c r="F9" s="188">
        <f ca="1">Starlink!F145</f>
        <v>55338.596743838403</v>
      </c>
      <c r="G9" s="188">
        <f ca="1">Starlink!G145</f>
        <v>109323.47623794759</v>
      </c>
      <c r="H9" s="188">
        <f ca="1">Starlink!H145</f>
        <v>190403.45159617718</v>
      </c>
      <c r="I9" s="188">
        <f ca="1">Starlink!I145</f>
        <v>239511.70228438367</v>
      </c>
      <c r="J9" s="188">
        <f ca="1">Starlink!J145</f>
        <v>286754.23880448355</v>
      </c>
      <c r="K9" s="188">
        <f ca="1">Starlink!K145</f>
        <v>305862.28548387572</v>
      </c>
      <c r="L9" s="188">
        <f ca="1">Starlink!L145</f>
        <v>305189.84832674917</v>
      </c>
      <c r="M9" s="188">
        <f ca="1">Starlink!M145</f>
        <v>308216.54693581327</v>
      </c>
      <c r="N9" s="188">
        <f ca="1">Starlink!N145</f>
        <v>337933.87097962602</v>
      </c>
      <c r="O9" s="188">
        <f ca="1">Starlink!O145</f>
        <v>362502.95661672397</v>
      </c>
      <c r="P9" s="188">
        <f ca="1">Starlink!P145</f>
        <v>375846.90635252785</v>
      </c>
      <c r="Q9" s="188">
        <f ca="1">Starlink!Q145</f>
        <v>389002.48852865206</v>
      </c>
      <c r="R9" s="188">
        <f ca="1">Starlink!R145</f>
        <v>393852.26312246895</v>
      </c>
      <c r="S9" s="188">
        <f ca="1">Starlink!S145</f>
        <v>395878.00630625436</v>
      </c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29">
      <c r="A10" s="5" t="s">
        <v>1812</v>
      </c>
      <c r="B10" s="3"/>
      <c r="C10" s="3"/>
      <c r="D10" s="188">
        <f>'Customer Launch'!D101</f>
        <v>4086</v>
      </c>
      <c r="E10" s="188">
        <f ca="1">'Customer Launch'!E101</f>
        <v>6188.7</v>
      </c>
      <c r="F10" s="188">
        <f ca="1">'Customer Launch'!F101</f>
        <v>12635.582999083921</v>
      </c>
      <c r="G10" s="188">
        <f ca="1">'Customer Launch'!G101</f>
        <v>13761.278827776683</v>
      </c>
      <c r="H10" s="188">
        <f ca="1">'Customer Launch'!H101</f>
        <v>15188.224901211415</v>
      </c>
      <c r="I10" s="188">
        <f ca="1">'Customer Launch'!I101</f>
        <v>16723.185159375007</v>
      </c>
      <c r="J10" s="188">
        <f ca="1">'Customer Launch'!J101</f>
        <v>16655.144417343749</v>
      </c>
      <c r="K10" s="188">
        <f ca="1">'Customer Launch'!K101</f>
        <v>23675.384259261053</v>
      </c>
      <c r="L10" s="188">
        <f ca="1">'Customer Launch'!L101</f>
        <v>23984.860090786795</v>
      </c>
      <c r="M10" s="188">
        <f ca="1">'Customer Launch'!M101</f>
        <v>23936.178616087949</v>
      </c>
      <c r="N10" s="188">
        <f ca="1">'Customer Launch'!N101</f>
        <v>23782.221567269309</v>
      </c>
      <c r="O10" s="188">
        <f ca="1">'Customer Launch'!O101</f>
        <v>23615.430247676661</v>
      </c>
      <c r="P10" s="188">
        <f ca="1">'Customer Launch'!P101</f>
        <v>23461.374661653583</v>
      </c>
      <c r="Q10" s="188">
        <f ca="1">'Customer Launch'!Q101</f>
        <v>23325.092052918619</v>
      </c>
      <c r="R10" s="188">
        <f ca="1">'Customer Launch'!R101</f>
        <v>23206.623560614848</v>
      </c>
      <c r="S10" s="188">
        <f ca="1">'Customer Launch'!S101</f>
        <v>3467.9815509111659</v>
      </c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>
      <c r="A11" s="5" t="s">
        <v>1813</v>
      </c>
      <c r="B11" s="3"/>
      <c r="C11" s="3"/>
      <c r="D11" s="188">
        <f>IF($D$5=0,'AI - Compute'!$D$260,'AI - Compute'!D8)</f>
        <v>3201</v>
      </c>
      <c r="E11" s="188">
        <f ca="1">'AI - Compute'!E8</f>
        <v>1812.6264885445848</v>
      </c>
      <c r="F11" s="188">
        <f ca="1">'AI - Compute'!F8</f>
        <v>6528.1820219168358</v>
      </c>
      <c r="G11" s="188">
        <f ca="1">'AI - Compute'!G8</f>
        <v>8768.39973774807</v>
      </c>
      <c r="H11" s="188">
        <f ca="1">'AI - Compute'!H8</f>
        <v>17761.260327799599</v>
      </c>
      <c r="I11" s="188">
        <f ca="1">'AI - Compute'!I8</f>
        <v>47175.751860515215</v>
      </c>
      <c r="J11" s="188">
        <f ca="1">'AI - Compute'!J8</f>
        <v>104353.77614850162</v>
      </c>
      <c r="K11" s="188">
        <f ca="1">'AI - Compute'!K8</f>
        <v>159539.67599042697</v>
      </c>
      <c r="L11" s="188">
        <f ca="1">'AI - Compute'!L8</f>
        <v>184438.69835653342</v>
      </c>
      <c r="M11" s="188">
        <f ca="1">'AI - Compute'!M8</f>
        <v>230079.53526620747</v>
      </c>
      <c r="N11" s="188">
        <f ca="1">'AI - Compute'!N8</f>
        <v>309160.70216309285</v>
      </c>
      <c r="O11" s="188">
        <f ca="1">'AI - Compute'!O8</f>
        <v>448419.76677063049</v>
      </c>
      <c r="P11" s="188">
        <f ca="1">'AI - Compute'!P8</f>
        <v>616245.58447598969</v>
      </c>
      <c r="Q11" s="188">
        <f ca="1">'AI - Compute'!Q8</f>
        <v>787605.10429887811</v>
      </c>
      <c r="R11" s="188">
        <f ca="1">'AI - Compute'!R8</f>
        <v>1040516.285681007</v>
      </c>
      <c r="S11" s="188">
        <f ca="1">'AI - Compute'!S8</f>
        <v>1382289.9990574655</v>
      </c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spans="1:29">
      <c r="A12" s="5" t="s">
        <v>1814</v>
      </c>
      <c r="B12" s="3"/>
      <c r="C12" s="3"/>
      <c r="D12" s="188">
        <f>'Lunar - Mars'!D81</f>
        <v>0</v>
      </c>
      <c r="E12" s="188">
        <f>'Lunar - Mars'!E81</f>
        <v>0</v>
      </c>
      <c r="F12" s="188">
        <f>'Lunar - Mars'!F81</f>
        <v>0</v>
      </c>
      <c r="G12" s="188">
        <f>'Lunar - Mars'!G81</f>
        <v>0</v>
      </c>
      <c r="H12" s="188">
        <f>'Lunar - Mars'!H81</f>
        <v>0</v>
      </c>
      <c r="I12" s="188">
        <f>'Lunar - Mars'!I81</f>
        <v>0</v>
      </c>
      <c r="J12" s="188">
        <f>'Lunar - Mars'!J81</f>
        <v>0</v>
      </c>
      <c r="K12" s="188">
        <f>'Lunar - Mars'!K81</f>
        <v>0</v>
      </c>
      <c r="L12" s="188">
        <f>'Lunar - Mars'!L81</f>
        <v>0</v>
      </c>
      <c r="M12" s="188">
        <f>'Lunar - Mars'!M81</f>
        <v>0</v>
      </c>
      <c r="N12" s="188">
        <f>'Lunar - Mars'!N81</f>
        <v>0</v>
      </c>
      <c r="O12" s="188">
        <f>'Lunar - Mars'!O81</f>
        <v>0</v>
      </c>
      <c r="P12" s="188">
        <f>'Lunar - Mars'!P81</f>
        <v>0</v>
      </c>
      <c r="Q12" s="188">
        <f>'Lunar - Mars'!Q81</f>
        <v>0</v>
      </c>
      <c r="R12" s="188">
        <f>'Lunar - Mars'!R81</f>
        <v>0</v>
      </c>
      <c r="S12" s="188">
        <f>'Lunar - Mars'!S81</f>
        <v>0</v>
      </c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spans="1:29">
      <c r="A13" s="5" t="s">
        <v>1815</v>
      </c>
      <c r="B13" s="3"/>
      <c r="C13" s="3"/>
      <c r="D13" s="189">
        <f t="shared" ref="D13:S13" si="0">-D101</f>
        <v>0</v>
      </c>
      <c r="E13" s="189">
        <f t="shared" si="0"/>
        <v>0</v>
      </c>
      <c r="F13" s="189">
        <f t="shared" si="0"/>
        <v>0</v>
      </c>
      <c r="G13" s="189">
        <f t="shared" si="0"/>
        <v>0</v>
      </c>
      <c r="H13" s="189">
        <f t="shared" si="0"/>
        <v>0</v>
      </c>
      <c r="I13" s="189">
        <f t="shared" si="0"/>
        <v>0</v>
      </c>
      <c r="J13" s="189">
        <f t="shared" si="0"/>
        <v>0</v>
      </c>
      <c r="K13" s="189">
        <f t="shared" si="0"/>
        <v>0</v>
      </c>
      <c r="L13" s="189">
        <f t="shared" si="0"/>
        <v>0</v>
      </c>
      <c r="M13" s="189">
        <f t="shared" si="0"/>
        <v>0</v>
      </c>
      <c r="N13" s="189">
        <f t="shared" si="0"/>
        <v>0</v>
      </c>
      <c r="O13" s="189">
        <f t="shared" si="0"/>
        <v>0</v>
      </c>
      <c r="P13" s="189">
        <f t="shared" si="0"/>
        <v>0</v>
      </c>
      <c r="Q13" s="189">
        <f t="shared" si="0"/>
        <v>0</v>
      </c>
      <c r="R13" s="189">
        <f t="shared" si="0"/>
        <v>0</v>
      </c>
      <c r="S13" s="189">
        <f t="shared" si="0"/>
        <v>0</v>
      </c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1:29">
      <c r="A14" s="78" t="s">
        <v>1816</v>
      </c>
      <c r="B14" s="78"/>
      <c r="C14" s="78"/>
      <c r="D14" s="190">
        <f t="shared" ref="D14:S14" si="1">D9+D10+D11+D12+D13</f>
        <v>18674</v>
      </c>
      <c r="E14" s="190">
        <f t="shared" ca="1" si="1"/>
        <v>22476.432722651574</v>
      </c>
      <c r="F14" s="190">
        <f t="shared" ca="1" si="1"/>
        <v>74502.361764839152</v>
      </c>
      <c r="G14" s="190">
        <f t="shared" ca="1" si="1"/>
        <v>131853.15480347234</v>
      </c>
      <c r="H14" s="190">
        <f t="shared" ca="1" si="1"/>
        <v>223352.9368251882</v>
      </c>
      <c r="I14" s="190">
        <f t="shared" ca="1" si="1"/>
        <v>303410.63930427388</v>
      </c>
      <c r="J14" s="190">
        <f t="shared" ca="1" si="1"/>
        <v>407763.15937032894</v>
      </c>
      <c r="K14" s="190">
        <f t="shared" ca="1" si="1"/>
        <v>489077.34573356376</v>
      </c>
      <c r="L14" s="190">
        <f t="shared" ca="1" si="1"/>
        <v>513613.40677406942</v>
      </c>
      <c r="M14" s="190">
        <f t="shared" ca="1" si="1"/>
        <v>562232.26081810868</v>
      </c>
      <c r="N14" s="190">
        <f t="shared" ca="1" si="1"/>
        <v>670876.79470998817</v>
      </c>
      <c r="O14" s="190">
        <f t="shared" ca="1" si="1"/>
        <v>834538.15363503108</v>
      </c>
      <c r="P14" s="190">
        <f t="shared" ca="1" si="1"/>
        <v>1015553.8654901711</v>
      </c>
      <c r="Q14" s="190">
        <f t="shared" ca="1" si="1"/>
        <v>1199932.6848804487</v>
      </c>
      <c r="R14" s="190">
        <f t="shared" ca="1" si="1"/>
        <v>1457575.1723640908</v>
      </c>
      <c r="S14" s="190">
        <f t="shared" ca="1" si="1"/>
        <v>1781635.986914631</v>
      </c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>
      <c r="A15" s="3"/>
      <c r="B15" s="3"/>
      <c r="C15" s="3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>
      <c r="A16" s="13" t="s">
        <v>1817</v>
      </c>
      <c r="B16" s="13"/>
      <c r="C16" s="13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>
      <c r="A17" s="5" t="s">
        <v>1818</v>
      </c>
      <c r="B17" s="3"/>
      <c r="C17" s="3"/>
      <c r="D17" s="188">
        <f>Starlink!D146</f>
        <v>5921</v>
      </c>
      <c r="E17" s="188">
        <f ca="1">Starlink!E146</f>
        <v>4646.4787159166008</v>
      </c>
      <c r="F17" s="188">
        <f ca="1">Starlink!F146</f>
        <v>19308.552370473164</v>
      </c>
      <c r="G17" s="188">
        <f ca="1">Starlink!G146</f>
        <v>34289.054445362177</v>
      </c>
      <c r="H17" s="188">
        <f ca="1">Starlink!H146</f>
        <v>55557.645353542015</v>
      </c>
      <c r="I17" s="188">
        <f ca="1">Starlink!I146</f>
        <v>46865.913723047131</v>
      </c>
      <c r="J17" s="188">
        <f ca="1">Starlink!J146</f>
        <v>55858.16693740357</v>
      </c>
      <c r="K17" s="188">
        <f ca="1">Starlink!K146</f>
        <v>49751.194464861634</v>
      </c>
      <c r="L17" s="188">
        <f ca="1">Starlink!L146</f>
        <v>41960.443089763234</v>
      </c>
      <c r="M17" s="188">
        <f ca="1">Starlink!M146</f>
        <v>38659.29168570014</v>
      </c>
      <c r="N17" s="188">
        <f ca="1">Starlink!N146</f>
        <v>50035.728043879892</v>
      </c>
      <c r="O17" s="188">
        <f ca="1">Starlink!O146</f>
        <v>54158.128987992066</v>
      </c>
      <c r="P17" s="188">
        <f ca="1">Starlink!P146</f>
        <v>49598.105789163281</v>
      </c>
      <c r="Q17" s="188">
        <f ca="1">Starlink!Q146</f>
        <v>48202.613332211484</v>
      </c>
      <c r="R17" s="188">
        <f ca="1">Starlink!R146</f>
        <v>43707.480612333246</v>
      </c>
      <c r="S17" s="188">
        <f ca="1">Starlink!S146</f>
        <v>40938.072643426422</v>
      </c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>
      <c r="A18" s="5" t="s">
        <v>1819</v>
      </c>
      <c r="B18" s="3"/>
      <c r="C18" s="3"/>
      <c r="D18" s="188">
        <f>'Customer Launch'!D101-'Customer Launch'!D103</f>
        <v>1352</v>
      </c>
      <c r="E18" s="188">
        <f ca="1">'Customer Launch'!E101-'Customer Launch'!E103</f>
        <v>1873.8090000000002</v>
      </c>
      <c r="F18" s="188">
        <f ca="1">'Customer Launch'!F101-'Customer Launch'!F103</f>
        <v>4317.8732403061167</v>
      </c>
      <c r="G18" s="188">
        <f ca="1">'Customer Launch'!G101-'Customer Launch'!G103</f>
        <v>4722.9153588909012</v>
      </c>
      <c r="H18" s="188">
        <f ca="1">'Customer Launch'!H101-'Customer Launch'!H103</f>
        <v>5242.0206236076228</v>
      </c>
      <c r="I18" s="188">
        <f ca="1">'Customer Launch'!I101-'Customer Launch'!I103</f>
        <v>5801.1229611562521</v>
      </c>
      <c r="J18" s="188">
        <f ca="1">'Customer Launch'!J101-'Customer Launch'!J103</f>
        <v>5744.9101092140627</v>
      </c>
      <c r="K18" s="188">
        <f ca="1">'Customer Launch'!K101-'Customer Launch'!K103</f>
        <v>9737.0654468687189</v>
      </c>
      <c r="L18" s="188">
        <f ca="1">'Customer Launch'!L101-'Customer Launch'!L103</f>
        <v>10655.124402394469</v>
      </c>
      <c r="M18" s="188">
        <f ca="1">'Customer Launch'!M101-'Customer Launch'!M103</f>
        <v>11444.610116168178</v>
      </c>
      <c r="N18" s="188">
        <f ca="1">'Customer Launch'!N101-'Customer Launch'!N103</f>
        <v>12200.075124295885</v>
      </c>
      <c r="O18" s="188">
        <f ca="1">'Customer Launch'!O101-'Customer Launch'!O103</f>
        <v>12975.527843373786</v>
      </c>
      <c r="P18" s="188">
        <f ca="1">'Customer Launch'!P101-'Customer Launch'!P103</f>
        <v>13796.975188170336</v>
      </c>
      <c r="Q18" s="188">
        <f ca="1">'Customer Launch'!Q101-'Customer Launch'!Q103</f>
        <v>14677.744886523449</v>
      </c>
      <c r="R18" s="188">
        <f ca="1">'Customer Launch'!R101-'Customer Launch'!R103</f>
        <v>15626.263536234064</v>
      </c>
      <c r="S18" s="188">
        <f ca="1">'Customer Launch'!S101-'Customer Launch'!S103</f>
        <v>345.6587085637816</v>
      </c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>
      <c r="A19" s="5" t="s">
        <v>1820</v>
      </c>
      <c r="B19" s="3"/>
      <c r="C19" s="3"/>
      <c r="D19" s="188">
        <f>IF($D$5=0,'AI - Compute'!$D$261,'AI - Compute'!D173)</f>
        <v>2178</v>
      </c>
      <c r="E19" s="188">
        <f ca="1">'AI - Compute'!E173</f>
        <v>63.952327628662125</v>
      </c>
      <c r="F19" s="188">
        <f ca="1">'AI - Compute'!F173</f>
        <v>292.01762944085687</v>
      </c>
      <c r="G19" s="188">
        <f ca="1">'AI - Compute'!G173</f>
        <v>513.38593644767002</v>
      </c>
      <c r="H19" s="188">
        <f ca="1">'AI - Compute'!H173</f>
        <v>970.57737053318056</v>
      </c>
      <c r="I19" s="188">
        <f ca="1">'AI - Compute'!I173</f>
        <v>2107.8764756553796</v>
      </c>
      <c r="J19" s="188">
        <f ca="1">'AI - Compute'!J173</f>
        <v>3974.5775377373034</v>
      </c>
      <c r="K19" s="188">
        <f ca="1">'AI - Compute'!K173</f>
        <v>5406.2823908690389</v>
      </c>
      <c r="L19" s="188">
        <f ca="1">'AI - Compute'!L173</f>
        <v>5502.2610534203186</v>
      </c>
      <c r="M19" s="188">
        <f ca="1">'AI - Compute'!M173</f>
        <v>6785.2758608928452</v>
      </c>
      <c r="N19" s="188">
        <f ca="1">'AI - Compute'!N173</f>
        <v>8924.429852262143</v>
      </c>
      <c r="O19" s="188">
        <f ca="1">'AI - Compute'!O173</f>
        <v>12754.464653054307</v>
      </c>
      <c r="P19" s="188">
        <f ca="1">'AI - Compute'!P173</f>
        <v>17027.024431935402</v>
      </c>
      <c r="Q19" s="188">
        <f ca="1">'AI - Compute'!Q173</f>
        <v>21050.887641541362</v>
      </c>
      <c r="R19" s="188">
        <f ca="1">'AI - Compute'!R173</f>
        <v>27787.882454160437</v>
      </c>
      <c r="S19" s="188">
        <f ca="1">'AI - Compute'!S173</f>
        <v>36500.790701012418</v>
      </c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29">
      <c r="A20" s="5" t="s">
        <v>1821</v>
      </c>
      <c r="B20" s="3"/>
      <c r="C20" s="3"/>
      <c r="D20" s="189">
        <f>0</f>
        <v>0</v>
      </c>
      <c r="E20" s="189">
        <f>0</f>
        <v>0</v>
      </c>
      <c r="F20" s="189">
        <f>0</f>
        <v>0</v>
      </c>
      <c r="G20" s="189">
        <f>0</f>
        <v>0</v>
      </c>
      <c r="H20" s="189">
        <f>0</f>
        <v>0</v>
      </c>
      <c r="I20" s="189">
        <f>0</f>
        <v>0</v>
      </c>
      <c r="J20" s="189">
        <f>0</f>
        <v>0</v>
      </c>
      <c r="K20" s="189">
        <f>0</f>
        <v>0</v>
      </c>
      <c r="L20" s="189">
        <f>0</f>
        <v>0</v>
      </c>
      <c r="M20" s="189">
        <f>0</f>
        <v>0</v>
      </c>
      <c r="N20" s="189">
        <f>0</f>
        <v>0</v>
      </c>
      <c r="O20" s="189">
        <f>0</f>
        <v>0</v>
      </c>
      <c r="P20" s="189">
        <f>0</f>
        <v>0</v>
      </c>
      <c r="Q20" s="189">
        <f>0</f>
        <v>0</v>
      </c>
      <c r="R20" s="189">
        <f>0</f>
        <v>0</v>
      </c>
      <c r="S20" s="189">
        <f>0</f>
        <v>0</v>
      </c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spans="1:29">
      <c r="A21" s="5" t="s">
        <v>1815</v>
      </c>
      <c r="B21" s="3"/>
      <c r="C21" s="3"/>
      <c r="D21" s="189">
        <f t="shared" ref="D21:S21" si="2">-D101</f>
        <v>0</v>
      </c>
      <c r="E21" s="189">
        <f t="shared" si="2"/>
        <v>0</v>
      </c>
      <c r="F21" s="189">
        <f t="shared" si="2"/>
        <v>0</v>
      </c>
      <c r="G21" s="189">
        <f t="shared" si="2"/>
        <v>0</v>
      </c>
      <c r="H21" s="189">
        <f t="shared" si="2"/>
        <v>0</v>
      </c>
      <c r="I21" s="189">
        <f t="shared" si="2"/>
        <v>0</v>
      </c>
      <c r="J21" s="189">
        <f t="shared" si="2"/>
        <v>0</v>
      </c>
      <c r="K21" s="189">
        <f t="shared" si="2"/>
        <v>0</v>
      </c>
      <c r="L21" s="189">
        <f t="shared" si="2"/>
        <v>0</v>
      </c>
      <c r="M21" s="189">
        <f t="shared" si="2"/>
        <v>0</v>
      </c>
      <c r="N21" s="189">
        <f t="shared" si="2"/>
        <v>0</v>
      </c>
      <c r="O21" s="189">
        <f t="shared" si="2"/>
        <v>0</v>
      </c>
      <c r="P21" s="189">
        <f t="shared" si="2"/>
        <v>0</v>
      </c>
      <c r="Q21" s="189">
        <f t="shared" si="2"/>
        <v>0</v>
      </c>
      <c r="R21" s="189">
        <f t="shared" si="2"/>
        <v>0</v>
      </c>
      <c r="S21" s="189">
        <f t="shared" si="2"/>
        <v>0</v>
      </c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spans="1:29">
      <c r="A22" s="78" t="s">
        <v>1822</v>
      </c>
      <c r="B22" s="78"/>
      <c r="C22" s="78"/>
      <c r="D22" s="190">
        <f t="shared" ref="D22:S22" si="3">D17+D18+D19+D20+D21</f>
        <v>9451</v>
      </c>
      <c r="E22" s="190">
        <f t="shared" ca="1" si="3"/>
        <v>6584.2400435452628</v>
      </c>
      <c r="F22" s="190">
        <f t="shared" ca="1" si="3"/>
        <v>23918.443240220138</v>
      </c>
      <c r="G22" s="190">
        <f t="shared" ca="1" si="3"/>
        <v>39525.355740700747</v>
      </c>
      <c r="H22" s="190">
        <f t="shared" ca="1" si="3"/>
        <v>61770.243347682816</v>
      </c>
      <c r="I22" s="190">
        <f t="shared" ca="1" si="3"/>
        <v>54774.913159858763</v>
      </c>
      <c r="J22" s="190">
        <f t="shared" ca="1" si="3"/>
        <v>65577.654584354939</v>
      </c>
      <c r="K22" s="190">
        <f t="shared" ca="1" si="3"/>
        <v>64894.542302599395</v>
      </c>
      <c r="L22" s="190">
        <f t="shared" ca="1" si="3"/>
        <v>58117.828545578021</v>
      </c>
      <c r="M22" s="190">
        <f t="shared" ca="1" si="3"/>
        <v>56889.177662761169</v>
      </c>
      <c r="N22" s="190">
        <f t="shared" ca="1" si="3"/>
        <v>71160.233020437925</v>
      </c>
      <c r="O22" s="190">
        <f t="shared" ca="1" si="3"/>
        <v>79888.12148442016</v>
      </c>
      <c r="P22" s="190">
        <f t="shared" ca="1" si="3"/>
        <v>80422.105409269017</v>
      </c>
      <c r="Q22" s="190">
        <f t="shared" ca="1" si="3"/>
        <v>83931.245860276293</v>
      </c>
      <c r="R22" s="190">
        <f t="shared" ca="1" si="3"/>
        <v>87121.626602727745</v>
      </c>
      <c r="S22" s="190">
        <f t="shared" ca="1" si="3"/>
        <v>77784.522053002613</v>
      </c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spans="1:29">
      <c r="A23" s="94"/>
      <c r="B23" s="3"/>
      <c r="C23" s="3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1:29">
      <c r="A24" s="13" t="s">
        <v>1823</v>
      </c>
      <c r="B24" s="13"/>
      <c r="C24" s="13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spans="1:29">
      <c r="A25" s="5" t="s">
        <v>1824</v>
      </c>
      <c r="B25" s="3"/>
      <c r="C25" s="3"/>
      <c r="D25" s="189">
        <f t="shared" ref="D25:S25" si="4">D9-D17</f>
        <v>5466</v>
      </c>
      <c r="E25" s="189">
        <f t="shared" ca="1" si="4"/>
        <v>9828.6275181903875</v>
      </c>
      <c r="F25" s="189">
        <f t="shared" ca="1" si="4"/>
        <v>36030.044373365236</v>
      </c>
      <c r="G25" s="189">
        <f t="shared" ca="1" si="4"/>
        <v>75034.421792585403</v>
      </c>
      <c r="H25" s="189">
        <f t="shared" ca="1" si="4"/>
        <v>134845.80624263518</v>
      </c>
      <c r="I25" s="189">
        <f t="shared" ca="1" si="4"/>
        <v>192645.78856133655</v>
      </c>
      <c r="J25" s="189">
        <f t="shared" ca="1" si="4"/>
        <v>230896.07186708</v>
      </c>
      <c r="K25" s="189">
        <f t="shared" ca="1" si="4"/>
        <v>256111.09101901407</v>
      </c>
      <c r="L25" s="189">
        <f t="shared" ca="1" si="4"/>
        <v>263229.40523698594</v>
      </c>
      <c r="M25" s="189">
        <f t="shared" ca="1" si="4"/>
        <v>269557.25525011314</v>
      </c>
      <c r="N25" s="189">
        <f t="shared" ca="1" si="4"/>
        <v>287898.14293574612</v>
      </c>
      <c r="O25" s="189">
        <f t="shared" ca="1" si="4"/>
        <v>308344.8276287319</v>
      </c>
      <c r="P25" s="189">
        <f t="shared" ca="1" si="4"/>
        <v>326248.80056336458</v>
      </c>
      <c r="Q25" s="189">
        <f t="shared" ca="1" si="4"/>
        <v>340799.87519644055</v>
      </c>
      <c r="R25" s="189">
        <f t="shared" ca="1" si="4"/>
        <v>350144.78251013573</v>
      </c>
      <c r="S25" s="189">
        <f t="shared" ca="1" si="4"/>
        <v>354939.93366282794</v>
      </c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spans="1:29">
      <c r="A26" s="5" t="s">
        <v>1825</v>
      </c>
      <c r="B26" s="3"/>
      <c r="C26" s="3"/>
      <c r="D26" s="189">
        <f t="shared" ref="D26:S26" si="5">D10-D18</f>
        <v>2734</v>
      </c>
      <c r="E26" s="189">
        <f t="shared" ca="1" si="5"/>
        <v>4314.8909999999996</v>
      </c>
      <c r="F26" s="189">
        <f t="shared" ca="1" si="5"/>
        <v>8317.7097587778044</v>
      </c>
      <c r="G26" s="189">
        <f t="shared" ca="1" si="5"/>
        <v>9038.3634688857819</v>
      </c>
      <c r="H26" s="189">
        <f t="shared" ca="1" si="5"/>
        <v>9946.2042776037924</v>
      </c>
      <c r="I26" s="189">
        <f t="shared" ca="1" si="5"/>
        <v>10922.062198218755</v>
      </c>
      <c r="J26" s="189">
        <f t="shared" ca="1" si="5"/>
        <v>10910.234308129686</v>
      </c>
      <c r="K26" s="189">
        <f t="shared" ca="1" si="5"/>
        <v>13938.318812392334</v>
      </c>
      <c r="L26" s="189">
        <f t="shared" ca="1" si="5"/>
        <v>13329.735688392326</v>
      </c>
      <c r="M26" s="189">
        <f t="shared" ca="1" si="5"/>
        <v>12491.568499919771</v>
      </c>
      <c r="N26" s="189">
        <f t="shared" ca="1" si="5"/>
        <v>11582.146442973424</v>
      </c>
      <c r="O26" s="189">
        <f t="shared" ca="1" si="5"/>
        <v>10639.902404302875</v>
      </c>
      <c r="P26" s="189">
        <f t="shared" ca="1" si="5"/>
        <v>9664.3994734832468</v>
      </c>
      <c r="Q26" s="189">
        <f t="shared" ca="1" si="5"/>
        <v>8647.3471663951696</v>
      </c>
      <c r="R26" s="189">
        <f t="shared" ca="1" si="5"/>
        <v>7580.3600243807832</v>
      </c>
      <c r="S26" s="189">
        <f t="shared" ca="1" si="5"/>
        <v>3122.3228423473843</v>
      </c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spans="1:29">
      <c r="A27" s="5" t="s">
        <v>1826</v>
      </c>
      <c r="B27" s="3"/>
      <c r="C27" s="3"/>
      <c r="D27" s="189">
        <f t="shared" ref="D27:S27" si="6">D11-D19</f>
        <v>1023</v>
      </c>
      <c r="E27" s="189">
        <f t="shared" ca="1" si="6"/>
        <v>1748.6741609159228</v>
      </c>
      <c r="F27" s="189">
        <f t="shared" ca="1" si="6"/>
        <v>6236.1643924759792</v>
      </c>
      <c r="G27" s="189">
        <f t="shared" ca="1" si="6"/>
        <v>8255.0138013003998</v>
      </c>
      <c r="H27" s="189">
        <f t="shared" ca="1" si="6"/>
        <v>16790.682957266417</v>
      </c>
      <c r="I27" s="189">
        <f t="shared" ca="1" si="6"/>
        <v>45067.875384859835</v>
      </c>
      <c r="J27" s="189">
        <f t="shared" ca="1" si="6"/>
        <v>100379.19861076432</v>
      </c>
      <c r="K27" s="189">
        <f t="shared" ca="1" si="6"/>
        <v>154133.39359955792</v>
      </c>
      <c r="L27" s="189">
        <f t="shared" ca="1" si="6"/>
        <v>178936.43730311311</v>
      </c>
      <c r="M27" s="189">
        <f t="shared" ca="1" si="6"/>
        <v>223294.25940531463</v>
      </c>
      <c r="N27" s="189">
        <f t="shared" ca="1" si="6"/>
        <v>300236.27231083071</v>
      </c>
      <c r="O27" s="189">
        <f t="shared" ca="1" si="6"/>
        <v>435665.30211757618</v>
      </c>
      <c r="P27" s="189">
        <f t="shared" ca="1" si="6"/>
        <v>599218.56004405429</v>
      </c>
      <c r="Q27" s="189">
        <f t="shared" ca="1" si="6"/>
        <v>766554.2166573368</v>
      </c>
      <c r="R27" s="189">
        <f t="shared" ca="1" si="6"/>
        <v>1012728.4032268465</v>
      </c>
      <c r="S27" s="189">
        <f t="shared" ca="1" si="6"/>
        <v>1345789.2083564531</v>
      </c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>
      <c r="A28" s="5" t="s">
        <v>1827</v>
      </c>
      <c r="B28" s="3"/>
      <c r="C28" s="3"/>
      <c r="D28" s="189">
        <f t="shared" ref="D28:S28" si="7">D12-D20</f>
        <v>0</v>
      </c>
      <c r="E28" s="189">
        <f t="shared" si="7"/>
        <v>0</v>
      </c>
      <c r="F28" s="189">
        <f t="shared" si="7"/>
        <v>0</v>
      </c>
      <c r="G28" s="189">
        <f t="shared" si="7"/>
        <v>0</v>
      </c>
      <c r="H28" s="189">
        <f t="shared" si="7"/>
        <v>0</v>
      </c>
      <c r="I28" s="189">
        <f t="shared" si="7"/>
        <v>0</v>
      </c>
      <c r="J28" s="189">
        <f t="shared" si="7"/>
        <v>0</v>
      </c>
      <c r="K28" s="189">
        <f t="shared" si="7"/>
        <v>0</v>
      </c>
      <c r="L28" s="189">
        <f t="shared" si="7"/>
        <v>0</v>
      </c>
      <c r="M28" s="189">
        <f t="shared" si="7"/>
        <v>0</v>
      </c>
      <c r="N28" s="189">
        <f t="shared" si="7"/>
        <v>0</v>
      </c>
      <c r="O28" s="189">
        <f t="shared" si="7"/>
        <v>0</v>
      </c>
      <c r="P28" s="189">
        <f t="shared" si="7"/>
        <v>0</v>
      </c>
      <c r="Q28" s="189">
        <f t="shared" si="7"/>
        <v>0</v>
      </c>
      <c r="R28" s="189">
        <f t="shared" si="7"/>
        <v>0</v>
      </c>
      <c r="S28" s="189">
        <f t="shared" si="7"/>
        <v>0</v>
      </c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>
      <c r="A29" s="78" t="s">
        <v>1828</v>
      </c>
      <c r="B29" s="78"/>
      <c r="C29" s="78"/>
      <c r="D29" s="190">
        <f t="shared" ref="D29:S29" si="8">D14-D22</f>
        <v>9223</v>
      </c>
      <c r="E29" s="190">
        <f t="shared" ca="1" si="8"/>
        <v>15892.192679106312</v>
      </c>
      <c r="F29" s="190">
        <f t="shared" ca="1" si="8"/>
        <v>50583.918524619017</v>
      </c>
      <c r="G29" s="190">
        <f t="shared" ca="1" si="8"/>
        <v>92327.799062771592</v>
      </c>
      <c r="H29" s="190">
        <f t="shared" ca="1" si="8"/>
        <v>161582.69347750538</v>
      </c>
      <c r="I29" s="190">
        <f t="shared" ca="1" si="8"/>
        <v>248635.72614441512</v>
      </c>
      <c r="J29" s="190">
        <f t="shared" ca="1" si="8"/>
        <v>342185.50478597399</v>
      </c>
      <c r="K29" s="190">
        <f t="shared" ca="1" si="8"/>
        <v>424182.80343096436</v>
      </c>
      <c r="L29" s="190">
        <f t="shared" ca="1" si="8"/>
        <v>455495.57822849142</v>
      </c>
      <c r="M29" s="190">
        <f t="shared" ca="1" si="8"/>
        <v>505343.0831553475</v>
      </c>
      <c r="N29" s="190">
        <f t="shared" ca="1" si="8"/>
        <v>599716.56168955029</v>
      </c>
      <c r="O29" s="190">
        <f t="shared" ca="1" si="8"/>
        <v>754650.03215061093</v>
      </c>
      <c r="P29" s="190">
        <f t="shared" ca="1" si="8"/>
        <v>935131.76008090214</v>
      </c>
      <c r="Q29" s="190">
        <f t="shared" ca="1" si="8"/>
        <v>1116001.4390201725</v>
      </c>
      <c r="R29" s="190">
        <f t="shared" ca="1" si="8"/>
        <v>1370453.5457613631</v>
      </c>
      <c r="S29" s="190">
        <f t="shared" ca="1" si="8"/>
        <v>1703851.4648616284</v>
      </c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>
      <c r="A30" s="94"/>
      <c r="B30" s="3"/>
      <c r="C30" s="3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>
      <c r="A31" s="13" t="s">
        <v>1829</v>
      </c>
      <c r="B31" s="13"/>
      <c r="C31" s="13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>
      <c r="A32" s="5" t="s">
        <v>1830</v>
      </c>
      <c r="B32" s="3"/>
      <c r="C32" s="3"/>
      <c r="D32" s="188">
        <f>Starlink!D148</f>
        <v>468</v>
      </c>
      <c r="E32" s="188">
        <f ca="1">Starlink!E148</f>
        <v>1842.8687270241674</v>
      </c>
      <c r="F32" s="188">
        <f ca="1">Starlink!F148</f>
        <v>6654.2038028230272</v>
      </c>
      <c r="G32" s="188">
        <f ca="1">Starlink!G148</f>
        <v>12568.269910771683</v>
      </c>
      <c r="H32" s="188">
        <f ca="1">Starlink!H148</f>
        <v>20911.43128917893</v>
      </c>
      <c r="I32" s="188">
        <f ca="1">Starlink!I148</f>
        <v>25500.120484544892</v>
      </c>
      <c r="J32" s="188">
        <f ca="1">Starlink!J148</f>
        <v>30164.170272154464</v>
      </c>
      <c r="K32" s="188">
        <f ca="1">Starlink!K148</f>
        <v>32330.977098877178</v>
      </c>
      <c r="L32" s="188">
        <f ca="1">Starlink!L148</f>
        <v>32355.10238173863</v>
      </c>
      <c r="M32" s="188">
        <f ca="1">Starlink!M148</f>
        <v>32744.062934569622</v>
      </c>
      <c r="N32" s="188">
        <f ca="1">Starlink!N148</f>
        <v>35785.778953160283</v>
      </c>
      <c r="O32" s="188">
        <f ca="1">Starlink!O148</f>
        <v>38391.161083462277</v>
      </c>
      <c r="P32" s="188">
        <f ca="1">Starlink!P148</f>
        <v>39882.633455501957</v>
      </c>
      <c r="Q32" s="188">
        <f ca="1">Starlink!Q148</f>
        <v>41308.109023677491</v>
      </c>
      <c r="R32" s="188">
        <f ca="1">Starlink!R148</f>
        <v>41886.275300988884</v>
      </c>
      <c r="S32" s="188">
        <f ca="1">Starlink!S148</f>
        <v>42139.058561740363</v>
      </c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spans="1:29">
      <c r="A33" s="5" t="s">
        <v>1831</v>
      </c>
      <c r="B33" s="3"/>
      <c r="C33" s="3"/>
      <c r="D33" s="188">
        <f>'Customer Launch'!D104</f>
        <v>349</v>
      </c>
      <c r="E33" s="188">
        <f ca="1">'Customer Launch'!E104</f>
        <v>526.03949999999998</v>
      </c>
      <c r="F33" s="188">
        <f ca="1">'Customer Launch'!F104</f>
        <v>1074.0245549221333</v>
      </c>
      <c r="G33" s="188">
        <f ca="1">'Customer Launch'!G104</f>
        <v>1169.7087003610181</v>
      </c>
      <c r="H33" s="188">
        <f ca="1">'Customer Launch'!H104</f>
        <v>1290.9991166029704</v>
      </c>
      <c r="I33" s="188">
        <f ca="1">'Customer Launch'!I104</f>
        <v>1421.4707385468757</v>
      </c>
      <c r="J33" s="188">
        <f ca="1">'Customer Launch'!J104</f>
        <v>1415.6872754742187</v>
      </c>
      <c r="K33" s="188">
        <f ca="1">'Customer Launch'!K104</f>
        <v>2012.4076620371895</v>
      </c>
      <c r="L33" s="188">
        <f ca="1">'Customer Launch'!L104</f>
        <v>2038.7131077168776</v>
      </c>
      <c r="M33" s="188">
        <f ca="1">'Customer Launch'!M104</f>
        <v>2034.5751823674759</v>
      </c>
      <c r="N33" s="188">
        <f ca="1">'Customer Launch'!N104</f>
        <v>2021.4888332178914</v>
      </c>
      <c r="O33" s="188">
        <f ca="1">'Customer Launch'!O104</f>
        <v>2007.3115710525162</v>
      </c>
      <c r="P33" s="188">
        <f ca="1">'Customer Launch'!P104</f>
        <v>1994.2168462405548</v>
      </c>
      <c r="Q33" s="188">
        <f ca="1">'Customer Launch'!Q104</f>
        <v>1982.6328244980828</v>
      </c>
      <c r="R33" s="188">
        <f ca="1">'Customer Launch'!R104</f>
        <v>1972.5630026522622</v>
      </c>
      <c r="S33" s="188">
        <f ca="1">'Customer Launch'!S104</f>
        <v>294.77843182744914</v>
      </c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1:29">
      <c r="A34" s="5" t="s">
        <v>1832</v>
      </c>
      <c r="B34" s="3"/>
      <c r="C34" s="3"/>
      <c r="D34" s="188">
        <f>IF($D$5=0,'AI - Compute'!$D$263,'AI - Compute'!D9)</f>
        <v>1827</v>
      </c>
      <c r="E34" s="188">
        <f ca="1">'AI - Compute'!E9</f>
        <v>97.349721735748318</v>
      </c>
      <c r="F34" s="188">
        <f ca="1">'AI - Compute'!F9</f>
        <v>297.77810519323981</v>
      </c>
      <c r="G34" s="188">
        <f ca="1">'AI - Compute'!G9</f>
        <v>406.20422213555281</v>
      </c>
      <c r="H34" s="188">
        <f ca="1">'AI - Compute'!H9</f>
        <v>794.91332820207549</v>
      </c>
      <c r="I34" s="188">
        <f ca="1">'AI - Compute'!I9</f>
        <v>2014.7748729178302</v>
      </c>
      <c r="J34" s="188">
        <f ca="1">'AI - Compute'!J9</f>
        <v>4369.9735274059431</v>
      </c>
      <c r="K34" s="188">
        <f ca="1">'AI - Compute'!K9</f>
        <v>6665.6365863127403</v>
      </c>
      <c r="L34" s="188">
        <f ca="1">'AI - Compute'!L9</f>
        <v>7803.1502563210579</v>
      </c>
      <c r="M34" s="188">
        <f ca="1">'AI - Compute'!M9</f>
        <v>9859.8742184976581</v>
      </c>
      <c r="N34" s="188">
        <f ca="1">'AI - Compute'!N9</f>
        <v>13421.141322094414</v>
      </c>
      <c r="O34" s="188">
        <f ca="1">'AI - Compute'!O9</f>
        <v>19707.67884732506</v>
      </c>
      <c r="P34" s="188">
        <f ca="1">'AI - Compute'!P9</f>
        <v>27557.816680546592</v>
      </c>
      <c r="Q34" s="188">
        <f ca="1">'AI - Compute'!Q9</f>
        <v>36156.905183952811</v>
      </c>
      <c r="R34" s="188">
        <f ca="1">'AI - Compute'!R9</f>
        <v>49239.752069701404</v>
      </c>
      <c r="S34" s="188">
        <f ca="1">'AI - Compute'!S9</f>
        <v>68159.791778393454</v>
      </c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spans="1:29">
      <c r="A35" s="5" t="s">
        <v>1833</v>
      </c>
      <c r="B35" s="3"/>
      <c r="C35" s="3"/>
      <c r="D35" s="188">
        <f>'Lunar - Mars'!D86</f>
        <v>0</v>
      </c>
      <c r="E35" s="188">
        <f>'Lunar - Mars'!E86</f>
        <v>0</v>
      </c>
      <c r="F35" s="188">
        <f>'Lunar - Mars'!F86</f>
        <v>0</v>
      </c>
      <c r="G35" s="188">
        <f>'Lunar - Mars'!G86</f>
        <v>0</v>
      </c>
      <c r="H35" s="188">
        <f>'Lunar - Mars'!H86</f>
        <v>0</v>
      </c>
      <c r="I35" s="188">
        <f ca="1">'Lunar - Mars'!I86</f>
        <v>716.6021898149354</v>
      </c>
      <c r="J35" s="188">
        <f ca="1">'Lunar - Mars'!J86</f>
        <v>584.95865429953221</v>
      </c>
      <c r="K35" s="188">
        <f ca="1">'Lunar - Mars'!K86</f>
        <v>1167.0247254934156</v>
      </c>
      <c r="L35" s="188">
        <f ca="1">'Lunar - Mars'!L86</f>
        <v>458.40823846093434</v>
      </c>
      <c r="M35" s="188">
        <f ca="1">'Lunar - Mars'!M86</f>
        <v>1275.6440181366781</v>
      </c>
      <c r="N35" s="188">
        <f ca="1">'Lunar - Mars'!N86</f>
        <v>994.86943303270016</v>
      </c>
      <c r="O35" s="188">
        <f ca="1">'Lunar - Mars'!O86</f>
        <v>1159.7495572171092</v>
      </c>
      <c r="P35" s="188">
        <f ca="1">'Lunar - Mars'!P86</f>
        <v>1161.2265361611608</v>
      </c>
      <c r="Q35" s="188">
        <f ca="1">'Lunar - Mars'!Q86</f>
        <v>2427.8050765938779</v>
      </c>
      <c r="R35" s="188">
        <f ca="1">'Lunar - Mars'!R86</f>
        <v>3569.4156576483756</v>
      </c>
      <c r="S35" s="188">
        <f ca="1">'Lunar - Mars'!S86</f>
        <v>4716.6299517088019</v>
      </c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spans="1:29">
      <c r="A36" s="78" t="s">
        <v>1834</v>
      </c>
      <c r="B36" s="78"/>
      <c r="C36" s="78"/>
      <c r="D36" s="190">
        <f t="shared" ref="D36:S36" si="9">D32+D33+D34+D35</f>
        <v>2644</v>
      </c>
      <c r="E36" s="190">
        <f t="shared" ca="1" si="9"/>
        <v>2466.257948759916</v>
      </c>
      <c r="F36" s="190">
        <f t="shared" ca="1" si="9"/>
        <v>8026.0064629384005</v>
      </c>
      <c r="G36" s="190">
        <f t="shared" ca="1" si="9"/>
        <v>14144.182833268254</v>
      </c>
      <c r="H36" s="190">
        <f t="shared" ca="1" si="9"/>
        <v>22997.343733983977</v>
      </c>
      <c r="I36" s="190">
        <f t="shared" ca="1" si="9"/>
        <v>29652.968285824532</v>
      </c>
      <c r="J36" s="190">
        <f t="shared" ca="1" si="9"/>
        <v>36534.789729334159</v>
      </c>
      <c r="K36" s="190">
        <f t="shared" ca="1" si="9"/>
        <v>42176.046072720528</v>
      </c>
      <c r="L36" s="190">
        <f t="shared" ca="1" si="9"/>
        <v>42655.3739842375</v>
      </c>
      <c r="M36" s="190">
        <f t="shared" ca="1" si="9"/>
        <v>45914.15635357143</v>
      </c>
      <c r="N36" s="190">
        <f t="shared" ca="1" si="9"/>
        <v>52223.278541505286</v>
      </c>
      <c r="O36" s="190">
        <f t="shared" ca="1" si="9"/>
        <v>61265.90105905696</v>
      </c>
      <c r="P36" s="190">
        <f t="shared" ca="1" si="9"/>
        <v>70595.893518450262</v>
      </c>
      <c r="Q36" s="190">
        <f t="shared" ca="1" si="9"/>
        <v>81875.452108722267</v>
      </c>
      <c r="R36" s="190">
        <f t="shared" ca="1" si="9"/>
        <v>96668.006030990931</v>
      </c>
      <c r="S36" s="190">
        <f t="shared" ca="1" si="9"/>
        <v>115310.25872367006</v>
      </c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spans="1:29">
      <c r="A37" s="94"/>
      <c r="B37" s="3"/>
      <c r="C37" s="3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spans="1:29">
      <c r="A38" s="13" t="s">
        <v>1835</v>
      </c>
      <c r="B38" s="13"/>
      <c r="C38" s="13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spans="1:29">
      <c r="A39" s="5" t="s">
        <v>1836</v>
      </c>
      <c r="B39" s="3"/>
      <c r="C39" s="3"/>
      <c r="D39" s="188">
        <f>Starlink!D150</f>
        <v>575</v>
      </c>
      <c r="E39" s="188">
        <f ca="1">Starlink!E150</f>
        <v>690.46256736690339</v>
      </c>
      <c r="F39" s="188">
        <f ca="1">Starlink!F150</f>
        <v>2375.6859582129828</v>
      </c>
      <c r="G39" s="188">
        <f ca="1">Starlink!G150</f>
        <v>4223.9311514055817</v>
      </c>
      <c r="H39" s="188">
        <f ca="1">Starlink!H150</f>
        <v>6620.9563433893491</v>
      </c>
      <c r="I39" s="188">
        <f ca="1">Starlink!I150</f>
        <v>7495.7510493410045</v>
      </c>
      <c r="J39" s="188">
        <f ca="1">Starlink!J150</f>
        <v>8602.6271641345065</v>
      </c>
      <c r="K39" s="188">
        <f ca="1">Starlink!K150</f>
        <v>9175.8685645162714</v>
      </c>
      <c r="L39" s="188">
        <f ca="1">Starlink!L150</f>
        <v>9155.6954498024752</v>
      </c>
      <c r="M39" s="188">
        <f ca="1">Starlink!M150</f>
        <v>9246.4964080743976</v>
      </c>
      <c r="N39" s="188">
        <f ca="1">Starlink!N150</f>
        <v>10138.01612938878</v>
      </c>
      <c r="O39" s="188">
        <f ca="1">Starlink!O150</f>
        <v>10875.088698501719</v>
      </c>
      <c r="P39" s="188">
        <f ca="1">Starlink!P150</f>
        <v>11275.407190575836</v>
      </c>
      <c r="Q39" s="188">
        <f ca="1">Starlink!Q150</f>
        <v>11670.074655859562</v>
      </c>
      <c r="R39" s="188">
        <f ca="1">Starlink!R150</f>
        <v>11815.567893674068</v>
      </c>
      <c r="S39" s="188">
        <f ca="1">Starlink!S150</f>
        <v>11876.340189187631</v>
      </c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spans="1:29">
      <c r="A40" s="5" t="s">
        <v>1837</v>
      </c>
      <c r="B40" s="3"/>
      <c r="C40" s="3"/>
      <c r="D40" s="189">
        <f>'Customer Launch'!D105</f>
        <v>3004</v>
      </c>
      <c r="E40" s="189">
        <f ca="1">'Customer Launch'!E105</f>
        <v>309.435</v>
      </c>
      <c r="F40" s="189">
        <f ca="1">'Customer Launch'!F105</f>
        <v>631.7791499541961</v>
      </c>
      <c r="G40" s="189">
        <f ca="1">'Customer Launch'!G105</f>
        <v>688.06394138883422</v>
      </c>
      <c r="H40" s="189">
        <f ca="1">'Customer Launch'!H105</f>
        <v>759.41124506057076</v>
      </c>
      <c r="I40" s="189">
        <f ca="1">'Customer Launch'!I105</f>
        <v>836.15925796875035</v>
      </c>
      <c r="J40" s="189">
        <f ca="1">'Customer Launch'!J105</f>
        <v>832.75722086718747</v>
      </c>
      <c r="K40" s="189">
        <f ca="1">'Customer Launch'!K105</f>
        <v>1183.7692129630527</v>
      </c>
      <c r="L40" s="189">
        <f ca="1">'Customer Launch'!L105</f>
        <v>1199.2430045393398</v>
      </c>
      <c r="M40" s="189">
        <f ca="1">'Customer Launch'!M105</f>
        <v>1196.8089308043975</v>
      </c>
      <c r="N40" s="189">
        <f ca="1">'Customer Launch'!N105</f>
        <v>1189.1110783634656</v>
      </c>
      <c r="O40" s="189">
        <f ca="1">'Customer Launch'!O105</f>
        <v>1180.7715123838332</v>
      </c>
      <c r="P40" s="189">
        <f ca="1">'Customer Launch'!P105</f>
        <v>1173.0687330826793</v>
      </c>
      <c r="Q40" s="189">
        <f ca="1">'Customer Launch'!Q105</f>
        <v>1166.2546026459311</v>
      </c>
      <c r="R40" s="189">
        <f ca="1">'Customer Launch'!R105</f>
        <v>1160.3311780307424</v>
      </c>
      <c r="S40" s="189">
        <f ca="1">'Customer Launch'!S105</f>
        <v>173.3990775455583</v>
      </c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spans="1:29">
      <c r="A41" s="5" t="s">
        <v>1838</v>
      </c>
      <c r="B41" s="3"/>
      <c r="C41" s="3"/>
      <c r="D41" s="188">
        <f>IF($D$5=0,'AI - Compute'!$D$262,'AI - Compute'!D10)</f>
        <v>5064</v>
      </c>
      <c r="E41" s="188">
        <f ca="1">'AI - Compute'!E10</f>
        <v>2721.9356819361115</v>
      </c>
      <c r="F41" s="188">
        <f ca="1">'AI - Compute'!F10</f>
        <v>4283.5269583652571</v>
      </c>
      <c r="G41" s="188">
        <f ca="1">'AI - Compute'!G10</f>
        <v>2181.6883585515557</v>
      </c>
      <c r="H41" s="188">
        <f ca="1">'AI - Compute'!H10</f>
        <v>4039.1584850364038</v>
      </c>
      <c r="I41" s="188">
        <f ca="1">'AI - Compute'!I10</f>
        <v>9419.6372674902159</v>
      </c>
      <c r="J41" s="188">
        <f ca="1">'AI - Compute'!J10</f>
        <v>17642.417538937185</v>
      </c>
      <c r="K41" s="188">
        <f ca="1">'AI - Compute'!K10</f>
        <v>22653.193640072557</v>
      </c>
      <c r="L41" s="188">
        <f ca="1">'AI - Compute'!L10</f>
        <v>21341.346830397546</v>
      </c>
      <c r="M41" s="188">
        <f ca="1">'AI - Compute'!M10</f>
        <v>25949.685004685733</v>
      </c>
      <c r="N41" s="188">
        <f ca="1">'AI - Compute'!N10</f>
        <v>34604.464659031029</v>
      </c>
      <c r="O41" s="188">
        <f ca="1">'AI - Compute'!O10</f>
        <v>50079.146422718324</v>
      </c>
      <c r="P41" s="188">
        <f ca="1">'AI - Compute'!P10</f>
        <v>67762.947630385068</v>
      </c>
      <c r="Q41" s="188">
        <f ca="1">'AI - Compute'!Q10</f>
        <v>84521.859601312841</v>
      </c>
      <c r="R41" s="188">
        <f ca="1">'AI - Compute'!R10</f>
        <v>110007.23325464348</v>
      </c>
      <c r="S41" s="188">
        <f ca="1">'AI - Compute'!S10</f>
        <v>143233.42399738322</v>
      </c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spans="1:29">
      <c r="A42" s="5" t="s">
        <v>1839</v>
      </c>
      <c r="B42" s="3"/>
      <c r="C42" s="3"/>
      <c r="D42" s="188">
        <f>'Lunar - Mars'!D83</f>
        <v>750</v>
      </c>
      <c r="E42" s="188">
        <f>'Lunar - Mars'!E83</f>
        <v>750</v>
      </c>
      <c r="F42" s="188">
        <f>'Lunar - Mars'!F83</f>
        <v>750</v>
      </c>
      <c r="G42" s="188">
        <f>'Lunar - Mars'!G83</f>
        <v>750</v>
      </c>
      <c r="H42" s="188">
        <f>'Lunar - Mars'!H83</f>
        <v>750</v>
      </c>
      <c r="I42" s="188">
        <f>'Lunar - Mars'!I83</f>
        <v>0</v>
      </c>
      <c r="J42" s="188">
        <f>'Lunar - Mars'!J83</f>
        <v>0</v>
      </c>
      <c r="K42" s="188">
        <f>'Lunar - Mars'!K83</f>
        <v>0</v>
      </c>
      <c r="L42" s="188">
        <f>'Lunar - Mars'!L83</f>
        <v>0</v>
      </c>
      <c r="M42" s="188">
        <f>'Lunar - Mars'!M83</f>
        <v>0</v>
      </c>
      <c r="N42" s="188">
        <f>'Lunar - Mars'!N83</f>
        <v>0</v>
      </c>
      <c r="O42" s="188">
        <f>'Lunar - Mars'!O83</f>
        <v>0</v>
      </c>
      <c r="P42" s="188">
        <f>'Lunar - Mars'!P83</f>
        <v>0</v>
      </c>
      <c r="Q42" s="188">
        <f>'Lunar - Mars'!Q83</f>
        <v>0</v>
      </c>
      <c r="R42" s="188">
        <f>'Lunar - Mars'!R83</f>
        <v>0</v>
      </c>
      <c r="S42" s="188">
        <f>'Lunar - Mars'!S83</f>
        <v>0</v>
      </c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29">
      <c r="A43" s="5" t="s">
        <v>1840</v>
      </c>
      <c r="B43" s="3"/>
      <c r="C43" s="3"/>
      <c r="D43" s="188">
        <f>('Cash Allocation Engine'!D16+Assumptions!D112)-'Customer Launch'!D105</f>
        <v>0</v>
      </c>
      <c r="E43" s="188">
        <f ca="1">('Cash Allocation Engine'!E16+Assumptions!E112)-'Customer Launch'!E105</f>
        <v>3300.5650000000001</v>
      </c>
      <c r="F43" s="188">
        <f ca="1">('Cash Allocation Engine'!F16+Assumptions!F112)-'Customer Launch'!F105</f>
        <v>3289.2208500458037</v>
      </c>
      <c r="G43" s="188">
        <f ca="1">('Cash Allocation Engine'!G16+Assumptions!G112)-'Customer Launch'!G105</f>
        <v>2945.0360586111656</v>
      </c>
      <c r="H43" s="188">
        <f ca="1">('Cash Allocation Engine'!H16+Assumptions!H112)-'Customer Launch'!H105</f>
        <v>2386.9987549394291</v>
      </c>
      <c r="I43" s="188">
        <f ca="1">('Cash Allocation Engine'!I16+Assumptions!I112)-'Customer Launch'!I105</f>
        <v>1824.8917420312496</v>
      </c>
      <c r="J43" s="188">
        <f ca="1">('Cash Allocation Engine'!J16+Assumptions!J112)-'Customer Launch'!J105</f>
        <v>1544.3988791328127</v>
      </c>
      <c r="K43" s="188">
        <f ca="1">('Cash Allocation Engine'!K16+Assumptions!K112)-'Customer Launch'!K105</f>
        <v>911.10249703694763</v>
      </c>
      <c r="L43" s="188">
        <f ca="1">('Cash Allocation Engine'!L16+Assumptions!L112)-'Customer Launch'!L105</f>
        <v>715.11587646066027</v>
      </c>
      <c r="M43" s="188">
        <f ca="1">('Cash Allocation Engine'!M16+Assumptions!M112)-'Customer Launch'!M105</f>
        <v>538.98583829560266</v>
      </c>
      <c r="N43" s="188">
        <f ca="1">('Cash Allocation Engine'!N16+Assumptions!N112)-'Customer Launch'!N105</f>
        <v>370.26316764653461</v>
      </c>
      <c r="O43" s="188">
        <f ca="1">('Cash Allocation Engine'!O16+Assumptions!O112)-'Customer Launch'!O105</f>
        <v>304.54015822716701</v>
      </c>
      <c r="P43" s="188">
        <f ca="1">('Cash Allocation Engine'!P16+Assumptions!P112)-'Customer Launch'!P105</f>
        <v>240.77410458942109</v>
      </c>
      <c r="Q43" s="188">
        <f ca="1">('Cash Allocation Engine'!Q16+Assumptions!Q112)-'Customer Launch'!Q105</f>
        <v>178.97251879337932</v>
      </c>
      <c r="R43" s="188">
        <f ca="1">('Cash Allocation Engine'!R16+Assumptions!R112)-'Customer Launch'!R105</f>
        <v>169.4186555524991</v>
      </c>
      <c r="S43" s="188">
        <f ca="1">('Cash Allocation Engine'!S16+Assumptions!S112)-'Customer Launch'!S105</f>
        <v>1144.3257393960073</v>
      </c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spans="1:29">
      <c r="A44" s="78" t="s">
        <v>1841</v>
      </c>
      <c r="B44" s="78"/>
      <c r="C44" s="78"/>
      <c r="D44" s="190">
        <f>IF($D$5=0,D39+D40+D41,D40+D41+D42+D43)</f>
        <v>8643</v>
      </c>
      <c r="E44" s="190">
        <f t="shared" ref="E44:S44" ca="1" si="10">E40+E41+E42+E43</f>
        <v>7081.935681936111</v>
      </c>
      <c r="F44" s="190">
        <f t="shared" ca="1" si="10"/>
        <v>8954.5269583652571</v>
      </c>
      <c r="G44" s="190">
        <f t="shared" ca="1" si="10"/>
        <v>6564.7883585515556</v>
      </c>
      <c r="H44" s="190">
        <f t="shared" ca="1" si="10"/>
        <v>7935.5684850364041</v>
      </c>
      <c r="I44" s="190">
        <f t="shared" ca="1" si="10"/>
        <v>12080.688267490215</v>
      </c>
      <c r="J44" s="190">
        <f t="shared" ca="1" si="10"/>
        <v>20019.573638937185</v>
      </c>
      <c r="K44" s="190">
        <f t="shared" ca="1" si="10"/>
        <v>24748.065350072557</v>
      </c>
      <c r="L44" s="190">
        <f t="shared" ca="1" si="10"/>
        <v>23255.705711397546</v>
      </c>
      <c r="M44" s="190">
        <f t="shared" ca="1" si="10"/>
        <v>27685.47977378573</v>
      </c>
      <c r="N44" s="190">
        <f t="shared" ca="1" si="10"/>
        <v>36163.838905041026</v>
      </c>
      <c r="O44" s="190">
        <f t="shared" ca="1" si="10"/>
        <v>51564.458093329325</v>
      </c>
      <c r="P44" s="190">
        <f t="shared" ca="1" si="10"/>
        <v>69176.790468057166</v>
      </c>
      <c r="Q44" s="190">
        <f t="shared" ca="1" si="10"/>
        <v>85867.086722752152</v>
      </c>
      <c r="R44" s="190">
        <f t="shared" ca="1" si="10"/>
        <v>111336.98308822671</v>
      </c>
      <c r="S44" s="190">
        <f t="shared" ca="1" si="10"/>
        <v>144551.14881432478</v>
      </c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:29">
      <c r="A45" s="94"/>
      <c r="B45" s="3"/>
      <c r="C45" s="3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:29">
      <c r="A46" s="13" t="s">
        <v>1842</v>
      </c>
      <c r="B46" s="13"/>
      <c r="C46" s="13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:29">
      <c r="A47" s="5" t="s">
        <v>1843</v>
      </c>
      <c r="B47" s="3"/>
      <c r="C47" s="3"/>
      <c r="D47" s="188">
        <f ca="1">'Cash Allocation Engine'!D15</f>
        <v>546.84664406258162</v>
      </c>
      <c r="E47" s="188">
        <f ca="1">'Cash Allocation Engine'!E15</f>
        <v>518.72310236793464</v>
      </c>
      <c r="F47" s="188">
        <f ca="1">'Cash Allocation Engine'!F15</f>
        <v>708.18744222530574</v>
      </c>
      <c r="G47" s="188">
        <f ca="1">'Cash Allocation Engine'!G15</f>
        <v>2228.9258981468101</v>
      </c>
      <c r="H47" s="188">
        <f ca="1">'Cash Allocation Engine'!H15</f>
        <v>3747.5921785832625</v>
      </c>
      <c r="I47" s="188">
        <f ca="1">'Cash Allocation Engine'!I15</f>
        <v>6034.3532466517008</v>
      </c>
      <c r="J47" s="188">
        <f ca="1">'Cash Allocation Engine'!J15</f>
        <v>7796.4681357283807</v>
      </c>
      <c r="K47" s="188">
        <f ca="1">'Cash Allocation Engine'!K15</f>
        <v>9971.5739745174724</v>
      </c>
      <c r="L47" s="188">
        <f ca="1">'Cash Allocation Engine'!L15</f>
        <v>11389.177483766758</v>
      </c>
      <c r="M47" s="188">
        <f ca="1">'Cash Allocation Engine'!M15</f>
        <v>11397.001406964564</v>
      </c>
      <c r="N47" s="188">
        <f ca="1">'Cash Allocation Engine'!N15</f>
        <v>11895.96510334191</v>
      </c>
      <c r="O47" s="188">
        <f ca="1">'Cash Allocation Engine'!O15</f>
        <v>13544.29552695275</v>
      </c>
      <c r="P47" s="188">
        <f ca="1">'Cash Allocation Engine'!P15</f>
        <v>16690.763072700622</v>
      </c>
      <c r="Q47" s="188">
        <f ca="1">'Cash Allocation Engine'!Q15</f>
        <v>20311.077309803422</v>
      </c>
      <c r="R47" s="188">
        <f ca="1">'Cash Allocation Engine'!R15</f>
        <v>23998.653697608974</v>
      </c>
      <c r="S47" s="188">
        <f ca="1">'Cash Allocation Engine'!S15</f>
        <v>29151.503447281815</v>
      </c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:29">
      <c r="A48" s="5" t="s">
        <v>1844</v>
      </c>
      <c r="B48" s="3"/>
      <c r="C48" s="3"/>
      <c r="D48" s="188">
        <f>'Cash Allocation Engine'!D18</f>
        <v>0</v>
      </c>
      <c r="E48" s="188">
        <f>'Cash Allocation Engine'!E18</f>
        <v>0</v>
      </c>
      <c r="F48" s="188">
        <f>'Cash Allocation Engine'!F18</f>
        <v>0</v>
      </c>
      <c r="G48" s="188">
        <f>'Cash Allocation Engine'!G18</f>
        <v>0</v>
      </c>
      <c r="H48" s="188">
        <f>'Cash Allocation Engine'!H18</f>
        <v>0</v>
      </c>
      <c r="I48" s="188">
        <f>'Cash Allocation Engine'!I18</f>
        <v>0</v>
      </c>
      <c r="J48" s="188">
        <f>'Cash Allocation Engine'!J18</f>
        <v>0</v>
      </c>
      <c r="K48" s="188">
        <f>'Cash Allocation Engine'!K18</f>
        <v>0</v>
      </c>
      <c r="L48" s="188">
        <f>'Cash Allocation Engine'!L18</f>
        <v>0</v>
      </c>
      <c r="M48" s="188">
        <f>'Cash Allocation Engine'!M18</f>
        <v>0</v>
      </c>
      <c r="N48" s="188">
        <f>'Cash Allocation Engine'!N18</f>
        <v>0</v>
      </c>
      <c r="O48" s="188">
        <f>'Cash Allocation Engine'!O18</f>
        <v>0</v>
      </c>
      <c r="P48" s="188">
        <f>'Cash Allocation Engine'!P18</f>
        <v>0</v>
      </c>
      <c r="Q48" s="188">
        <f>'Cash Allocation Engine'!Q18</f>
        <v>0</v>
      </c>
      <c r="R48" s="188">
        <f>'Cash Allocation Engine'!R18</f>
        <v>0</v>
      </c>
      <c r="S48" s="188">
        <f>'Cash Allocation Engine'!S18</f>
        <v>0</v>
      </c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spans="1:29">
      <c r="A49" s="78" t="s">
        <v>1845</v>
      </c>
      <c r="B49" s="78"/>
      <c r="C49" s="78"/>
      <c r="D49" s="190">
        <f t="shared" ref="D49:S49" ca="1" si="11">D47+D48</f>
        <v>546.84664406258162</v>
      </c>
      <c r="E49" s="190">
        <f t="shared" ca="1" si="11"/>
        <v>518.72310236793464</v>
      </c>
      <c r="F49" s="190">
        <f t="shared" ca="1" si="11"/>
        <v>708.18744222530574</v>
      </c>
      <c r="G49" s="190">
        <f t="shared" ca="1" si="11"/>
        <v>2228.9258981468101</v>
      </c>
      <c r="H49" s="190">
        <f t="shared" ca="1" si="11"/>
        <v>3747.5921785832625</v>
      </c>
      <c r="I49" s="190">
        <f t="shared" ca="1" si="11"/>
        <v>6034.3532466517008</v>
      </c>
      <c r="J49" s="190">
        <f t="shared" ca="1" si="11"/>
        <v>7796.4681357283807</v>
      </c>
      <c r="K49" s="190">
        <f t="shared" ca="1" si="11"/>
        <v>9971.5739745174724</v>
      </c>
      <c r="L49" s="190">
        <f t="shared" ca="1" si="11"/>
        <v>11389.177483766758</v>
      </c>
      <c r="M49" s="190">
        <f t="shared" ca="1" si="11"/>
        <v>11397.001406964564</v>
      </c>
      <c r="N49" s="190">
        <f t="shared" ca="1" si="11"/>
        <v>11895.96510334191</v>
      </c>
      <c r="O49" s="190">
        <f t="shared" ca="1" si="11"/>
        <v>13544.29552695275</v>
      </c>
      <c r="P49" s="190">
        <f t="shared" ca="1" si="11"/>
        <v>16690.763072700622</v>
      </c>
      <c r="Q49" s="190">
        <f t="shared" ca="1" si="11"/>
        <v>20311.077309803422</v>
      </c>
      <c r="R49" s="190">
        <f t="shared" ca="1" si="11"/>
        <v>23998.653697608974</v>
      </c>
      <c r="S49" s="190">
        <f t="shared" ca="1" si="11"/>
        <v>29151.503447281815</v>
      </c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:29">
      <c r="A50" s="94"/>
      <c r="B50" s="3"/>
      <c r="C50" s="3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spans="1:29">
      <c r="A51" s="13" t="s">
        <v>1846</v>
      </c>
      <c r="B51" s="13"/>
      <c r="C51" s="13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spans="1:29">
      <c r="A52" s="5" t="s">
        <v>1847</v>
      </c>
      <c r="B52" s="3"/>
      <c r="C52" s="3"/>
      <c r="D52" s="189">
        <f t="shared" ref="D52:S52" si="12">D9-D17-D32</f>
        <v>4998</v>
      </c>
      <c r="E52" s="189">
        <f t="shared" ca="1" si="12"/>
        <v>7985.7587911662204</v>
      </c>
      <c r="F52" s="189">
        <f t="shared" ca="1" si="12"/>
        <v>29375.840570542208</v>
      </c>
      <c r="G52" s="189">
        <f t="shared" ca="1" si="12"/>
        <v>62466.151881813719</v>
      </c>
      <c r="H52" s="189">
        <f t="shared" ca="1" si="12"/>
        <v>113934.37495345625</v>
      </c>
      <c r="I52" s="189">
        <f t="shared" ca="1" si="12"/>
        <v>167145.66807679166</v>
      </c>
      <c r="J52" s="189">
        <f t="shared" ca="1" si="12"/>
        <v>200731.90159492553</v>
      </c>
      <c r="K52" s="189">
        <f t="shared" ca="1" si="12"/>
        <v>223780.11392013688</v>
      </c>
      <c r="L52" s="189">
        <f t="shared" ca="1" si="12"/>
        <v>230874.30285524731</v>
      </c>
      <c r="M52" s="189">
        <f t="shared" ca="1" si="12"/>
        <v>236813.19231554354</v>
      </c>
      <c r="N52" s="189">
        <f t="shared" ca="1" si="12"/>
        <v>252112.36398258584</v>
      </c>
      <c r="O52" s="189">
        <f t="shared" ca="1" si="12"/>
        <v>269953.6665452696</v>
      </c>
      <c r="P52" s="189">
        <f t="shared" ca="1" si="12"/>
        <v>286366.16710786265</v>
      </c>
      <c r="Q52" s="189">
        <f t="shared" ca="1" si="12"/>
        <v>299491.76617276308</v>
      </c>
      <c r="R52" s="189">
        <f t="shared" ca="1" si="12"/>
        <v>308258.50720914686</v>
      </c>
      <c r="S52" s="189">
        <f t="shared" ca="1" si="12"/>
        <v>312800.87510108756</v>
      </c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spans="1:29">
      <c r="A53" s="5" t="s">
        <v>1848</v>
      </c>
      <c r="B53" s="3"/>
      <c r="C53" s="3"/>
      <c r="D53" s="189">
        <f t="shared" ref="D53:S53" si="13">D10-D18-D33-D40</f>
        <v>-619</v>
      </c>
      <c r="E53" s="189">
        <f t="shared" ca="1" si="13"/>
        <v>3479.4164999999998</v>
      </c>
      <c r="F53" s="189">
        <f t="shared" ca="1" si="13"/>
        <v>6611.9060539014745</v>
      </c>
      <c r="G53" s="189">
        <f t="shared" ca="1" si="13"/>
        <v>7180.5908271359303</v>
      </c>
      <c r="H53" s="189">
        <f t="shared" ca="1" si="13"/>
        <v>7895.7939159402513</v>
      </c>
      <c r="I53" s="189">
        <f t="shared" ca="1" si="13"/>
        <v>8664.43220170313</v>
      </c>
      <c r="J53" s="189">
        <f t="shared" ca="1" si="13"/>
        <v>8661.7898117882796</v>
      </c>
      <c r="K53" s="189">
        <f t="shared" ca="1" si="13"/>
        <v>10742.141937392093</v>
      </c>
      <c r="L53" s="189">
        <f t="shared" ca="1" si="13"/>
        <v>10091.779576136109</v>
      </c>
      <c r="M53" s="189">
        <f t="shared" ca="1" si="13"/>
        <v>9260.1843867478965</v>
      </c>
      <c r="N53" s="189">
        <f t="shared" ca="1" si="13"/>
        <v>8371.5465313920686</v>
      </c>
      <c r="O53" s="189">
        <f t="shared" ca="1" si="13"/>
        <v>7451.8193208665252</v>
      </c>
      <c r="P53" s="189">
        <f t="shared" ca="1" si="13"/>
        <v>6497.113894160012</v>
      </c>
      <c r="Q53" s="189">
        <f t="shared" ca="1" si="13"/>
        <v>5498.459739251155</v>
      </c>
      <c r="R53" s="189">
        <f t="shared" ca="1" si="13"/>
        <v>4447.4658436977788</v>
      </c>
      <c r="S53" s="189">
        <f t="shared" ca="1" si="13"/>
        <v>2654.1453329743767</v>
      </c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:29">
      <c r="A54" s="5" t="s">
        <v>1849</v>
      </c>
      <c r="B54" s="3"/>
      <c r="C54" s="3"/>
      <c r="D54" s="189">
        <f t="shared" ref="D54:S54" si="14">D11-D19-D34-D41</f>
        <v>-5868</v>
      </c>
      <c r="E54" s="189">
        <f t="shared" ca="1" si="14"/>
        <v>-1070.6112427559369</v>
      </c>
      <c r="F54" s="189">
        <f t="shared" ca="1" si="14"/>
        <v>1654.8593289174823</v>
      </c>
      <c r="G54" s="189">
        <f t="shared" ca="1" si="14"/>
        <v>5667.1212206132914</v>
      </c>
      <c r="H54" s="189">
        <f t="shared" ca="1" si="14"/>
        <v>11956.611144027938</v>
      </c>
      <c r="I54" s="189">
        <f t="shared" ca="1" si="14"/>
        <v>33633.463244451792</v>
      </c>
      <c r="J54" s="189">
        <f t="shared" ca="1" si="14"/>
        <v>78366.807544421186</v>
      </c>
      <c r="K54" s="189">
        <f t="shared" ca="1" si="14"/>
        <v>124814.56337317264</v>
      </c>
      <c r="L54" s="189">
        <f t="shared" ca="1" si="14"/>
        <v>149791.94021639449</v>
      </c>
      <c r="M54" s="189">
        <f t="shared" ca="1" si="14"/>
        <v>187484.70018213123</v>
      </c>
      <c r="N54" s="189">
        <f t="shared" ca="1" si="14"/>
        <v>252210.66632970527</v>
      </c>
      <c r="O54" s="189">
        <f t="shared" ca="1" si="14"/>
        <v>365878.47684753285</v>
      </c>
      <c r="P54" s="189">
        <f t="shared" ca="1" si="14"/>
        <v>503897.79573312262</v>
      </c>
      <c r="Q54" s="189">
        <f t="shared" ca="1" si="14"/>
        <v>645875.45187207125</v>
      </c>
      <c r="R54" s="189">
        <f t="shared" ca="1" si="14"/>
        <v>853481.41790250153</v>
      </c>
      <c r="S54" s="189">
        <f t="shared" ca="1" si="14"/>
        <v>1134395.9925806765</v>
      </c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:29">
      <c r="A55" s="5" t="s">
        <v>1850</v>
      </c>
      <c r="B55" s="3"/>
      <c r="C55" s="3"/>
      <c r="D55" s="189">
        <f t="shared" ref="D55:S55" si="15">D12-D20-D35-D42</f>
        <v>-750</v>
      </c>
      <c r="E55" s="189">
        <f t="shared" si="15"/>
        <v>-750</v>
      </c>
      <c r="F55" s="189">
        <f t="shared" si="15"/>
        <v>-750</v>
      </c>
      <c r="G55" s="189">
        <f t="shared" si="15"/>
        <v>-750</v>
      </c>
      <c r="H55" s="189">
        <f t="shared" si="15"/>
        <v>-750</v>
      </c>
      <c r="I55" s="189">
        <f t="shared" ca="1" si="15"/>
        <v>-716.6021898149354</v>
      </c>
      <c r="J55" s="189">
        <f t="shared" ca="1" si="15"/>
        <v>-584.95865429953221</v>
      </c>
      <c r="K55" s="189">
        <f t="shared" ca="1" si="15"/>
        <v>-1167.0247254934156</v>
      </c>
      <c r="L55" s="189">
        <f t="shared" ca="1" si="15"/>
        <v>-458.40823846093434</v>
      </c>
      <c r="M55" s="189">
        <f t="shared" ca="1" si="15"/>
        <v>-1275.6440181366781</v>
      </c>
      <c r="N55" s="189">
        <f t="shared" ca="1" si="15"/>
        <v>-994.86943303270016</v>
      </c>
      <c r="O55" s="189">
        <f t="shared" ca="1" si="15"/>
        <v>-1159.7495572171092</v>
      </c>
      <c r="P55" s="189">
        <f t="shared" ca="1" si="15"/>
        <v>-1161.2265361611608</v>
      </c>
      <c r="Q55" s="189">
        <f t="shared" ca="1" si="15"/>
        <v>-2427.8050765938779</v>
      </c>
      <c r="R55" s="189">
        <f t="shared" ca="1" si="15"/>
        <v>-3569.4156576483756</v>
      </c>
      <c r="S55" s="189">
        <f t="shared" ca="1" si="15"/>
        <v>-4716.6299517088019</v>
      </c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>
      <c r="A56" s="5" t="s">
        <v>1851</v>
      </c>
      <c r="B56" s="3"/>
      <c r="C56" s="3"/>
      <c r="D56" s="189">
        <f t="shared" ref="D56:S56" ca="1" si="16">-(D43+D47+D48)</f>
        <v>-546.84664406258162</v>
      </c>
      <c r="E56" s="189">
        <f t="shared" ca="1" si="16"/>
        <v>-3819.2881023679347</v>
      </c>
      <c r="F56" s="189">
        <f t="shared" ca="1" si="16"/>
        <v>-3997.4082922711095</v>
      </c>
      <c r="G56" s="189">
        <f t="shared" ca="1" si="16"/>
        <v>-5173.9619567579757</v>
      </c>
      <c r="H56" s="189">
        <f t="shared" ca="1" si="16"/>
        <v>-6134.5909335226916</v>
      </c>
      <c r="I56" s="189">
        <f t="shared" ca="1" si="16"/>
        <v>-7859.2449886829509</v>
      </c>
      <c r="J56" s="189">
        <f t="shared" ca="1" si="16"/>
        <v>-9340.8670148611927</v>
      </c>
      <c r="K56" s="189">
        <f t="shared" ca="1" si="16"/>
        <v>-10882.67647155442</v>
      </c>
      <c r="L56" s="189">
        <f t="shared" ca="1" si="16"/>
        <v>-12104.293360227419</v>
      </c>
      <c r="M56" s="189">
        <f t="shared" ca="1" si="16"/>
        <v>-11935.987245260167</v>
      </c>
      <c r="N56" s="189">
        <f t="shared" ca="1" si="16"/>
        <v>-12266.228270988446</v>
      </c>
      <c r="O56" s="189">
        <f t="shared" ca="1" si="16"/>
        <v>-13848.835685179918</v>
      </c>
      <c r="P56" s="189">
        <f t="shared" ca="1" si="16"/>
        <v>-16931.537177290043</v>
      </c>
      <c r="Q56" s="189">
        <f t="shared" ca="1" si="16"/>
        <v>-20490.049828596802</v>
      </c>
      <c r="R56" s="189">
        <f t="shared" ca="1" si="16"/>
        <v>-24168.072353161471</v>
      </c>
      <c r="S56" s="189">
        <f t="shared" ca="1" si="16"/>
        <v>-30295.829186677824</v>
      </c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:29">
      <c r="A57" s="78" t="s">
        <v>1852</v>
      </c>
      <c r="B57" s="78"/>
      <c r="C57" s="78"/>
      <c r="D57" s="190">
        <f t="shared" ref="D57:S57" ca="1" si="17">D52+D53+D54+D55+D56</f>
        <v>-2785.8466440625816</v>
      </c>
      <c r="E57" s="190">
        <f t="shared" ca="1" si="17"/>
        <v>5825.2759460423495</v>
      </c>
      <c r="F57" s="190">
        <f t="shared" ca="1" si="17"/>
        <v>32895.197661090053</v>
      </c>
      <c r="G57" s="190">
        <f t="shared" ca="1" si="17"/>
        <v>69389.901972804961</v>
      </c>
      <c r="H57" s="190">
        <f t="shared" ca="1" si="17"/>
        <v>126902.18907990174</v>
      </c>
      <c r="I57" s="190">
        <f t="shared" ca="1" si="17"/>
        <v>200867.71634444871</v>
      </c>
      <c r="J57" s="190">
        <f t="shared" ca="1" si="17"/>
        <v>277834.67328197422</v>
      </c>
      <c r="K57" s="190">
        <f t="shared" ca="1" si="17"/>
        <v>347287.11803365377</v>
      </c>
      <c r="L57" s="190">
        <f t="shared" ca="1" si="17"/>
        <v>378195.32104908954</v>
      </c>
      <c r="M57" s="190">
        <f t="shared" ca="1" si="17"/>
        <v>420346.44562102586</v>
      </c>
      <c r="N57" s="190">
        <f t="shared" ca="1" si="17"/>
        <v>499433.479139662</v>
      </c>
      <c r="O57" s="190">
        <f t="shared" ca="1" si="17"/>
        <v>628275.37747127202</v>
      </c>
      <c r="P57" s="190">
        <f t="shared" ca="1" si="17"/>
        <v>778668.31302169408</v>
      </c>
      <c r="Q57" s="190">
        <f t="shared" ca="1" si="17"/>
        <v>927947.82287889486</v>
      </c>
      <c r="R57" s="190">
        <f t="shared" ca="1" si="17"/>
        <v>1138449.9029445364</v>
      </c>
      <c r="S57" s="190">
        <f t="shared" ca="1" si="17"/>
        <v>1414838.5538763518</v>
      </c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:29">
      <c r="A58" s="3"/>
      <c r="B58" s="3"/>
      <c r="C58" s="3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:29">
      <c r="A59" s="13" t="s">
        <v>1853</v>
      </c>
      <c r="B59" s="13"/>
      <c r="C59" s="13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:29">
      <c r="A60" s="5" t="s">
        <v>1854</v>
      </c>
      <c r="B60" s="3"/>
      <c r="C60" s="3"/>
      <c r="D60" s="188">
        <f>Starlink!D151</f>
        <v>2376</v>
      </c>
      <c r="E60" s="188">
        <f ca="1">Starlink!E151</f>
        <v>804.39193779975778</v>
      </c>
      <c r="F60" s="188">
        <f ca="1">Starlink!F151</f>
        <v>1944.3956608776627</v>
      </c>
      <c r="G60" s="188">
        <f ca="1">Starlink!G151</f>
        <v>4524.0594639329447</v>
      </c>
      <c r="H60" s="188">
        <f ca="1">Starlink!H151</f>
        <v>11754.299907678647</v>
      </c>
      <c r="I60" s="188">
        <f ca="1">Starlink!I151</f>
        <v>25009.723045714662</v>
      </c>
      <c r="J60" s="188">
        <f ca="1">Starlink!J151</f>
        <v>38955.334166136752</v>
      </c>
      <c r="K60" s="188">
        <f ca="1">Starlink!K151</f>
        <v>54439.992078405063</v>
      </c>
      <c r="L60" s="188">
        <f ca="1">Starlink!L151</f>
        <v>58746.890409068357</v>
      </c>
      <c r="M60" s="188">
        <f ca="1">Starlink!M151</f>
        <v>68061.384078933173</v>
      </c>
      <c r="N60" s="188">
        <f ca="1">Starlink!N151</f>
        <v>77907.866120371167</v>
      </c>
      <c r="O60" s="188">
        <f ca="1">Starlink!O151</f>
        <v>99105.734227186113</v>
      </c>
      <c r="P60" s="188">
        <f ca="1">Starlink!P151</f>
        <v>105923.35763154761</v>
      </c>
      <c r="Q60" s="188">
        <f ca="1">Starlink!Q151</f>
        <v>113166.79579929721</v>
      </c>
      <c r="R60" s="188">
        <f ca="1">Starlink!R151</f>
        <v>104421.69637998758</v>
      </c>
      <c r="S60" s="188">
        <f ca="1">Starlink!S151</f>
        <v>90766.37185464392</v>
      </c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:29">
      <c r="A61" s="5" t="s">
        <v>1855</v>
      </c>
      <c r="B61" s="3"/>
      <c r="C61" s="3"/>
      <c r="D61" s="188">
        <f>'Customer Launch'!D107</f>
        <v>757</v>
      </c>
      <c r="E61" s="188">
        <f ca="1">'Customer Launch'!E107</f>
        <v>65.585862785862787</v>
      </c>
      <c r="F61" s="188">
        <f ca="1">'Customer Launch'!F107</f>
        <v>103.29636278586278</v>
      </c>
      <c r="G61" s="188">
        <f ca="1">'Customer Launch'!G107</f>
        <v>140.18651611919611</v>
      </c>
      <c r="H61" s="188">
        <f ca="1">'Customer Launch'!H107</f>
        <v>193.88091911919614</v>
      </c>
      <c r="I61" s="188">
        <f ca="1">'Customer Launch'!I107</f>
        <v>243.83973107119618</v>
      </c>
      <c r="J61" s="188">
        <f ca="1">'Customer Launch'!J107</f>
        <v>270.20545785591617</v>
      </c>
      <c r="K61" s="188">
        <f ca="1">'Customer Launch'!K107</f>
        <v>373.43224547619934</v>
      </c>
      <c r="L61" s="188">
        <f ca="1">'Customer Launch'!L107</f>
        <v>446.04195097765125</v>
      </c>
      <c r="M61" s="188">
        <f ca="1">'Customer Launch'!M107</f>
        <v>500.36131861239329</v>
      </c>
      <c r="N61" s="188">
        <f ca="1">'Customer Launch'!N107</f>
        <v>559.13178500331105</v>
      </c>
      <c r="O61" s="188">
        <f ca="1">'Customer Launch'!O107</f>
        <v>586.9929557108353</v>
      </c>
      <c r="P61" s="188">
        <f ca="1">'Customer Launch'!P107</f>
        <v>553.10462619831947</v>
      </c>
      <c r="Q61" s="188">
        <f ca="1">'Customer Launch'!Q107</f>
        <v>581.69549542088691</v>
      </c>
      <c r="R61" s="188">
        <f ca="1">'Customer Launch'!R107</f>
        <v>624.73312490237572</v>
      </c>
      <c r="S61" s="188">
        <f ca="1">'Customer Launch'!S107</f>
        <v>637.23312490237572</v>
      </c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spans="1:29">
      <c r="A62" s="5" t="s">
        <v>1856</v>
      </c>
      <c r="B62" s="3"/>
      <c r="C62" s="3"/>
      <c r="D62" s="188">
        <f>IF($D$5=0,'AI - Compute'!$D$266,'AI - Compute'!D11)</f>
        <v>3568</v>
      </c>
      <c r="E62" s="188">
        <f ca="1">'AI - Compute'!E11</f>
        <v>1850.0139662599015</v>
      </c>
      <c r="F62" s="188">
        <f ca="1">'AI - Compute'!F11</f>
        <v>4388.937689090274</v>
      </c>
      <c r="G62" s="188">
        <f ca="1">'AI - Compute'!G11</f>
        <v>6748.8402777913643</v>
      </c>
      <c r="H62" s="188">
        <f ca="1">'AI - Compute'!H11</f>
        <v>9484.0309376855093</v>
      </c>
      <c r="I62" s="188">
        <f ca="1">'AI - Compute'!I11</f>
        <v>16649.454226873695</v>
      </c>
      <c r="J62" s="188">
        <f ca="1">'AI - Compute'!J11</f>
        <v>30439.785204159292</v>
      </c>
      <c r="K62" s="188">
        <f ca="1">'AI - Compute'!K11</f>
        <v>45640.254470457483</v>
      </c>
      <c r="L62" s="188">
        <f ca="1">'AI - Compute'!L11</f>
        <v>54819.274352055181</v>
      </c>
      <c r="M62" s="188">
        <f ca="1">'AI - Compute'!M11</f>
        <v>64707.839856537532</v>
      </c>
      <c r="N62" s="188">
        <f ca="1">'AI - Compute'!N11</f>
        <v>76920.181468214883</v>
      </c>
      <c r="O62" s="188">
        <f ca="1">'AI - Compute'!O11</f>
        <v>93370.385751129637</v>
      </c>
      <c r="P62" s="188">
        <f ca="1">'AI - Compute'!P11</f>
        <v>117808.7893975871</v>
      </c>
      <c r="Q62" s="188">
        <f ca="1">'AI - Compute'!Q11</f>
        <v>148550.89349637981</v>
      </c>
      <c r="R62" s="188">
        <f ca="1">'AI - Compute'!R11</f>
        <v>188636.37959315145</v>
      </c>
      <c r="S62" s="188">
        <f ca="1">'AI - Compute'!S11</f>
        <v>238809.51001058699</v>
      </c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spans="1:29">
      <c r="A63" s="5" t="s">
        <v>1857</v>
      </c>
      <c r="B63" s="3"/>
      <c r="C63" s="3"/>
      <c r="D63" s="188">
        <f>'Lunar - Mars'!D109</f>
        <v>0</v>
      </c>
      <c r="E63" s="188">
        <f>'Lunar - Mars'!E109</f>
        <v>0</v>
      </c>
      <c r="F63" s="188">
        <f>'Lunar - Mars'!F109</f>
        <v>0</v>
      </c>
      <c r="G63" s="188">
        <f>'Lunar - Mars'!G109</f>
        <v>0</v>
      </c>
      <c r="H63" s="188">
        <f>'Lunar - Mars'!H109</f>
        <v>0</v>
      </c>
      <c r="I63" s="188">
        <f ca="1">'Lunar - Mars'!I109</f>
        <v>1433.2043796298706</v>
      </c>
      <c r="J63" s="188">
        <f ca="1">'Lunar - Mars'!J109</f>
        <v>2603.121688228935</v>
      </c>
      <c r="K63" s="188">
        <f ca="1">'Lunar - Mars'!K109</f>
        <v>4937.1711392157667</v>
      </c>
      <c r="L63" s="188">
        <f ca="1">'Lunar - Mars'!L109</f>
        <v>5853.9876161376351</v>
      </c>
      <c r="M63" s="188">
        <f ca="1">'Lunar - Mars'!M109</f>
        <v>8405.27565241099</v>
      </c>
      <c r="N63" s="188">
        <f ca="1">'Lunar - Mars'!N109</f>
        <v>10395.014518476391</v>
      </c>
      <c r="O63" s="188">
        <f ca="1">'Lunar - Mars'!O109</f>
        <v>12714.51363291061</v>
      </c>
      <c r="P63" s="188">
        <f ca="1">'Lunar - Mars'!P109</f>
        <v>15036.966705232931</v>
      </c>
      <c r="Q63" s="188">
        <f ca="1">'Lunar - Mars'!Q109</f>
        <v>19892.576858420689</v>
      </c>
      <c r="R63" s="188">
        <f ca="1">'Lunar - Mars'!R109</f>
        <v>27031.408173717442</v>
      </c>
      <c r="S63" s="188">
        <f ca="1">'Lunar - Mars'!S109</f>
        <v>36464.668077135044</v>
      </c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spans="1:29">
      <c r="A64" s="5" t="s">
        <v>1858</v>
      </c>
      <c r="B64" s="3"/>
      <c r="C64" s="3"/>
      <c r="D64" s="188">
        <f t="array" aca="1" ref="D64" ca="1">IFERROR(INDEX('Facilities Build'!$D:$AC,MATCH("Corporate &amp; infrastructure D&amp;A total ($mm)",'Facilities Build'!$A$1:$A$90,0),D$5+1),0)</f>
        <v>166.6035</v>
      </c>
      <c r="E64" s="188">
        <f t="array" aca="1" ref="E64" ca="1">IFERROR(INDEX('Facilities Build'!$D:$AC,MATCH("Corporate &amp; infrastructure D&amp;A total ($mm)",'Facilities Build'!$A$1:$A$90,0),E$5+1),0)</f>
        <v>222.47120827539871</v>
      </c>
      <c r="F64" s="188">
        <f t="array" aca="1" ref="F64" ca="1">IFERROR(INDEX('Facilities Build'!$D:$AC,MATCH("Corporate &amp; infrastructure D&amp;A total ($mm)",'Facilities Build'!$A$1:$A$90,0),F$5+1),0)</f>
        <v>292.11042989757493</v>
      </c>
      <c r="G64" s="188">
        <f t="array" aca="1" ref="G64" ca="1">IFERROR(INDEX('Facilities Build'!$D:$AC,MATCH("Corporate &amp; infrastructure D&amp;A total ($mm)",'Facilities Build'!$A$1:$A$90,0),G$5+1),0)</f>
        <v>583.1533768133304</v>
      </c>
      <c r="H64" s="188">
        <f t="array" aca="1" ref="H64" ca="1">IFERROR(INDEX('Facilities Build'!$D:$AC,MATCH("Corporate &amp; infrastructure D&amp;A total ($mm)",'Facilities Build'!$A$1:$A$90,0),H$5+1),0)</f>
        <v>1094.1274642418541</v>
      </c>
      <c r="I64" s="188">
        <f t="array" aca="1" ref="I64" ca="1">IFERROR(INDEX('Facilities Build'!$D:$AC,MATCH("Corporate &amp; infrastructure D&amp;A total ($mm)",'Facilities Build'!$A$1:$A$90,0),I$5+1),0)</f>
        <v>2054.5840519201402</v>
      </c>
      <c r="J64" s="188">
        <f t="array" aca="1" ref="J64" ca="1">IFERROR(INDEX('Facilities Build'!$D:$AC,MATCH("Corporate &amp; infrastructure D&amp;A total ($mm)",'Facilities Build'!$A$1:$A$90,0),J$5+1),0)</f>
        <v>3315.1393657438775</v>
      </c>
      <c r="K64" s="188">
        <f t="array" aca="1" ref="K64" ca="1">IFERROR(INDEX('Facilities Build'!$D:$AC,MATCH("Corporate &amp; infrastructure D&amp;A total ($mm)",'Facilities Build'!$A$1:$A$90,0),K$5+1),0)</f>
        <v>4760.9769276058723</v>
      </c>
      <c r="L64" s="188">
        <f t="array" aca="1" ref="L64" ca="1">IFERROR(INDEX('Facilities Build'!$D:$AC,MATCH("Corporate &amp; infrastructure D&amp;A total ($mm)",'Facilities Build'!$A$1:$A$90,0),L$5+1),0)</f>
        <v>6513.3448316671438</v>
      </c>
      <c r="M64" s="188">
        <f t="array" aca="1" ref="M64" ca="1">IFERROR(INDEX('Facilities Build'!$D:$AC,MATCH("Corporate &amp; infrastructure D&amp;A total ($mm)",'Facilities Build'!$A$1:$A$90,0),M$5+1),0)</f>
        <v>8022.5479901752633</v>
      </c>
      <c r="N64" s="188">
        <f t="array" aca="1" ref="N64" ca="1">IFERROR(INDEX('Facilities Build'!$D:$AC,MATCH("Corporate &amp; infrastructure D&amp;A total ($mm)",'Facilities Build'!$A$1:$A$90,0),N$5+1),0)</f>
        <v>9691.9881871527286</v>
      </c>
      <c r="O64" s="188">
        <f t="array" aca="1" ref="O64" ca="1">IFERROR(INDEX('Facilities Build'!$D:$AC,MATCH("Corporate &amp; infrastructure D&amp;A total ($mm)",'Facilities Build'!$A$1:$A$90,0),O$5+1),0)</f>
        <v>11798.571308694103</v>
      </c>
      <c r="P64" s="188">
        <f t="array" aca="1" ref="P64" ca="1">IFERROR(INDEX('Facilities Build'!$D:$AC,MATCH("Corporate &amp; infrastructure D&amp;A total ($mm)",'Facilities Build'!$A$1:$A$90,0),P$5+1),0)</f>
        <v>14535.400992969087</v>
      </c>
      <c r="Q64" s="188">
        <f t="array" aca="1" ref="Q64" ca="1">IFERROR(INDEX('Facilities Build'!$D:$AC,MATCH("Corporate &amp; infrastructure D&amp;A total ($mm)",'Facilities Build'!$A$1:$A$90,0),Q$5+1),0)</f>
        <v>17141.324070281942</v>
      </c>
      <c r="R64" s="188">
        <f t="array" aca="1" ref="R64" ca="1">IFERROR(INDEX('Facilities Build'!$D:$AC,MATCH("Corporate &amp; infrastructure D&amp;A total ($mm)",'Facilities Build'!$A$1:$A$90,0),R$5+1),0)</f>
        <v>20020.621245880033</v>
      </c>
      <c r="S64" s="188">
        <f t="array" aca="1" ref="S64" ca="1">IFERROR(INDEX('Facilities Build'!$D:$AC,MATCH("Corporate &amp; infrastructure D&amp;A total ($mm)",'Facilities Build'!$A$1:$A$90,0),S$5+1),0)</f>
        <v>23587.097323762133</v>
      </c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spans="1:29">
      <c r="A65" s="78" t="s">
        <v>1859</v>
      </c>
      <c r="B65" s="78"/>
      <c r="C65" s="78"/>
      <c r="D65" s="190">
        <f>IF($D$5=0,D60+D61+D62,D60+D61+D62+D63+D64)</f>
        <v>6701</v>
      </c>
      <c r="E65" s="190">
        <f t="shared" ref="E65:S65" ca="1" si="18">E60+E61+E62+E63+E64</f>
        <v>2942.4629751209204</v>
      </c>
      <c r="F65" s="190">
        <f t="shared" ca="1" si="18"/>
        <v>6728.7401426513752</v>
      </c>
      <c r="G65" s="190">
        <f t="shared" ca="1" si="18"/>
        <v>11996.239634656835</v>
      </c>
      <c r="H65" s="190">
        <f t="shared" ca="1" si="18"/>
        <v>22526.339228725206</v>
      </c>
      <c r="I65" s="190">
        <f t="shared" ca="1" si="18"/>
        <v>45390.805435209557</v>
      </c>
      <c r="J65" s="190">
        <f t="shared" ca="1" si="18"/>
        <v>75583.585882124768</v>
      </c>
      <c r="K65" s="190">
        <f t="shared" ca="1" si="18"/>
        <v>110151.82686116037</v>
      </c>
      <c r="L65" s="190">
        <f t="shared" ca="1" si="18"/>
        <v>126379.53915990597</v>
      </c>
      <c r="M65" s="190">
        <f t="shared" ca="1" si="18"/>
        <v>149697.40889666934</v>
      </c>
      <c r="N65" s="190">
        <f t="shared" ca="1" si="18"/>
        <v>175474.18207921844</v>
      </c>
      <c r="O65" s="190">
        <f t="shared" ca="1" si="18"/>
        <v>217576.1978756313</v>
      </c>
      <c r="P65" s="190">
        <f t="shared" ca="1" si="18"/>
        <v>253857.61935353503</v>
      </c>
      <c r="Q65" s="190">
        <f t="shared" ca="1" si="18"/>
        <v>299333.28571980051</v>
      </c>
      <c r="R65" s="190">
        <f t="shared" ca="1" si="18"/>
        <v>340734.83851763885</v>
      </c>
      <c r="S65" s="190">
        <f t="shared" ca="1" si="18"/>
        <v>390264.88039103046</v>
      </c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>
      <c r="A66" s="3"/>
      <c r="B66" s="3"/>
      <c r="C66" s="3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spans="1:29">
      <c r="A67" s="13" t="s">
        <v>1860</v>
      </c>
      <c r="B67" s="13"/>
      <c r="C67" s="13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spans="1:29">
      <c r="A68" s="5" t="s">
        <v>1861</v>
      </c>
      <c r="B68" s="3"/>
      <c r="C68" s="3"/>
      <c r="D68" s="189">
        <f t="shared" ref="D68:S68" si="19">D52-D60</f>
        <v>2622</v>
      </c>
      <c r="E68" s="189">
        <f t="shared" ca="1" si="19"/>
        <v>7181.3668533664622</v>
      </c>
      <c r="F68" s="189">
        <f t="shared" ca="1" si="19"/>
        <v>27431.444909664544</v>
      </c>
      <c r="G68" s="189">
        <f t="shared" ca="1" si="19"/>
        <v>57942.092417880776</v>
      </c>
      <c r="H68" s="189">
        <f t="shared" ca="1" si="19"/>
        <v>102180.0750457776</v>
      </c>
      <c r="I68" s="189">
        <f t="shared" ca="1" si="19"/>
        <v>142135.94503107699</v>
      </c>
      <c r="J68" s="189">
        <f t="shared" ca="1" si="19"/>
        <v>161776.56742878878</v>
      </c>
      <c r="K68" s="189">
        <f t="shared" ca="1" si="19"/>
        <v>169340.12184173183</v>
      </c>
      <c r="L68" s="189">
        <f t="shared" ca="1" si="19"/>
        <v>172127.41244617896</v>
      </c>
      <c r="M68" s="189">
        <f t="shared" ca="1" si="19"/>
        <v>168751.80823661038</v>
      </c>
      <c r="N68" s="189">
        <f t="shared" ca="1" si="19"/>
        <v>174204.49786221469</v>
      </c>
      <c r="O68" s="189">
        <f t="shared" ca="1" si="19"/>
        <v>170847.93231808348</v>
      </c>
      <c r="P68" s="189">
        <f t="shared" ca="1" si="19"/>
        <v>180442.80947631504</v>
      </c>
      <c r="Q68" s="189">
        <f t="shared" ca="1" si="19"/>
        <v>186324.97037346585</v>
      </c>
      <c r="R68" s="189">
        <f t="shared" ca="1" si="19"/>
        <v>203836.81082915928</v>
      </c>
      <c r="S68" s="189">
        <f t="shared" ca="1" si="19"/>
        <v>222034.50324644364</v>
      </c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spans="1:29">
      <c r="A69" s="5" t="s">
        <v>1862</v>
      </c>
      <c r="B69" s="3"/>
      <c r="C69" s="3"/>
      <c r="D69" s="189">
        <f t="shared" ref="D69:S69" si="20">D53-D61</f>
        <v>-1376</v>
      </c>
      <c r="E69" s="189">
        <f t="shared" ca="1" si="20"/>
        <v>3413.8306372141369</v>
      </c>
      <c r="F69" s="189">
        <f t="shared" ca="1" si="20"/>
        <v>6508.6096911156119</v>
      </c>
      <c r="G69" s="189">
        <f t="shared" ca="1" si="20"/>
        <v>7040.404311016734</v>
      </c>
      <c r="H69" s="189">
        <f t="shared" ca="1" si="20"/>
        <v>7701.9129968210555</v>
      </c>
      <c r="I69" s="189">
        <f t="shared" ca="1" si="20"/>
        <v>8420.5924706319347</v>
      </c>
      <c r="J69" s="189">
        <f t="shared" ca="1" si="20"/>
        <v>8391.5843539323632</v>
      </c>
      <c r="K69" s="189">
        <f t="shared" ca="1" si="20"/>
        <v>10368.709691915894</v>
      </c>
      <c r="L69" s="189">
        <f t="shared" ca="1" si="20"/>
        <v>9645.7376251584574</v>
      </c>
      <c r="M69" s="189">
        <f t="shared" ca="1" si="20"/>
        <v>8759.8230681355035</v>
      </c>
      <c r="N69" s="189">
        <f t="shared" ca="1" si="20"/>
        <v>7812.4147463887575</v>
      </c>
      <c r="O69" s="189">
        <f t="shared" ca="1" si="20"/>
        <v>6864.8263651556899</v>
      </c>
      <c r="P69" s="189">
        <f t="shared" ca="1" si="20"/>
        <v>5944.0092679616928</v>
      </c>
      <c r="Q69" s="189">
        <f t="shared" ca="1" si="20"/>
        <v>4916.7642438302682</v>
      </c>
      <c r="R69" s="189">
        <f t="shared" ca="1" si="20"/>
        <v>3822.7327187954033</v>
      </c>
      <c r="S69" s="189">
        <f t="shared" ca="1" si="20"/>
        <v>2016.912208072001</v>
      </c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spans="1:29">
      <c r="A70" s="5" t="s">
        <v>1863</v>
      </c>
      <c r="B70" s="3"/>
      <c r="C70" s="3"/>
      <c r="D70" s="189">
        <f t="shared" ref="D70:S70" si="21">D54-D62</f>
        <v>-9436</v>
      </c>
      <c r="E70" s="189">
        <f t="shared" ca="1" si="21"/>
        <v>-2920.6252090158387</v>
      </c>
      <c r="F70" s="189">
        <f t="shared" ca="1" si="21"/>
        <v>-2734.0783601727917</v>
      </c>
      <c r="G70" s="189">
        <f t="shared" ca="1" si="21"/>
        <v>-1081.7190571780729</v>
      </c>
      <c r="H70" s="189">
        <f t="shared" ca="1" si="21"/>
        <v>2472.5802063424289</v>
      </c>
      <c r="I70" s="189">
        <f t="shared" ca="1" si="21"/>
        <v>16984.009017578097</v>
      </c>
      <c r="J70" s="189">
        <f t="shared" ca="1" si="21"/>
        <v>47927.022340261894</v>
      </c>
      <c r="K70" s="189">
        <f t="shared" ca="1" si="21"/>
        <v>79174.308902715158</v>
      </c>
      <c r="L70" s="189">
        <f t="shared" ca="1" si="21"/>
        <v>94972.665864339302</v>
      </c>
      <c r="M70" s="189">
        <f t="shared" ca="1" si="21"/>
        <v>122776.86032559371</v>
      </c>
      <c r="N70" s="189">
        <f t="shared" ca="1" si="21"/>
        <v>175290.48486149037</v>
      </c>
      <c r="O70" s="189">
        <f t="shared" ca="1" si="21"/>
        <v>272508.09109640319</v>
      </c>
      <c r="P70" s="189">
        <f t="shared" ca="1" si="21"/>
        <v>386089.00633553555</v>
      </c>
      <c r="Q70" s="189">
        <f t="shared" ca="1" si="21"/>
        <v>497324.55837569141</v>
      </c>
      <c r="R70" s="189">
        <f t="shared" ca="1" si="21"/>
        <v>664845.03830935014</v>
      </c>
      <c r="S70" s="189">
        <f t="shared" ca="1" si="21"/>
        <v>895586.4825700894</v>
      </c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spans="1:29">
      <c r="A71" s="5" t="s">
        <v>1864</v>
      </c>
      <c r="B71" s="3"/>
      <c r="C71" s="3"/>
      <c r="D71" s="189">
        <f t="shared" ref="D71:S71" si="22">D55-D63</f>
        <v>-750</v>
      </c>
      <c r="E71" s="189">
        <f t="shared" si="22"/>
        <v>-750</v>
      </c>
      <c r="F71" s="189">
        <f t="shared" si="22"/>
        <v>-750</v>
      </c>
      <c r="G71" s="189">
        <f t="shared" si="22"/>
        <v>-750</v>
      </c>
      <c r="H71" s="189">
        <f t="shared" si="22"/>
        <v>-750</v>
      </c>
      <c r="I71" s="189">
        <f t="shared" ca="1" si="22"/>
        <v>-2149.806569444806</v>
      </c>
      <c r="J71" s="189">
        <f t="shared" ca="1" si="22"/>
        <v>-3188.0803425284671</v>
      </c>
      <c r="K71" s="189">
        <f t="shared" ca="1" si="22"/>
        <v>-6104.1958647091824</v>
      </c>
      <c r="L71" s="189">
        <f t="shared" ca="1" si="22"/>
        <v>-6312.3958545985697</v>
      </c>
      <c r="M71" s="189">
        <f t="shared" ca="1" si="22"/>
        <v>-9680.9196705476679</v>
      </c>
      <c r="N71" s="189">
        <f t="shared" ca="1" si="22"/>
        <v>-11389.883951509091</v>
      </c>
      <c r="O71" s="189">
        <f t="shared" ca="1" si="22"/>
        <v>-13874.26319012772</v>
      </c>
      <c r="P71" s="189">
        <f t="shared" ca="1" si="22"/>
        <v>-16198.193241394092</v>
      </c>
      <c r="Q71" s="189">
        <f t="shared" ca="1" si="22"/>
        <v>-22320.381935014568</v>
      </c>
      <c r="R71" s="189">
        <f t="shared" ca="1" si="22"/>
        <v>-30600.823831365818</v>
      </c>
      <c r="S71" s="189">
        <f t="shared" ca="1" si="22"/>
        <v>-41181.298028843848</v>
      </c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spans="1:29">
      <c r="A72" s="5" t="s">
        <v>1865</v>
      </c>
      <c r="B72" s="3"/>
      <c r="C72" s="3"/>
      <c r="D72" s="189">
        <f t="shared" ref="D72:S72" ca="1" si="23">D56-D64</f>
        <v>-713.45014406258156</v>
      </c>
      <c r="E72" s="189">
        <f t="shared" ca="1" si="23"/>
        <v>-4041.7593106433333</v>
      </c>
      <c r="F72" s="189">
        <f t="shared" ca="1" si="23"/>
        <v>-4289.5187221686847</v>
      </c>
      <c r="G72" s="189">
        <f t="shared" ca="1" si="23"/>
        <v>-5757.1153335713061</v>
      </c>
      <c r="H72" s="189">
        <f t="shared" ca="1" si="23"/>
        <v>-7228.7183977645454</v>
      </c>
      <c r="I72" s="189">
        <f t="shared" ca="1" si="23"/>
        <v>-9913.8290406030901</v>
      </c>
      <c r="J72" s="189">
        <f t="shared" ca="1" si="23"/>
        <v>-12656.006380605071</v>
      </c>
      <c r="K72" s="189">
        <f t="shared" ca="1" si="23"/>
        <v>-15643.653399160292</v>
      </c>
      <c r="L72" s="189">
        <f t="shared" ca="1" si="23"/>
        <v>-18617.638191894563</v>
      </c>
      <c r="M72" s="189">
        <f t="shared" ca="1" si="23"/>
        <v>-19958.535235435429</v>
      </c>
      <c r="N72" s="189">
        <f t="shared" ca="1" si="23"/>
        <v>-21958.216458141174</v>
      </c>
      <c r="O72" s="189">
        <f t="shared" ca="1" si="23"/>
        <v>-25647.406993874021</v>
      </c>
      <c r="P72" s="189">
        <f t="shared" ca="1" si="23"/>
        <v>-31466.938170259131</v>
      </c>
      <c r="Q72" s="189">
        <f t="shared" ca="1" si="23"/>
        <v>-37631.373898878745</v>
      </c>
      <c r="R72" s="189">
        <f t="shared" ca="1" si="23"/>
        <v>-44188.693599041508</v>
      </c>
      <c r="S72" s="189">
        <f t="shared" ca="1" si="23"/>
        <v>-53882.926510439953</v>
      </c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spans="1:29">
      <c r="A73" s="78" t="s">
        <v>1866</v>
      </c>
      <c r="B73" s="78"/>
      <c r="C73" s="78"/>
      <c r="D73" s="190">
        <f>IF($D$5=0,D14-D22-D44-D36-D130-D131,D68+D69+D70+D71+D72)</f>
        <v>-2589</v>
      </c>
      <c r="E73" s="190">
        <f t="shared" ref="E73:S73" ca="1" si="24">E68+E69+E70+E71+E72</f>
        <v>2882.8129709214263</v>
      </c>
      <c r="F73" s="190">
        <f t="shared" ca="1" si="24"/>
        <v>26166.457518438678</v>
      </c>
      <c r="G73" s="190">
        <f t="shared" ca="1" si="24"/>
        <v>57393.662338148133</v>
      </c>
      <c r="H73" s="190">
        <f t="shared" ca="1" si="24"/>
        <v>104375.84985117655</v>
      </c>
      <c r="I73" s="190">
        <f t="shared" ca="1" si="24"/>
        <v>155476.91090923912</v>
      </c>
      <c r="J73" s="190">
        <f t="shared" ca="1" si="24"/>
        <v>202251.08739984949</v>
      </c>
      <c r="K73" s="190">
        <f t="shared" ca="1" si="24"/>
        <v>237135.29117249342</v>
      </c>
      <c r="L73" s="190">
        <f t="shared" ca="1" si="24"/>
        <v>251815.78188918356</v>
      </c>
      <c r="M73" s="190">
        <f t="shared" ca="1" si="24"/>
        <v>270649.03672435653</v>
      </c>
      <c r="N73" s="190">
        <f t="shared" ca="1" si="24"/>
        <v>323959.29706044355</v>
      </c>
      <c r="O73" s="190">
        <f t="shared" ca="1" si="24"/>
        <v>410699.17959564063</v>
      </c>
      <c r="P73" s="190">
        <f t="shared" ca="1" si="24"/>
        <v>524810.69366815907</v>
      </c>
      <c r="Q73" s="190">
        <f t="shared" ca="1" si="24"/>
        <v>628614.53715909424</v>
      </c>
      <c r="R73" s="190">
        <f t="shared" ca="1" si="24"/>
        <v>797715.06442689744</v>
      </c>
      <c r="S73" s="190">
        <f t="shared" ca="1" si="24"/>
        <v>1024573.6734853212</v>
      </c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spans="1:29">
      <c r="A74" s="3"/>
      <c r="B74" s="3"/>
      <c r="C74" s="3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spans="1:29">
      <c r="A75" s="13" t="s">
        <v>1867</v>
      </c>
      <c r="B75" s="13"/>
      <c r="C75" s="13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spans="1:29">
      <c r="A76" s="191" t="s">
        <v>1868</v>
      </c>
      <c r="B76" s="192"/>
      <c r="C76" s="192"/>
      <c r="D76" s="193">
        <f>'Cash Allocation Engine'!D19</f>
        <v>0</v>
      </c>
      <c r="E76" s="193">
        <f ca="1">'Cash Allocation Engine'!E19</f>
        <v>52.502005002733704</v>
      </c>
      <c r="F76" s="193">
        <f ca="1">'Cash Allocation Engine'!F19</f>
        <v>547.01216626128519</v>
      </c>
      <c r="G76" s="193">
        <f ca="1">'Cash Allocation Engine'!G19</f>
        <v>5297.4031934070954</v>
      </c>
      <c r="H76" s="193">
        <f ca="1">'Cash Allocation Engine'!H19</f>
        <v>11958.416281250251</v>
      </c>
      <c r="I76" s="193">
        <f ca="1">'Cash Allocation Engine'!I19</f>
        <v>21770.400801943491</v>
      </c>
      <c r="J76" s="193">
        <f ca="1">'Cash Allocation Engine'!J19</f>
        <v>32771.187744137344</v>
      </c>
      <c r="K76" s="193">
        <f ca="1">'Cash Allocation Engine'!K19</f>
        <v>42771.415116528893</v>
      </c>
      <c r="L76" s="193">
        <f ca="1">'Cash Allocation Engine'!L19</f>
        <v>50538.4272581685</v>
      </c>
      <c r="M76" s="193">
        <f ca="1">'Cash Allocation Engine'!M19</f>
        <v>54284.972051006123</v>
      </c>
      <c r="N76" s="193">
        <f ca="1">'Cash Allocation Engine'!N19</f>
        <v>58453.298723661341</v>
      </c>
      <c r="O76" s="193">
        <f ca="1">'Cash Allocation Engine'!O19</f>
        <v>69736.173653870734</v>
      </c>
      <c r="P76" s="193">
        <f ca="1">'Cash Allocation Engine'!P19</f>
        <v>88078.777960220395</v>
      </c>
      <c r="Q76" s="193">
        <f ca="1">'Cash Allocation Engine'!Q19</f>
        <v>112516.82318945418</v>
      </c>
      <c r="R76" s="193">
        <f ca="1">'Cash Allocation Engine'!R19</f>
        <v>134837.59004717958</v>
      </c>
      <c r="S76" s="193">
        <f ca="1">'Cash Allocation Engine'!S19</f>
        <v>170644.92079734677</v>
      </c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spans="1:29">
      <c r="A77" s="98" t="s">
        <v>1869</v>
      </c>
      <c r="B77" s="78"/>
      <c r="C77" s="78"/>
      <c r="D77" s="190">
        <f t="shared" ref="D77:S77" si="25">D73-D76</f>
        <v>-2589</v>
      </c>
      <c r="E77" s="190">
        <f t="shared" ca="1" si="25"/>
        <v>2830.3109659186925</v>
      </c>
      <c r="F77" s="190">
        <f t="shared" ca="1" si="25"/>
        <v>25619.445352177394</v>
      </c>
      <c r="G77" s="190">
        <f t="shared" ca="1" si="25"/>
        <v>52096.259144741038</v>
      </c>
      <c r="H77" s="190">
        <f t="shared" ca="1" si="25"/>
        <v>92417.433569926303</v>
      </c>
      <c r="I77" s="190">
        <f t="shared" ca="1" si="25"/>
        <v>133706.51010729562</v>
      </c>
      <c r="J77" s="190">
        <f t="shared" ca="1" si="25"/>
        <v>169479.89965571216</v>
      </c>
      <c r="K77" s="190">
        <f t="shared" ca="1" si="25"/>
        <v>194363.87605596453</v>
      </c>
      <c r="L77" s="190">
        <f t="shared" ca="1" si="25"/>
        <v>201277.35463101507</v>
      </c>
      <c r="M77" s="190">
        <f t="shared" ca="1" si="25"/>
        <v>216364.0646733504</v>
      </c>
      <c r="N77" s="190">
        <f t="shared" ca="1" si="25"/>
        <v>265505.99833678221</v>
      </c>
      <c r="O77" s="190">
        <f t="shared" ca="1" si="25"/>
        <v>340963.00594176992</v>
      </c>
      <c r="P77" s="190">
        <f t="shared" ca="1" si="25"/>
        <v>436731.91570793866</v>
      </c>
      <c r="Q77" s="190">
        <f t="shared" ca="1" si="25"/>
        <v>516097.71396964008</v>
      </c>
      <c r="R77" s="190">
        <f t="shared" ca="1" si="25"/>
        <v>662877.47437971784</v>
      </c>
      <c r="S77" s="190">
        <f t="shared" ca="1" si="25"/>
        <v>853928.75268797448</v>
      </c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spans="1:29">
      <c r="A78" s="3"/>
      <c r="B78" s="3"/>
      <c r="C78" s="3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spans="1:29">
      <c r="A79" s="13" t="s">
        <v>1870</v>
      </c>
      <c r="B79" s="13"/>
      <c r="C79" s="13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spans="1:29">
      <c r="A80" s="5" t="s">
        <v>1871</v>
      </c>
      <c r="B80" s="3"/>
      <c r="C80" s="3"/>
      <c r="D80" s="188">
        <f>Starlink!D156</f>
        <v>4178</v>
      </c>
      <c r="E80" s="188">
        <f ca="1">Starlink!E156</f>
        <v>1714.4918219284275</v>
      </c>
      <c r="F80" s="188">
        <f ca="1">Starlink!F156</f>
        <v>6918.8608559199465</v>
      </c>
      <c r="G80" s="188">
        <f ca="1">Starlink!G156</f>
        <v>14418.862819131948</v>
      </c>
      <c r="H80" s="188">
        <f ca="1">Starlink!H156</f>
        <v>35948.961961625864</v>
      </c>
      <c r="I80" s="188">
        <f ca="1">Starlink!I156</f>
        <v>59932.503056401009</v>
      </c>
      <c r="J80" s="188">
        <f ca="1">Starlink!J156</f>
        <v>58500.13628351222</v>
      </c>
      <c r="K80" s="188">
        <f ca="1">Starlink!K156</f>
        <v>65295.700556190015</v>
      </c>
      <c r="L80" s="188">
        <f ca="1">Starlink!L156</f>
        <v>26042.923960554028</v>
      </c>
      <c r="M80" s="188">
        <f ca="1">Starlink!M156</f>
        <v>61001.732167579838</v>
      </c>
      <c r="N80" s="188">
        <f ca="1">Starlink!N156</f>
        <v>86638.74301332701</v>
      </c>
      <c r="O80" s="188">
        <f ca="1">Starlink!O156</f>
        <v>131325.19825495183</v>
      </c>
      <c r="P80" s="188">
        <f ca="1">Starlink!P156</f>
        <v>81998.007714503066</v>
      </c>
      <c r="Q80" s="188">
        <f ca="1">Starlink!Q156</f>
        <v>49246.153544620443</v>
      </c>
      <c r="R80" s="188">
        <f ca="1">Starlink!R156</f>
        <v>26202.398359479146</v>
      </c>
      <c r="S80" s="188">
        <f ca="1">Starlink!S156</f>
        <v>30494.936002613296</v>
      </c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spans="1:29">
      <c r="A81" s="5" t="s">
        <v>1872</v>
      </c>
      <c r="B81" s="3"/>
      <c r="C81" s="3"/>
      <c r="D81" s="188">
        <f>'Customer Launch'!D113</f>
        <v>3832</v>
      </c>
      <c r="E81" s="188">
        <f ca="1">'Customer Launch'!E113</f>
        <v>900.78459459459452</v>
      </c>
      <c r="F81" s="188">
        <f ca="1">'Customer Launch'!F113</f>
        <v>705.62165998167836</v>
      </c>
      <c r="G81" s="188">
        <f ca="1">'Customer Launch'!G113</f>
        <v>663.32847657385526</v>
      </c>
      <c r="H81" s="188">
        <f ca="1">'Customer Launch'!H113</f>
        <v>1258.8941454686951</v>
      </c>
      <c r="I81" s="188">
        <f ca="1">'Customer Launch'!I113</f>
        <v>1231.1697007792723</v>
      </c>
      <c r="J81" s="188">
        <f ca="1">'Customer Launch'!J113</f>
        <v>570.36499943713488</v>
      </c>
      <c r="K81" s="188">
        <f ca="1">'Customer Launch'!K113</f>
        <v>2121.2190978006115</v>
      </c>
      <c r="L81" s="188">
        <f ca="1">'Customer Launch'!L113</f>
        <v>862.06716064212981</v>
      </c>
      <c r="M81" s="188">
        <f ca="1">'Customer Launch'!M113</f>
        <v>1001.9146449172931</v>
      </c>
      <c r="N81" s="188">
        <f ca="1">'Customer Launch'!N113</f>
        <v>1182.0845901509697</v>
      </c>
      <c r="O81" s="188">
        <f ca="1">'Customer Launch'!O113</f>
        <v>1977.4794976222788</v>
      </c>
      <c r="P81" s="188">
        <f ca="1">'Customer Launch'!P113</f>
        <v>444.50037934505934</v>
      </c>
      <c r="Q81" s="188">
        <f ca="1">'Customer Launch'!Q113</f>
        <v>501.0013016058403</v>
      </c>
      <c r="R81" s="188">
        <f ca="1">'Customer Launch'!R113</f>
        <v>616.9316660058347</v>
      </c>
      <c r="S81" s="188">
        <f ca="1">'Customer Launch'!S113</f>
        <v>-19.772840194073638</v>
      </c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>
      <c r="A82" s="5" t="s">
        <v>1873</v>
      </c>
      <c r="B82" s="3"/>
      <c r="C82" s="3"/>
      <c r="D82" s="188">
        <f>IF($D$5=0,'AI - Compute'!$D$268,'AI - Compute'!D13)</f>
        <v>12727</v>
      </c>
      <c r="E82" s="188">
        <f ca="1">'AI - Compute'!E13</f>
        <v>17588.433452231853</v>
      </c>
      <c r="F82" s="188">
        <f ca="1">'AI - Compute'!F13</f>
        <v>27905.221181949826</v>
      </c>
      <c r="G82" s="188">
        <f ca="1">'AI - Compute'!G13</f>
        <v>17637.464100821333</v>
      </c>
      <c r="H82" s="188">
        <f ca="1">'AI - Compute'!H13</f>
        <v>17355.361039800144</v>
      </c>
      <c r="I82" s="188">
        <f ca="1">'AI - Compute'!I13</f>
        <v>45254.266085994102</v>
      </c>
      <c r="J82" s="188">
        <f ca="1">'AI - Compute'!J13</f>
        <v>82395.577721369846</v>
      </c>
      <c r="K82" s="188">
        <f ca="1">'AI - Compute'!K13</f>
        <v>123720.43905456817</v>
      </c>
      <c r="L82" s="188">
        <f ca="1">'AI - Compute'!L13</f>
        <v>92370.275139522913</v>
      </c>
      <c r="M82" s="188">
        <f ca="1">'AI - Compute'!M13</f>
        <v>119530.10822037797</v>
      </c>
      <c r="N82" s="188">
        <f ca="1">'AI - Compute'!N13</f>
        <v>161064.63558497871</v>
      </c>
      <c r="O82" s="188">
        <f ca="1">'AI - Compute'!O13</f>
        <v>239918.27902586077</v>
      </c>
      <c r="P82" s="188">
        <f ca="1">'AI - Compute'!P13</f>
        <v>317208.9626936689</v>
      </c>
      <c r="Q82" s="188">
        <f ca="1">'AI - Compute'!Q13</f>
        <v>369002.33226612792</v>
      </c>
      <c r="R82" s="188">
        <f ca="1">'AI - Compute'!R13</f>
        <v>483963.52598951885</v>
      </c>
      <c r="S82" s="188">
        <f ca="1">'AI - Compute'!S13</f>
        <v>619237.46748286788</v>
      </c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29">
      <c r="A83" s="5" t="s">
        <v>1874</v>
      </c>
      <c r="B83" s="3"/>
      <c r="C83" s="3"/>
      <c r="D83" s="188">
        <f>'Lunar - Mars'!D111</f>
        <v>0</v>
      </c>
      <c r="E83" s="188">
        <f>'Lunar - Mars'!E111</f>
        <v>0</v>
      </c>
      <c r="F83" s="188">
        <f>'Lunar - Mars'!F111</f>
        <v>0</v>
      </c>
      <c r="G83" s="188">
        <f>'Lunar - Mars'!G111</f>
        <v>0</v>
      </c>
      <c r="H83" s="188">
        <f>'Lunar - Mars'!H111</f>
        <v>0</v>
      </c>
      <c r="I83" s="188">
        <f ca="1">'Lunar - Mars'!I111</f>
        <v>14332.043796298705</v>
      </c>
      <c r="J83" s="188">
        <f ca="1">'Lunar - Mars'!J111</f>
        <v>11699.173085990644</v>
      </c>
      <c r="K83" s="188">
        <f ca="1">'Lunar - Mars'!K111</f>
        <v>23340.494509868317</v>
      </c>
      <c r="L83" s="188">
        <f ca="1">'Lunar - Mars'!L111</f>
        <v>9168.1647692186853</v>
      </c>
      <c r="M83" s="188">
        <f ca="1">'Lunar - Mars'!M111</f>
        <v>25512.880362733562</v>
      </c>
      <c r="N83" s="188">
        <f ca="1">'Lunar - Mars'!N111</f>
        <v>19897.388660654004</v>
      </c>
      <c r="O83" s="188">
        <f ca="1">'Lunar - Mars'!O111</f>
        <v>23194.991144342184</v>
      </c>
      <c r="P83" s="188">
        <f ca="1">'Lunar - Mars'!P111</f>
        <v>23224.530723223212</v>
      </c>
      <c r="Q83" s="188">
        <f ca="1">'Lunar - Mars'!Q111</f>
        <v>48556.101531877561</v>
      </c>
      <c r="R83" s="188">
        <f ca="1">'Lunar - Mars'!R111</f>
        <v>71388.313152967516</v>
      </c>
      <c r="S83" s="188">
        <f ca="1">'Lunar - Mars'!S111</f>
        <v>94332.599034176033</v>
      </c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29">
      <c r="A84" s="5" t="s">
        <v>1875</v>
      </c>
      <c r="B84" s="3"/>
      <c r="C84" s="3"/>
      <c r="D84" s="188">
        <f ca="1">'Cash Allocation Engine'!D17</f>
        <v>3332.07</v>
      </c>
      <c r="E84" s="188">
        <f ca="1">'Cash Allocation Engine'!E17</f>
        <v>1117.3541655079741</v>
      </c>
      <c r="F84" s="188">
        <f ca="1">'Cash Allocation Engine'!F17</f>
        <v>1392.784432443525</v>
      </c>
      <c r="G84" s="188">
        <f ca="1">'Cash Allocation Engine'!G17</f>
        <v>5820.8589383151084</v>
      </c>
      <c r="H84" s="188">
        <f ca="1">'Cash Allocation Engine'!H17</f>
        <v>10219.481748570475</v>
      </c>
      <c r="I84" s="188">
        <f ca="1">'Cash Allocation Engine'!I17</f>
        <v>19209.131753565718</v>
      </c>
      <c r="J84" s="188">
        <f ca="1">'Cash Allocation Engine'!J17</f>
        <v>25211.106276474748</v>
      </c>
      <c r="K84" s="188">
        <f ca="1">'Cash Allocation Engine'!K17</f>
        <v>28916.751237239892</v>
      </c>
      <c r="L84" s="188">
        <f ca="1">'Cash Allocation Engine'!L17</f>
        <v>35047.358081225422</v>
      </c>
      <c r="M84" s="188">
        <f ca="1">'Cash Allocation Engine'!M17</f>
        <v>30184.063170162401</v>
      </c>
      <c r="N84" s="188">
        <f ca="1">'Cash Allocation Engine'!N17</f>
        <v>33388.803939549311</v>
      </c>
      <c r="O84" s="188">
        <f ca="1">'Cash Allocation Engine'!O17</f>
        <v>42131.66243082747</v>
      </c>
      <c r="P84" s="188">
        <f ca="1">'Cash Allocation Engine'!P17</f>
        <v>54736.593685499705</v>
      </c>
      <c r="Q84" s="188">
        <f ca="1">'Cash Allocation Engine'!Q17</f>
        <v>52118.461546257109</v>
      </c>
      <c r="R84" s="188">
        <f ca="1">'Cash Allocation Engine'!R17</f>
        <v>57585.943511961792</v>
      </c>
      <c r="S84" s="188">
        <f ca="1">'Cash Allocation Engine'!S17</f>
        <v>71329.521557641943</v>
      </c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29">
      <c r="A85" s="78" t="s">
        <v>1876</v>
      </c>
      <c r="B85" s="78"/>
      <c r="C85" s="78"/>
      <c r="D85" s="190">
        <f>IF($D$5=0,D80+D81+D82,D80+D81+D82+D83+D84)</f>
        <v>20737</v>
      </c>
      <c r="E85" s="190">
        <f t="shared" ref="E85:S85" ca="1" si="26">E80+E81+E82+E83+E84</f>
        <v>21321.06403426285</v>
      </c>
      <c r="F85" s="190">
        <f t="shared" ca="1" si="26"/>
        <v>36922.48813029498</v>
      </c>
      <c r="G85" s="190">
        <f t="shared" ca="1" si="26"/>
        <v>38540.514334842243</v>
      </c>
      <c r="H85" s="190">
        <f t="shared" ca="1" si="26"/>
        <v>64782.698895465182</v>
      </c>
      <c r="I85" s="190">
        <f t="shared" ca="1" si="26"/>
        <v>139959.11439303882</v>
      </c>
      <c r="J85" s="190">
        <f t="shared" ca="1" si="26"/>
        <v>178376.35836678461</v>
      </c>
      <c r="K85" s="190">
        <f t="shared" ca="1" si="26"/>
        <v>243394.60445566699</v>
      </c>
      <c r="L85" s="190">
        <f t="shared" ca="1" si="26"/>
        <v>163490.78911116318</v>
      </c>
      <c r="M85" s="190">
        <f t="shared" ca="1" si="26"/>
        <v>237230.69856577108</v>
      </c>
      <c r="N85" s="190">
        <f t="shared" ca="1" si="26"/>
        <v>302171.65578865999</v>
      </c>
      <c r="O85" s="190">
        <f t="shared" ca="1" si="26"/>
        <v>438547.61035360454</v>
      </c>
      <c r="P85" s="190">
        <f t="shared" ca="1" si="26"/>
        <v>477612.59519623994</v>
      </c>
      <c r="Q85" s="190">
        <f t="shared" ca="1" si="26"/>
        <v>519424.05019048892</v>
      </c>
      <c r="R85" s="190">
        <f t="shared" ca="1" si="26"/>
        <v>639757.1126799332</v>
      </c>
      <c r="S85" s="190">
        <f t="shared" ca="1" si="26"/>
        <v>815374.75123710511</v>
      </c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spans="1:29">
      <c r="A86" s="3"/>
      <c r="B86" s="3"/>
      <c r="C86" s="3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spans="1:29">
      <c r="A87" s="13" t="s">
        <v>1877</v>
      </c>
      <c r="B87" s="13"/>
      <c r="C87" s="13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29">
      <c r="A88" s="5" t="s">
        <v>1878</v>
      </c>
      <c r="B88" s="3"/>
      <c r="C88" s="3"/>
      <c r="D88" s="188">
        <f ca="1">Starlink!D157</f>
        <v>3055.8377464819987</v>
      </c>
      <c r="E88" s="188">
        <f ca="1">Starlink!E157</f>
        <v>6271.2669692377931</v>
      </c>
      <c r="F88" s="188">
        <f ca="1">Starlink!F157</f>
        <v>22456.979714622263</v>
      </c>
      <c r="G88" s="188">
        <f ca="1">Starlink!G157</f>
        <v>48047.289062681768</v>
      </c>
      <c r="H88" s="188">
        <f ca="1">Starlink!H157</f>
        <v>77985.412991830381</v>
      </c>
      <c r="I88" s="188">
        <f ca="1">Starlink!I157</f>
        <v>107213.16502039065</v>
      </c>
      <c r="J88" s="188">
        <f ca="1">Starlink!J157</f>
        <v>142231.7653114133</v>
      </c>
      <c r="K88" s="188">
        <f ca="1">Starlink!K157</f>
        <v>158484.41336394686</v>
      </c>
      <c r="L88" s="188">
        <f ca="1">Starlink!L157</f>
        <v>204831.37889469328</v>
      </c>
      <c r="M88" s="188">
        <f ca="1">Starlink!M157</f>
        <v>175811.46014796369</v>
      </c>
      <c r="N88" s="188">
        <f ca="1">Starlink!N157</f>
        <v>165473.62096925883</v>
      </c>
      <c r="O88" s="188">
        <f ca="1">Starlink!O157</f>
        <v>138628.46829031777</v>
      </c>
      <c r="P88" s="188">
        <f ca="1">Starlink!P157</f>
        <v>204368.15939335959</v>
      </c>
      <c r="Q88" s="188">
        <f ca="1">Starlink!Q157</f>
        <v>250245.61262814264</v>
      </c>
      <c r="R88" s="188">
        <f ca="1">Starlink!R157</f>
        <v>282056.10884966771</v>
      </c>
      <c r="S88" s="188">
        <f ca="1">Starlink!S157</f>
        <v>282305.93909847428</v>
      </c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29">
      <c r="A89" s="5" t="s">
        <v>1879</v>
      </c>
      <c r="B89" s="3"/>
      <c r="C89" s="3"/>
      <c r="D89" s="188">
        <f ca="1">'Customer Launch'!D114</f>
        <v>1118.8376923076924</v>
      </c>
      <c r="E89" s="188">
        <f ca="1">'Customer Launch'!E114</f>
        <v>2578.6319054054052</v>
      </c>
      <c r="F89" s="188">
        <f ca="1">'Customer Launch'!F114</f>
        <v>5906.2843939197965</v>
      </c>
      <c r="G89" s="188">
        <f ca="1">'Customer Launch'!G114</f>
        <v>6517.262350562075</v>
      </c>
      <c r="H89" s="188">
        <f ca="1">'Customer Launch'!H114</f>
        <v>6636.8997704715566</v>
      </c>
      <c r="I89" s="188">
        <f ca="1">'Customer Launch'!I114</f>
        <v>7433.2625009238582</v>
      </c>
      <c r="J89" s="188">
        <f ca="1">'Customer Launch'!J114</f>
        <v>8091.4248123511443</v>
      </c>
      <c r="K89" s="188">
        <f ca="1">'Customer Launch'!K114</f>
        <v>8620.9228395914815</v>
      </c>
      <c r="L89" s="188">
        <f ca="1">'Customer Launch'!L114</f>
        <v>9229.7124154939793</v>
      </c>
      <c r="M89" s="188">
        <f ca="1">'Customer Launch'!M114</f>
        <v>8258.2697418306034</v>
      </c>
      <c r="N89" s="188">
        <f ca="1">'Customer Launch'!N114</f>
        <v>7189.4619412410993</v>
      </c>
      <c r="O89" s="188">
        <f ca="1">'Customer Launch'!O114</f>
        <v>5474.3398232442469</v>
      </c>
      <c r="P89" s="188">
        <f ca="1">'Customer Launch'!P114</f>
        <v>6052.6135148149524</v>
      </c>
      <c r="Q89" s="188">
        <f ca="1">'Customer Launch'!Q114</f>
        <v>4997.4584376453149</v>
      </c>
      <c r="R89" s="188">
        <f ca="1">'Customer Launch'!R114</f>
        <v>3830.534177691944</v>
      </c>
      <c r="S89" s="188">
        <f ca="1">'Customer Launch'!S114</f>
        <v>2673.9181731684503</v>
      </c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29">
      <c r="A90" s="5" t="s">
        <v>1880</v>
      </c>
      <c r="B90" s="3"/>
      <c r="C90" s="3"/>
      <c r="D90" s="188">
        <f ca="1">'AI - Compute'!D14</f>
        <v>-1641.2673500000001</v>
      </c>
      <c r="E90" s="188">
        <f ca="1">'AI - Compute'!E14</f>
        <v>-18659.044694987791</v>
      </c>
      <c r="F90" s="188">
        <f ca="1">'AI - Compute'!F14</f>
        <v>-26250.361853032344</v>
      </c>
      <c r="G90" s="188">
        <f ca="1">'AI - Compute'!G14</f>
        <v>-11970.342880208042</v>
      </c>
      <c r="H90" s="188">
        <f ca="1">'AI - Compute'!H14</f>
        <v>-5398.7498957722055</v>
      </c>
      <c r="I90" s="188">
        <f ca="1">'AI - Compute'!I14</f>
        <v>-11620.80284154231</v>
      </c>
      <c r="J90" s="188">
        <f ca="1">'AI - Compute'!J14</f>
        <v>-4028.7701769486594</v>
      </c>
      <c r="K90" s="188">
        <f ca="1">'AI - Compute'!K14</f>
        <v>1094.124318604474</v>
      </c>
      <c r="L90" s="188">
        <f ca="1">'AI - Compute'!L14</f>
        <v>57421.665076871577</v>
      </c>
      <c r="M90" s="188">
        <f ca="1">'AI - Compute'!M14</f>
        <v>67954.591961753264</v>
      </c>
      <c r="N90" s="188">
        <f ca="1">'AI - Compute'!N14</f>
        <v>91146.030744726566</v>
      </c>
      <c r="O90" s="188">
        <f ca="1">'AI - Compute'!O14</f>
        <v>125960.19782167207</v>
      </c>
      <c r="P90" s="188">
        <f ca="1">'AI - Compute'!P14</f>
        <v>186688.83303945372</v>
      </c>
      <c r="Q90" s="188">
        <f ca="1">'AI - Compute'!Q14</f>
        <v>276873.11960594333</v>
      </c>
      <c r="R90" s="188">
        <f ca="1">'AI - Compute'!R14</f>
        <v>369517.89191298268</v>
      </c>
      <c r="S90" s="188">
        <f ca="1">'AI - Compute'!S14</f>
        <v>515158.52509780857</v>
      </c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spans="1:29">
      <c r="A91" s="5" t="s">
        <v>1881</v>
      </c>
      <c r="B91" s="3"/>
      <c r="C91" s="3"/>
      <c r="D91" s="188">
        <f>'Lunar - Mars'!D112</f>
        <v>-750</v>
      </c>
      <c r="E91" s="188">
        <f>'Lunar - Mars'!E112</f>
        <v>-750</v>
      </c>
      <c r="F91" s="188">
        <f>'Lunar - Mars'!F112</f>
        <v>-750</v>
      </c>
      <c r="G91" s="188">
        <f>'Lunar - Mars'!G112</f>
        <v>-750</v>
      </c>
      <c r="H91" s="188">
        <f>'Lunar - Mars'!H112</f>
        <v>-750</v>
      </c>
      <c r="I91" s="188">
        <f ca="1">'Lunar - Mars'!I112</f>
        <v>-15048.645986113641</v>
      </c>
      <c r="J91" s="188">
        <f ca="1">'Lunar - Mars'!J112</f>
        <v>-12284.131740290177</v>
      </c>
      <c r="K91" s="188">
        <f ca="1">'Lunar - Mars'!K112</f>
        <v>-24507.519235361731</v>
      </c>
      <c r="L91" s="188">
        <f ca="1">'Lunar - Mars'!L112</f>
        <v>-9626.5730076796208</v>
      </c>
      <c r="M91" s="188">
        <f ca="1">'Lunar - Mars'!M112</f>
        <v>-26788.52438087024</v>
      </c>
      <c r="N91" s="188">
        <f ca="1">'Lunar - Mars'!N112</f>
        <v>-20892.258093686702</v>
      </c>
      <c r="O91" s="188">
        <f ca="1">'Lunar - Mars'!O112</f>
        <v>-24354.740701559294</v>
      </c>
      <c r="P91" s="188">
        <f ca="1">'Lunar - Mars'!P112</f>
        <v>-24385.757259384372</v>
      </c>
      <c r="Q91" s="188">
        <f ca="1">'Lunar - Mars'!Q112</f>
        <v>-50983.906608471443</v>
      </c>
      <c r="R91" s="188">
        <f ca="1">'Lunar - Mars'!R112</f>
        <v>-74957.728810615896</v>
      </c>
      <c r="S91" s="188">
        <f ca="1">'Lunar - Mars'!S112</f>
        <v>-99049.228985884838</v>
      </c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spans="1:29">
      <c r="A92" s="5" t="s">
        <v>1882</v>
      </c>
      <c r="B92" s="3"/>
      <c r="C92" s="3"/>
      <c r="D92" s="189">
        <f t="shared" ref="D92:S92" ca="1" si="27">-(D43+D47+D48+D76+D84)</f>
        <v>-3878.9166440625818</v>
      </c>
      <c r="E92" s="189">
        <f t="shared" ca="1" si="27"/>
        <v>-4989.1442728786424</v>
      </c>
      <c r="F92" s="189">
        <f t="shared" ca="1" si="27"/>
        <v>-5937.2048909759196</v>
      </c>
      <c r="G92" s="189">
        <f t="shared" ca="1" si="27"/>
        <v>-16292.224088480179</v>
      </c>
      <c r="H92" s="189">
        <f t="shared" ca="1" si="27"/>
        <v>-28312.488963343421</v>
      </c>
      <c r="I92" s="189">
        <f t="shared" ca="1" si="27"/>
        <v>-48838.777544192155</v>
      </c>
      <c r="J92" s="189">
        <f t="shared" ca="1" si="27"/>
        <v>-67323.161035473284</v>
      </c>
      <c r="K92" s="189">
        <f t="shared" ca="1" si="27"/>
        <v>-82570.842825323198</v>
      </c>
      <c r="L92" s="189">
        <f t="shared" ca="1" si="27"/>
        <v>-97690.078699621343</v>
      </c>
      <c r="M92" s="189">
        <f t="shared" ca="1" si="27"/>
        <v>-96405.022466428694</v>
      </c>
      <c r="N92" s="189">
        <f t="shared" ca="1" si="27"/>
        <v>-104108.3309341991</v>
      </c>
      <c r="O92" s="189">
        <f t="shared" ca="1" si="27"/>
        <v>-125716.67176987813</v>
      </c>
      <c r="P92" s="189">
        <f t="shared" ca="1" si="27"/>
        <v>-159746.90882301013</v>
      </c>
      <c r="Q92" s="189">
        <f t="shared" ca="1" si="27"/>
        <v>-185125.33456430808</v>
      </c>
      <c r="R92" s="189">
        <f t="shared" ca="1" si="27"/>
        <v>-216591.60591230282</v>
      </c>
      <c r="S92" s="189">
        <f t="shared" ca="1" si="27"/>
        <v>-272270.27154166653</v>
      </c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29">
      <c r="A93" s="78" t="s">
        <v>1883</v>
      </c>
      <c r="B93" s="78"/>
      <c r="C93" s="78"/>
      <c r="D93" s="190">
        <f t="shared" ref="D93:S93" ca="1" si="28">D88+D89+D90+D91+D92</f>
        <v>-2095.508555272891</v>
      </c>
      <c r="E93" s="190">
        <f t="shared" ca="1" si="28"/>
        <v>-15548.290093223235</v>
      </c>
      <c r="F93" s="190">
        <f t="shared" ca="1" si="28"/>
        <v>-4574.3026354662052</v>
      </c>
      <c r="G93" s="190">
        <f t="shared" ca="1" si="28"/>
        <v>25551.984444555615</v>
      </c>
      <c r="H93" s="190">
        <f t="shared" ca="1" si="28"/>
        <v>50161.07390318632</v>
      </c>
      <c r="I93" s="190">
        <f t="shared" ca="1" si="28"/>
        <v>39138.201149466389</v>
      </c>
      <c r="J93" s="190">
        <f t="shared" ca="1" si="28"/>
        <v>66687.127171052329</v>
      </c>
      <c r="K93" s="190">
        <f t="shared" ca="1" si="28"/>
        <v>61121.098461457907</v>
      </c>
      <c r="L93" s="190">
        <f t="shared" ca="1" si="28"/>
        <v>164166.10467975785</v>
      </c>
      <c r="M93" s="190">
        <f t="shared" ca="1" si="28"/>
        <v>128830.7750042486</v>
      </c>
      <c r="N93" s="190">
        <f t="shared" ca="1" si="28"/>
        <v>138808.52462734072</v>
      </c>
      <c r="O93" s="190">
        <f t="shared" ca="1" si="28"/>
        <v>119991.59346379671</v>
      </c>
      <c r="P93" s="190">
        <f t="shared" ca="1" si="28"/>
        <v>212976.93986523375</v>
      </c>
      <c r="Q93" s="190">
        <f t="shared" ca="1" si="28"/>
        <v>296006.94949895178</v>
      </c>
      <c r="R93" s="190">
        <f t="shared" ca="1" si="28"/>
        <v>363855.20021742373</v>
      </c>
      <c r="S93" s="190">
        <f t="shared" ca="1" si="28"/>
        <v>428818.88184189989</v>
      </c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spans="1:29">
      <c r="A94" s="5" t="s">
        <v>1884</v>
      </c>
      <c r="B94" s="3"/>
      <c r="C94" s="3"/>
      <c r="D94" s="188">
        <f t="array" ref="D94">IF(D$4&gt;=2026, INDEX(Assumptions!$B:$B, MATCH("Placeholder AI/strategic CapEx (% of Group revenue): TEMP", Assumptions!$A$1:$A$257, 0)) * INDEX($D:$AC, MATCH("Group Revenue ($mm)",$A$1:$A$91,0), D$5+1), 0)</f>
        <v>0</v>
      </c>
      <c r="E94" s="188">
        <f t="array" aca="1" ref="E94" ca="1">IF(E$4&gt;=2026, INDEX(Assumptions!$B:$B, MATCH("Placeholder AI/strategic CapEx (% of Group revenue): TEMP", Assumptions!$A$1:$A$257, 0)) * INDEX($D:$AC, MATCH("Group Revenue ($mm)",$A$1:$A$91,0), E$5+1), 0)</f>
        <v>0</v>
      </c>
      <c r="F94" s="188">
        <f t="array" aca="1" ref="F94" ca="1">IF(F$4&gt;=2026, INDEX(Assumptions!$B:$B, MATCH("Placeholder AI/strategic CapEx (% of Group revenue): TEMP", Assumptions!$A$1:$A$257, 0)) * INDEX($D:$AC, MATCH("Group Revenue ($mm)",$A$1:$A$91,0), F$5+1), 0)</f>
        <v>0</v>
      </c>
      <c r="G94" s="188">
        <f t="array" aca="1" ref="G94" ca="1">IF(G$4&gt;=2026, INDEX(Assumptions!$B:$B, MATCH("Placeholder AI/strategic CapEx (% of Group revenue): TEMP", Assumptions!$A$1:$A$257, 0)) * INDEX($D:$AC, MATCH("Group Revenue ($mm)",$A$1:$A$91,0), G$5+1), 0)</f>
        <v>0</v>
      </c>
      <c r="H94" s="188">
        <f t="array" aca="1" ref="H94" ca="1">IF(H$4&gt;=2026, INDEX(Assumptions!$B:$B, MATCH("Placeholder AI/strategic CapEx (% of Group revenue): TEMP", Assumptions!$A$1:$A$257, 0)) * INDEX($D:$AC, MATCH("Group Revenue ($mm)",$A$1:$A$91,0), H$5+1), 0)</f>
        <v>0</v>
      </c>
      <c r="I94" s="188">
        <f t="array" aca="1" ref="I94" ca="1">IF(I$4&gt;=2026, INDEX(Assumptions!$B:$B, MATCH("Placeholder AI/strategic CapEx (% of Group revenue): TEMP", Assumptions!$A$1:$A$257, 0)) * INDEX($D:$AC, MATCH("Group Revenue ($mm)",$A$1:$A$91,0), I$5+1), 0)</f>
        <v>0</v>
      </c>
      <c r="J94" s="188">
        <f t="array" aca="1" ref="J94" ca="1">IF(J$4&gt;=2026, INDEX(Assumptions!$B:$B, MATCH("Placeholder AI/strategic CapEx (% of Group revenue): TEMP", Assumptions!$A$1:$A$257, 0)) * INDEX($D:$AC, MATCH("Group Revenue ($mm)",$A$1:$A$91,0), J$5+1), 0)</f>
        <v>0</v>
      </c>
      <c r="K94" s="188">
        <f t="array" aca="1" ref="K94" ca="1">IF(K$4&gt;=2026, INDEX(Assumptions!$B:$B, MATCH("Placeholder AI/strategic CapEx (% of Group revenue): TEMP", Assumptions!$A$1:$A$257, 0)) * INDEX($D:$AC, MATCH("Group Revenue ($mm)",$A$1:$A$91,0), K$5+1), 0)</f>
        <v>0</v>
      </c>
      <c r="L94" s="188">
        <f t="array" aca="1" ref="L94" ca="1">IF(L$4&gt;=2026, INDEX(Assumptions!$B:$B, MATCH("Placeholder AI/strategic CapEx (% of Group revenue): TEMP", Assumptions!$A$1:$A$257, 0)) * INDEX($D:$AC, MATCH("Group Revenue ($mm)",$A$1:$A$91,0), L$5+1), 0)</f>
        <v>0</v>
      </c>
      <c r="M94" s="188">
        <f t="array" aca="1" ref="M94" ca="1">IF(M$4&gt;=2026, INDEX(Assumptions!$B:$B, MATCH("Placeholder AI/strategic CapEx (% of Group revenue): TEMP", Assumptions!$A$1:$A$257, 0)) * INDEX($D:$AC, MATCH("Group Revenue ($mm)",$A$1:$A$91,0), M$5+1), 0)</f>
        <v>0</v>
      </c>
      <c r="N94" s="188">
        <f t="array" aca="1" ref="N94" ca="1">IF(N$4&gt;=2026, INDEX(Assumptions!$B:$B, MATCH("Placeholder AI/strategic CapEx (% of Group revenue): TEMP", Assumptions!$A$1:$A$257, 0)) * INDEX($D:$AC, MATCH("Group Revenue ($mm)",$A$1:$A$91,0), N$5+1), 0)</f>
        <v>0</v>
      </c>
      <c r="O94" s="188">
        <f t="array" aca="1" ref="O94" ca="1">IF(O$4&gt;=2026, INDEX(Assumptions!$B:$B, MATCH("Placeholder AI/strategic CapEx (% of Group revenue): TEMP", Assumptions!$A$1:$A$257, 0)) * INDEX($D:$AC, MATCH("Group Revenue ($mm)",$A$1:$A$91,0), O$5+1), 0)</f>
        <v>0</v>
      </c>
      <c r="P94" s="188">
        <f t="array" aca="1" ref="P94" ca="1">IF(P$4&gt;=2026, INDEX(Assumptions!$B:$B, MATCH("Placeholder AI/strategic CapEx (% of Group revenue): TEMP", Assumptions!$A$1:$A$257, 0)) * INDEX($D:$AC, MATCH("Group Revenue ($mm)",$A$1:$A$91,0), P$5+1), 0)</f>
        <v>0</v>
      </c>
      <c r="Q94" s="188">
        <f t="array" aca="1" ref="Q94" ca="1">IF(Q$4&gt;=2026, INDEX(Assumptions!$B:$B, MATCH("Placeholder AI/strategic CapEx (% of Group revenue): TEMP", Assumptions!$A$1:$A$257, 0)) * INDEX($D:$AC, MATCH("Group Revenue ($mm)",$A$1:$A$91,0), Q$5+1), 0)</f>
        <v>0</v>
      </c>
      <c r="R94" s="188">
        <f t="array" aca="1" ref="R94" ca="1">IF(R$4&gt;=2026, INDEX(Assumptions!$B:$B, MATCH("Placeholder AI/strategic CapEx (% of Group revenue): TEMP", Assumptions!$A$1:$A$257, 0)) * INDEX($D:$AC, MATCH("Group Revenue ($mm)",$A$1:$A$91,0), R$5+1), 0)</f>
        <v>0</v>
      </c>
      <c r="S94" s="188">
        <f t="array" aca="1" ref="S94" ca="1">IF(S$4&gt;=2026, INDEX(Assumptions!$B:$B, MATCH("Placeholder AI/strategic CapEx (% of Group revenue): TEMP", Assumptions!$A$1:$A$257, 0)) * INDEX($D:$AC, MATCH("Group Revenue ($mm)",$A$1:$A$91,0), S$5+1), 0)</f>
        <v>0</v>
      </c>
      <c r="T94" s="188">
        <f t="array" ref="T94">IF(T$4&gt;=2026, INDEX(Assumptions!$B:$B, MATCH("Placeholder AI/strategic CapEx (% of Group revenue): TEMP", Assumptions!$A$1:$A$257, 0)) * INDEX($D:$AC, MATCH("Group Revenue ($mm)",$A$1:$A$91,0), T$5+1), 0)</f>
        <v>0</v>
      </c>
      <c r="U94" s="188">
        <f t="array" ref="U94">IF(U$4&gt;=2026, INDEX(Assumptions!$B:$B, MATCH("Placeholder AI/strategic CapEx (% of Group revenue): TEMP", Assumptions!$A$1:$A$257, 0)) * INDEX($D:$AC, MATCH("Group Revenue ($mm)",$A$1:$A$91,0), U$5+1), 0)</f>
        <v>0</v>
      </c>
      <c r="V94" s="188">
        <f t="array" ref="V94">IF(V$4&gt;=2026, INDEX(Assumptions!$B:$B, MATCH("Placeholder AI/strategic CapEx (% of Group revenue): TEMP", Assumptions!$A$1:$A$257, 0)) * INDEX($D:$AC, MATCH("Group Revenue ($mm)",$A$1:$A$91,0), V$5+1), 0)</f>
        <v>0</v>
      </c>
      <c r="W94" s="188">
        <f t="array" ref="W94">IF(W$4&gt;=2026, INDEX(Assumptions!$B:$B, MATCH("Placeholder AI/strategic CapEx (% of Group revenue): TEMP", Assumptions!$A$1:$A$257, 0)) * INDEX($D:$AC, MATCH("Group Revenue ($mm)",$A$1:$A$91,0), W$5+1), 0)</f>
        <v>0</v>
      </c>
      <c r="X94" s="188">
        <f t="array" ref="X94">IF(X$4&gt;=2026, INDEX(Assumptions!$B:$B, MATCH("Placeholder AI/strategic CapEx (% of Group revenue): TEMP", Assumptions!$A$1:$A$257, 0)) * INDEX($D:$AC, MATCH("Group Revenue ($mm)",$A$1:$A$91,0), X$5+1), 0)</f>
        <v>0</v>
      </c>
      <c r="Y94" s="188">
        <f t="array" ref="Y94">IF(Y$4&gt;=2026, INDEX(Assumptions!$B:$B, MATCH("Placeholder AI/strategic CapEx (% of Group revenue): TEMP", Assumptions!$A$1:$A$257, 0)) * INDEX($D:$AC, MATCH("Group Revenue ($mm)",$A$1:$A$91,0), Y$5+1), 0)</f>
        <v>0</v>
      </c>
      <c r="Z94" s="188">
        <f t="array" ref="Z94">IF(Z$4&gt;=2026, INDEX(Assumptions!$B:$B, MATCH("Placeholder AI/strategic CapEx (% of Group revenue): TEMP", Assumptions!$A$1:$A$257, 0)) * INDEX($D:$AC, MATCH("Group Revenue ($mm)",$A$1:$A$91,0), Z$5+1), 0)</f>
        <v>0</v>
      </c>
      <c r="AA94" s="188">
        <f t="array" ref="AA94">IF(AA$4&gt;=2026, INDEX(Assumptions!$B:$B, MATCH("Placeholder AI/strategic CapEx (% of Group revenue): TEMP", Assumptions!$A$1:$A$257, 0)) * INDEX($D:$AC, MATCH("Group Revenue ($mm)",$A$1:$A$91,0), AA$5+1), 0)</f>
        <v>0</v>
      </c>
      <c r="AB94" s="188">
        <f t="array" ref="AB94">IF(AB$4&gt;=2026, INDEX(Assumptions!$B:$B, MATCH("Placeholder AI/strategic CapEx (% of Group revenue): TEMP", Assumptions!$A$1:$A$257, 0)) * INDEX($D:$AC, MATCH("Group Revenue ($mm)",$A$1:$A$91,0), AB$5+1), 0)</f>
        <v>0</v>
      </c>
      <c r="AC94" s="188">
        <f t="array" ref="AC94">IF(AC$4&gt;=2026, INDEX(Assumptions!$B:$B, MATCH("Placeholder AI/strategic CapEx (% of Group revenue): TEMP", Assumptions!$A$1:$A$257, 0)) * INDEX($D:$AC, MATCH("Group Revenue ($mm)",$A$1:$A$91,0), AC$5+1), 0)</f>
        <v>0</v>
      </c>
    </row>
    <row r="95" spans="1:29">
      <c r="A95" s="5" t="s">
        <v>1885</v>
      </c>
      <c r="B95" s="3"/>
      <c r="C95" s="3"/>
      <c r="D95" s="188">
        <f>'Cash Allocation Engine'!D55</f>
        <v>0</v>
      </c>
      <c r="E95" s="188">
        <f ca="1">'Cash Allocation Engine'!E55</f>
        <v>-15548.290093223237</v>
      </c>
      <c r="F95" s="188">
        <f ca="1">'Cash Allocation Engine'!F55</f>
        <v>-4574.3026354662052</v>
      </c>
      <c r="G95" s="188">
        <f ca="1">'Cash Allocation Engine'!G55</f>
        <v>25551.984444555623</v>
      </c>
      <c r="H95" s="188">
        <f ca="1">'Cash Allocation Engine'!H55</f>
        <v>50161.073903186312</v>
      </c>
      <c r="I95" s="188">
        <f ca="1">'Cash Allocation Engine'!I55</f>
        <v>39138.201149466404</v>
      </c>
      <c r="J95" s="188">
        <f ca="1">'Cash Allocation Engine'!J55</f>
        <v>66687.127171052329</v>
      </c>
      <c r="K95" s="188">
        <f ca="1">'Cash Allocation Engine'!K55</f>
        <v>61121.098461457907</v>
      </c>
      <c r="L95" s="188">
        <f ca="1">'Cash Allocation Engine'!L55</f>
        <v>164166.10467975787</v>
      </c>
      <c r="M95" s="188">
        <f ca="1">'Cash Allocation Engine'!M55</f>
        <v>128830.7750042486</v>
      </c>
      <c r="N95" s="188">
        <f ca="1">'Cash Allocation Engine'!N55</f>
        <v>138808.5246273407</v>
      </c>
      <c r="O95" s="188">
        <f ca="1">'Cash Allocation Engine'!O55</f>
        <v>119991.59346379671</v>
      </c>
      <c r="P95" s="188">
        <f ca="1">'Cash Allocation Engine'!P55</f>
        <v>212976.93986523373</v>
      </c>
      <c r="Q95" s="188">
        <f ca="1">'Cash Allocation Engine'!Q55</f>
        <v>296006.94949895178</v>
      </c>
      <c r="R95" s="188">
        <f ca="1">'Cash Allocation Engine'!R55</f>
        <v>363855.20021742373</v>
      </c>
      <c r="S95" s="188">
        <f ca="1">'Cash Allocation Engine'!S55</f>
        <v>428818.88184189994</v>
      </c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29">
      <c r="A96" s="98" t="s">
        <v>1886</v>
      </c>
      <c r="B96" s="78"/>
      <c r="C96" s="78"/>
      <c r="D96" s="190">
        <f t="shared" ref="D96:S96" si="29">D77+D65-D85</f>
        <v>-16625</v>
      </c>
      <c r="E96" s="190">
        <f t="shared" ca="1" si="29"/>
        <v>-15548.290093223237</v>
      </c>
      <c r="F96" s="190">
        <f t="shared" ca="1" si="29"/>
        <v>-4574.3026354662106</v>
      </c>
      <c r="G96" s="190">
        <f t="shared" ca="1" si="29"/>
        <v>25551.98444455563</v>
      </c>
      <c r="H96" s="190">
        <f t="shared" ca="1" si="29"/>
        <v>50161.073903186327</v>
      </c>
      <c r="I96" s="190">
        <f t="shared" ca="1" si="29"/>
        <v>39138.20114946636</v>
      </c>
      <c r="J96" s="190">
        <f t="shared" ca="1" si="29"/>
        <v>66687.1271710523</v>
      </c>
      <c r="K96" s="190">
        <f t="shared" ca="1" si="29"/>
        <v>61121.098461457907</v>
      </c>
      <c r="L96" s="190">
        <f t="shared" ca="1" si="29"/>
        <v>164166.10467975785</v>
      </c>
      <c r="M96" s="190">
        <f t="shared" ca="1" si="29"/>
        <v>128830.77500424863</v>
      </c>
      <c r="N96" s="190">
        <f t="shared" ca="1" si="29"/>
        <v>138808.52462734067</v>
      </c>
      <c r="O96" s="190">
        <f t="shared" ca="1" si="29"/>
        <v>119991.59346379666</v>
      </c>
      <c r="P96" s="190">
        <f t="shared" ca="1" si="29"/>
        <v>212976.93986523378</v>
      </c>
      <c r="Q96" s="190">
        <f t="shared" ca="1" si="29"/>
        <v>296006.94949895167</v>
      </c>
      <c r="R96" s="190">
        <f t="shared" ca="1" si="29"/>
        <v>363855.20021742349</v>
      </c>
      <c r="S96" s="190">
        <f t="shared" ca="1" si="29"/>
        <v>428818.88184189983</v>
      </c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29">
      <c r="A97" s="13" t="s">
        <v>1887</v>
      </c>
      <c r="B97" s="13"/>
      <c r="C97" s="13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29">
      <c r="A98" s="5" t="s">
        <v>1888</v>
      </c>
      <c r="B98" s="3"/>
      <c r="C98" s="3"/>
      <c r="D98" s="189">
        <f>0</f>
        <v>0</v>
      </c>
      <c r="E98" s="189">
        <f>0</f>
        <v>0</v>
      </c>
      <c r="F98" s="189">
        <f>0</f>
        <v>0</v>
      </c>
      <c r="G98" s="189">
        <f>0</f>
        <v>0</v>
      </c>
      <c r="H98" s="189">
        <f>0</f>
        <v>0</v>
      </c>
      <c r="I98" s="189">
        <f>0</f>
        <v>0</v>
      </c>
      <c r="J98" s="189">
        <f>0</f>
        <v>0</v>
      </c>
      <c r="K98" s="189">
        <f>0</f>
        <v>0</v>
      </c>
      <c r="L98" s="189">
        <f>0</f>
        <v>0</v>
      </c>
      <c r="M98" s="189">
        <f>0</f>
        <v>0</v>
      </c>
      <c r="N98" s="189">
        <f>0</f>
        <v>0</v>
      </c>
      <c r="O98" s="189">
        <f>0</f>
        <v>0</v>
      </c>
      <c r="P98" s="189">
        <f>0</f>
        <v>0</v>
      </c>
      <c r="Q98" s="189">
        <f>0</f>
        <v>0</v>
      </c>
      <c r="R98" s="189">
        <f>0</f>
        <v>0</v>
      </c>
      <c r="S98" s="189">
        <f>0</f>
        <v>0</v>
      </c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29">
      <c r="A99" s="5" t="s">
        <v>1889</v>
      </c>
      <c r="B99" s="3"/>
      <c r="C99" s="3"/>
      <c r="D99" s="189">
        <f>0</f>
        <v>0</v>
      </c>
      <c r="E99" s="189">
        <f>0</f>
        <v>0</v>
      </c>
      <c r="F99" s="189">
        <f>0</f>
        <v>0</v>
      </c>
      <c r="G99" s="189">
        <f>0</f>
        <v>0</v>
      </c>
      <c r="H99" s="189">
        <f>0</f>
        <v>0</v>
      </c>
      <c r="I99" s="189">
        <f>0</f>
        <v>0</v>
      </c>
      <c r="J99" s="189">
        <f>0</f>
        <v>0</v>
      </c>
      <c r="K99" s="189">
        <f>0</f>
        <v>0</v>
      </c>
      <c r="L99" s="189">
        <f>0</f>
        <v>0</v>
      </c>
      <c r="M99" s="189">
        <f>0</f>
        <v>0</v>
      </c>
      <c r="N99" s="189">
        <f>0</f>
        <v>0</v>
      </c>
      <c r="O99" s="189">
        <f>0</f>
        <v>0</v>
      </c>
      <c r="P99" s="189">
        <f>0</f>
        <v>0</v>
      </c>
      <c r="Q99" s="189">
        <f>0</f>
        <v>0</v>
      </c>
      <c r="R99" s="189">
        <f>0</f>
        <v>0</v>
      </c>
      <c r="S99" s="189">
        <f>0</f>
        <v>0</v>
      </c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29">
      <c r="A100" s="5" t="s">
        <v>1890</v>
      </c>
      <c r="B100" s="3"/>
      <c r="C100" s="3"/>
      <c r="D100" s="189">
        <f>0</f>
        <v>0</v>
      </c>
      <c r="E100" s="189">
        <f>0</f>
        <v>0</v>
      </c>
      <c r="F100" s="189">
        <f>0</f>
        <v>0</v>
      </c>
      <c r="G100" s="189">
        <f>0</f>
        <v>0</v>
      </c>
      <c r="H100" s="189">
        <f>0</f>
        <v>0</v>
      </c>
      <c r="I100" s="189">
        <f>0</f>
        <v>0</v>
      </c>
      <c r="J100" s="189">
        <f>0</f>
        <v>0</v>
      </c>
      <c r="K100" s="189">
        <f>0</f>
        <v>0</v>
      </c>
      <c r="L100" s="189">
        <f>0</f>
        <v>0</v>
      </c>
      <c r="M100" s="189">
        <f>0</f>
        <v>0</v>
      </c>
      <c r="N100" s="189">
        <f>0</f>
        <v>0</v>
      </c>
      <c r="O100" s="189">
        <f>0</f>
        <v>0</v>
      </c>
      <c r="P100" s="189">
        <f>0</f>
        <v>0</v>
      </c>
      <c r="Q100" s="189">
        <f>0</f>
        <v>0</v>
      </c>
      <c r="R100" s="189">
        <f>0</f>
        <v>0</v>
      </c>
      <c r="S100" s="189">
        <f>0</f>
        <v>0</v>
      </c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29">
      <c r="A101" s="78" t="s">
        <v>1891</v>
      </c>
      <c r="B101" s="78"/>
      <c r="C101" s="78"/>
      <c r="D101" s="190">
        <f t="shared" ref="D101:S101" si="30">D98+D99+D100</f>
        <v>0</v>
      </c>
      <c r="E101" s="190">
        <f t="shared" si="30"/>
        <v>0</v>
      </c>
      <c r="F101" s="190">
        <f t="shared" si="30"/>
        <v>0</v>
      </c>
      <c r="G101" s="190">
        <f t="shared" si="30"/>
        <v>0</v>
      </c>
      <c r="H101" s="190">
        <f t="shared" si="30"/>
        <v>0</v>
      </c>
      <c r="I101" s="190">
        <f t="shared" si="30"/>
        <v>0</v>
      </c>
      <c r="J101" s="190">
        <f t="shared" si="30"/>
        <v>0</v>
      </c>
      <c r="K101" s="190">
        <f t="shared" si="30"/>
        <v>0</v>
      </c>
      <c r="L101" s="190">
        <f t="shared" si="30"/>
        <v>0</v>
      </c>
      <c r="M101" s="190">
        <f t="shared" si="30"/>
        <v>0</v>
      </c>
      <c r="N101" s="190">
        <f t="shared" si="30"/>
        <v>0</v>
      </c>
      <c r="O101" s="190">
        <f t="shared" si="30"/>
        <v>0</v>
      </c>
      <c r="P101" s="190">
        <f t="shared" si="30"/>
        <v>0</v>
      </c>
      <c r="Q101" s="190">
        <f t="shared" si="30"/>
        <v>0</v>
      </c>
      <c r="R101" s="190">
        <f t="shared" si="30"/>
        <v>0</v>
      </c>
      <c r="S101" s="190">
        <f t="shared" si="30"/>
        <v>0</v>
      </c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29">
      <c r="A102" s="3"/>
      <c r="B102" s="3"/>
      <c r="C102" s="3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spans="1:29">
      <c r="A103" s="13" t="s">
        <v>1892</v>
      </c>
      <c r="B103" s="13"/>
      <c r="C103" s="13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29">
      <c r="A104" s="5" t="s">
        <v>1893</v>
      </c>
      <c r="B104" s="3"/>
      <c r="C104" s="3"/>
      <c r="D104" s="188">
        <f>'Lunar - Mars'!D115</f>
        <v>0</v>
      </c>
      <c r="E104" s="188">
        <f>'Lunar - Mars'!E115</f>
        <v>0</v>
      </c>
      <c r="F104" s="188">
        <f>'Lunar - Mars'!F115</f>
        <v>0</v>
      </c>
      <c r="G104" s="188">
        <f>'Lunar - Mars'!G115</f>
        <v>0</v>
      </c>
      <c r="H104" s="188">
        <f>'Lunar - Mars'!H115</f>
        <v>0</v>
      </c>
      <c r="I104" s="188">
        <f ca="1">'Lunar - Mars'!I115</f>
        <v>12898.839416668834</v>
      </c>
      <c r="J104" s="188">
        <f ca="1">'Lunar - Mars'!J115</f>
        <v>21994.890814430546</v>
      </c>
      <c r="K104" s="188">
        <f ca="1">'Lunar - Mars'!K115</f>
        <v>40398.214185083096</v>
      </c>
      <c r="L104" s="188">
        <f ca="1">'Lunar - Mars'!L115</f>
        <v>43712.391338164147</v>
      </c>
      <c r="M104" s="188">
        <f ca="1">'Lunar - Mars'!M115</f>
        <v>60819.996048486712</v>
      </c>
      <c r="N104" s="188">
        <f ca="1">'Lunar - Mars'!N115</f>
        <v>70322.370190664325</v>
      </c>
      <c r="O104" s="188">
        <f ca="1">'Lunar - Mars'!O115</f>
        <v>80802.847702095896</v>
      </c>
      <c r="P104" s="188">
        <f ca="1">'Lunar - Mars'!P115</f>
        <v>88990.41172008618</v>
      </c>
      <c r="Q104" s="188">
        <f ca="1">'Lunar - Mars'!Q115</f>
        <v>117653.93639354306</v>
      </c>
      <c r="R104" s="188">
        <f ca="1">'Lunar - Mars'!R115</f>
        <v>162010.84137279316</v>
      </c>
      <c r="S104" s="188">
        <f ca="1">'Lunar - Mars'!S115</f>
        <v>219878.77232983414</v>
      </c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29">
      <c r="A105" s="5" t="s">
        <v>1894</v>
      </c>
      <c r="B105" s="3"/>
      <c r="C105" s="3"/>
      <c r="D105" s="188">
        <f>'Lunar - Mars'!D116</f>
        <v>0</v>
      </c>
      <c r="E105" s="188">
        <f>'Lunar - Mars'!E116</f>
        <v>0</v>
      </c>
      <c r="F105" s="188">
        <f>'Lunar - Mars'!F116</f>
        <v>0</v>
      </c>
      <c r="G105" s="188">
        <f>'Lunar - Mars'!G116</f>
        <v>0</v>
      </c>
      <c r="H105" s="188">
        <f>'Lunar - Mars'!H116</f>
        <v>0</v>
      </c>
      <c r="I105" s="188">
        <f>'Lunar - Mars'!I116</f>
        <v>0</v>
      </c>
      <c r="J105" s="188">
        <f>'Lunar - Mars'!J116</f>
        <v>0</v>
      </c>
      <c r="K105" s="188">
        <f>'Lunar - Mars'!K116</f>
        <v>0</v>
      </c>
      <c r="L105" s="188">
        <f>'Lunar - Mars'!L116</f>
        <v>0</v>
      </c>
      <c r="M105" s="188">
        <f>'Lunar - Mars'!M116</f>
        <v>0</v>
      </c>
      <c r="N105" s="188">
        <f>'Lunar - Mars'!N116</f>
        <v>0</v>
      </c>
      <c r="O105" s="188">
        <f>'Lunar - Mars'!O116</f>
        <v>0</v>
      </c>
      <c r="P105" s="188">
        <f>'Lunar - Mars'!P116</f>
        <v>0</v>
      </c>
      <c r="Q105" s="188">
        <f>'Lunar - Mars'!Q116</f>
        <v>0</v>
      </c>
      <c r="R105" s="188">
        <f>'Lunar - Mars'!R116</f>
        <v>0</v>
      </c>
      <c r="S105" s="188">
        <f>'Lunar - Mars'!S116</f>
        <v>0</v>
      </c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29">
      <c r="A106" s="3"/>
      <c r="B106" s="3"/>
      <c r="C106" s="3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29">
      <c r="A107" s="13" t="s">
        <v>1895</v>
      </c>
      <c r="B107" s="13"/>
      <c r="C107" s="13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29">
      <c r="A108" s="5" t="s">
        <v>1896</v>
      </c>
      <c r="B108" s="3"/>
      <c r="C108" s="3"/>
      <c r="D108" s="189">
        <f>D133-4112</f>
        <v>0</v>
      </c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spans="1:29">
      <c r="A109" s="5" t="s">
        <v>1897</v>
      </c>
      <c r="B109" s="3"/>
      <c r="C109" s="3"/>
      <c r="D109" s="189">
        <f>D65-6701</f>
        <v>0</v>
      </c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spans="1:29">
      <c r="A110" s="5" t="s">
        <v>1898</v>
      </c>
      <c r="B110" s="3"/>
      <c r="C110" s="3"/>
      <c r="D110" s="189">
        <f>D73-(-2589)</f>
        <v>0</v>
      </c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spans="1:29">
      <c r="A111" s="3"/>
      <c r="B111" s="3"/>
      <c r="C111" s="3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spans="1:29">
      <c r="A112" s="25" t="s">
        <v>1899</v>
      </c>
      <c r="B112" s="3"/>
      <c r="C112" s="3"/>
      <c r="D112" s="188">
        <f ca="1">D54 - ('AI - Compute'!D160 + 'AI - Compute'!D159)</f>
        <v>-4226.7326499999999</v>
      </c>
      <c r="E112" s="188">
        <f ca="1">E54 - ('AI - Compute'!E160 + 'AI - Compute'!E159)</f>
        <v>0</v>
      </c>
      <c r="F112" s="188">
        <f ca="1">F54 - ('AI - Compute'!F160 + 'AI - Compute'!F159)</f>
        <v>0</v>
      </c>
      <c r="G112" s="188">
        <f ca="1">G54 - ('AI - Compute'!G160 + 'AI - Compute'!G159)</f>
        <v>0</v>
      </c>
      <c r="H112" s="188">
        <f ca="1">H54 - ('AI - Compute'!H160 + 'AI - Compute'!H159)</f>
        <v>0</v>
      </c>
      <c r="I112" s="188">
        <f ca="1">I54 - ('AI - Compute'!I160 + 'AI - Compute'!I159)</f>
        <v>0</v>
      </c>
      <c r="J112" s="188">
        <f ca="1">J54 - ('AI - Compute'!J160 + 'AI - Compute'!J159)</f>
        <v>0</v>
      </c>
      <c r="K112" s="188">
        <f ca="1">K54 - ('AI - Compute'!K160 + 'AI - Compute'!K159)</f>
        <v>0</v>
      </c>
      <c r="L112" s="188">
        <f ca="1">L54 - ('AI - Compute'!L160 + 'AI - Compute'!L159)</f>
        <v>0</v>
      </c>
      <c r="M112" s="188">
        <f ca="1">M54 - ('AI - Compute'!M160 + 'AI - Compute'!M159)</f>
        <v>0</v>
      </c>
      <c r="N112" s="188">
        <f ca="1">N54 - ('AI - Compute'!N160 + 'AI - Compute'!N159)</f>
        <v>0</v>
      </c>
      <c r="O112" s="188">
        <f ca="1">O54 - ('AI - Compute'!O160 + 'AI - Compute'!O159)</f>
        <v>0</v>
      </c>
      <c r="P112" s="188">
        <f ca="1">P54 - ('AI - Compute'!P160 + 'AI - Compute'!P159)</f>
        <v>0</v>
      </c>
      <c r="Q112" s="188">
        <f ca="1">Q54 - ('AI - Compute'!Q160 + 'AI - Compute'!Q159)</f>
        <v>0</v>
      </c>
      <c r="R112" s="188">
        <f ca="1">R54 - ('AI - Compute'!R160 + 'AI - Compute'!R159)</f>
        <v>0</v>
      </c>
      <c r="S112" s="188">
        <f ca="1">S54 - ('AI - Compute'!S160 + 'AI - Compute'!S159)</f>
        <v>0</v>
      </c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4" spans="1:7">
      <c r="A114" s="61" t="s">
        <v>1900</v>
      </c>
    </row>
    <row r="115" spans="1:7">
      <c r="A115" s="3" t="s">
        <v>1901</v>
      </c>
      <c r="B115" s="194" t="s">
        <v>1902</v>
      </c>
      <c r="C115" s="194" t="s">
        <v>1903</v>
      </c>
      <c r="D115" s="194" t="s">
        <v>1904</v>
      </c>
      <c r="E115" s="194" t="s">
        <v>1905</v>
      </c>
      <c r="F115" s="194" t="s">
        <v>1906</v>
      </c>
      <c r="G115" s="194" t="s">
        <v>1907</v>
      </c>
    </row>
    <row r="116" spans="1:7">
      <c r="A116" t="s">
        <v>1000</v>
      </c>
      <c r="B116" s="158">
        <f>Assumptions!$B$487</f>
        <v>4086</v>
      </c>
      <c r="C116" s="158">
        <f>Assumptions!$B$497</f>
        <v>11387</v>
      </c>
      <c r="D116" s="158">
        <f>Assumptions!$B$507</f>
        <v>3201</v>
      </c>
      <c r="E116" s="158">
        <f t="shared" ref="E116:E123" si="31">SUM(B116:D116)</f>
        <v>18674</v>
      </c>
      <c r="F116" s="158">
        <f>$D$14</f>
        <v>18674</v>
      </c>
      <c r="G116" s="158">
        <f>F116-E116</f>
        <v>0</v>
      </c>
    </row>
    <row r="117" spans="1:7">
      <c r="A117" t="s">
        <v>1908</v>
      </c>
      <c r="B117" s="158">
        <f>Assumptions!$B$488</f>
        <v>1352</v>
      </c>
      <c r="C117" s="158">
        <f>Assumptions!$B$498</f>
        <v>5921</v>
      </c>
      <c r="D117" s="158">
        <f>Assumptions!$B$508</f>
        <v>2178</v>
      </c>
      <c r="E117" s="158">
        <f t="shared" si="31"/>
        <v>9451</v>
      </c>
      <c r="F117" s="158">
        <f>$D$22</f>
        <v>9451</v>
      </c>
      <c r="G117" s="158">
        <f>F117-E117</f>
        <v>0</v>
      </c>
    </row>
    <row r="118" spans="1:7">
      <c r="A118" t="s">
        <v>1909</v>
      </c>
      <c r="B118" s="158">
        <f>Assumptions!$B$489</f>
        <v>3004</v>
      </c>
      <c r="C118" s="158">
        <f>Assumptions!$B$499</f>
        <v>575</v>
      </c>
      <c r="D118" s="158">
        <f>Assumptions!$B$509</f>
        <v>5064</v>
      </c>
      <c r="E118" s="158">
        <f t="shared" si="31"/>
        <v>8643</v>
      </c>
      <c r="F118" s="158">
        <f>$D$44</f>
        <v>8643</v>
      </c>
      <c r="G118" s="158">
        <f>F118-E118</f>
        <v>0</v>
      </c>
    </row>
    <row r="119" spans="1:7">
      <c r="A119" t="s">
        <v>1910</v>
      </c>
      <c r="B119" s="158">
        <f>Assumptions!$B$490</f>
        <v>349</v>
      </c>
      <c r="C119" s="158">
        <f>Assumptions!$B$500</f>
        <v>468</v>
      </c>
      <c r="D119" s="158">
        <f>Assumptions!$B$510</f>
        <v>1827</v>
      </c>
      <c r="E119" s="158">
        <f t="shared" si="31"/>
        <v>2644</v>
      </c>
      <c r="F119" s="158">
        <f ca="1">$D$47</f>
        <v>546.84664406258162</v>
      </c>
      <c r="G119" s="158">
        <f ca="1">F119-E119</f>
        <v>-2097.1533559374184</v>
      </c>
    </row>
    <row r="120" spans="1:7">
      <c r="A120" t="s">
        <v>1911</v>
      </c>
      <c r="B120" s="158">
        <f>Assumptions!$B$491</f>
        <v>0</v>
      </c>
      <c r="C120" s="158">
        <f>Assumptions!$B$501</f>
        <v>0</v>
      </c>
      <c r="D120" s="158">
        <f>Assumptions!$B$511</f>
        <v>487</v>
      </c>
      <c r="E120" s="158">
        <f t="shared" si="31"/>
        <v>487</v>
      </c>
      <c r="F120" s="158"/>
      <c r="G120" s="158"/>
    </row>
    <row r="121" spans="1:7">
      <c r="A121" t="s">
        <v>1912</v>
      </c>
      <c r="B121" s="158">
        <f>Assumptions!$B$492</f>
        <v>38</v>
      </c>
      <c r="C121" s="158">
        <f>Assumptions!$B$502</f>
        <v>0</v>
      </c>
      <c r="D121" s="158">
        <f>Assumptions!$B$512</f>
        <v>0</v>
      </c>
      <c r="E121" s="158">
        <f t="shared" si="31"/>
        <v>38</v>
      </c>
      <c r="F121" s="158"/>
      <c r="G121" s="158"/>
    </row>
    <row r="122" spans="1:7">
      <c r="A122" t="s">
        <v>1913</v>
      </c>
      <c r="B122" s="158">
        <f>SUM(B117:B121)</f>
        <v>4743</v>
      </c>
      <c r="C122" s="158">
        <f>SUM(C117:C121)</f>
        <v>6964</v>
      </c>
      <c r="D122" s="158">
        <f>SUM(D117:D121)</f>
        <v>9556</v>
      </c>
      <c r="E122" s="158">
        <f t="shared" si="31"/>
        <v>21263</v>
      </c>
      <c r="F122" s="158"/>
      <c r="G122" s="158"/>
    </row>
    <row r="123" spans="1:7">
      <c r="A123" t="s">
        <v>1914</v>
      </c>
      <c r="B123" s="158">
        <f>B116-B122</f>
        <v>-657</v>
      </c>
      <c r="C123" s="158">
        <f>C116-C122</f>
        <v>4423</v>
      </c>
      <c r="D123" s="158">
        <f>D116-D122</f>
        <v>-6355</v>
      </c>
      <c r="E123" s="158">
        <f t="shared" si="31"/>
        <v>-2589</v>
      </c>
      <c r="F123" s="158">
        <f>$D$73</f>
        <v>-2589</v>
      </c>
      <c r="G123" s="158">
        <f>F123-E123</f>
        <v>0</v>
      </c>
    </row>
    <row r="124" spans="1:7">
      <c r="A124" s="195" t="s">
        <v>1915</v>
      </c>
      <c r="B124" s="158"/>
      <c r="C124" s="158"/>
      <c r="D124" s="158"/>
      <c r="E124" s="158"/>
      <c r="F124" s="158"/>
      <c r="G124" s="158"/>
    </row>
    <row r="125" spans="1:7">
      <c r="A125" t="s">
        <v>1916</v>
      </c>
      <c r="B125" s="158">
        <f>Assumptions!$B$494</f>
        <v>757</v>
      </c>
      <c r="C125" s="158">
        <f>Assumptions!$B$504</f>
        <v>2376</v>
      </c>
      <c r="D125" s="158">
        <f>Assumptions!$B$514</f>
        <v>3568</v>
      </c>
      <c r="E125" s="158">
        <f>SUM(B125:D125)</f>
        <v>6701</v>
      </c>
      <c r="F125" s="158">
        <f>$D$65</f>
        <v>6701</v>
      </c>
      <c r="G125" s="158">
        <f>F125-E125</f>
        <v>0</v>
      </c>
    </row>
    <row r="126" spans="1:7">
      <c r="A126" t="s">
        <v>1917</v>
      </c>
      <c r="B126" s="158">
        <f>Assumptions!$B$495</f>
        <v>515</v>
      </c>
      <c r="C126" s="158">
        <f>Assumptions!$B$505</f>
        <v>369</v>
      </c>
      <c r="D126" s="158">
        <f>Assumptions!$B$515</f>
        <v>1063</v>
      </c>
      <c r="E126" s="158">
        <f>SUM(B126:D126)</f>
        <v>1947</v>
      </c>
      <c r="F126" s="158"/>
      <c r="G126" s="158"/>
    </row>
    <row r="127" spans="1:7">
      <c r="A127" t="s">
        <v>1918</v>
      </c>
      <c r="B127" s="158">
        <f>Assumptions!$B$496</f>
        <v>3832</v>
      </c>
      <c r="C127" s="158">
        <f>Assumptions!$B$506</f>
        <v>4178</v>
      </c>
      <c r="D127" s="158">
        <f>Assumptions!$B$516</f>
        <v>12727</v>
      </c>
      <c r="E127" s="158">
        <f>SUM(B127:D127)</f>
        <v>20737</v>
      </c>
      <c r="F127" s="158">
        <f>$D$85</f>
        <v>20737</v>
      </c>
      <c r="G127" s="158">
        <f>F127-E127</f>
        <v>0</v>
      </c>
    </row>
    <row r="129" spans="1:4">
      <c r="A129" s="196" t="s">
        <v>1919</v>
      </c>
    </row>
    <row r="130" spans="1:4">
      <c r="A130" s="195" t="s">
        <v>1920</v>
      </c>
      <c r="D130" s="197">
        <f>IF($D$5=0,'AI - Compute'!$D$264,0)</f>
        <v>487</v>
      </c>
    </row>
    <row r="131" spans="1:4">
      <c r="A131" s="195" t="s">
        <v>1921</v>
      </c>
      <c r="D131" s="197">
        <f>IF($D$5=0,Assumptions!$B$492,0)</f>
        <v>38</v>
      </c>
    </row>
    <row r="132" spans="1:4">
      <c r="A132" s="195" t="s">
        <v>1922</v>
      </c>
      <c r="D132" s="197">
        <f>IF($D$5=0,Assumptions!$B$495+Assumptions!$B$505+Assumptions!$B$515,0)</f>
        <v>1947</v>
      </c>
    </row>
    <row r="133" spans="1:4">
      <c r="A133" s="195" t="s">
        <v>1923</v>
      </c>
      <c r="D133" s="197">
        <f>IF($D$5=0,D14-D22-D44-D36-D130-D131+D65,0)</f>
        <v>4112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29"/>
  <sheetViews>
    <sheetView showGridLines="0" zoomScale="91" zoomScaleNormal="91" workbookViewId="0">
      <selection activeCell="D17" sqref="D17"/>
    </sheetView>
  </sheetViews>
  <sheetFormatPr baseColWidth="10" defaultColWidth="10.6640625" defaultRowHeight="16"/>
  <cols>
    <col min="1" max="1" width="38.33203125" customWidth="1"/>
  </cols>
  <sheetData>
    <row r="1" spans="1:19" ht="21.75" customHeight="1">
      <c r="A1" s="1" t="s">
        <v>1924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>
      <c r="A4" s="198"/>
      <c r="B4" s="198"/>
      <c r="C4" s="198"/>
      <c r="D4" s="199">
        <v>2025</v>
      </c>
      <c r="E4" s="199">
        <v>2026</v>
      </c>
      <c r="F4" s="199">
        <v>2027</v>
      </c>
      <c r="G4" s="199">
        <v>2028</v>
      </c>
      <c r="H4" s="199">
        <v>2029</v>
      </c>
      <c r="I4" s="199">
        <v>2030</v>
      </c>
      <c r="J4" s="199">
        <v>2031</v>
      </c>
      <c r="K4" s="199">
        <v>2032</v>
      </c>
      <c r="L4" s="199">
        <v>2033</v>
      </c>
      <c r="M4" s="199">
        <v>2034</v>
      </c>
      <c r="N4" s="199">
        <v>2035</v>
      </c>
      <c r="O4" s="199">
        <v>2036</v>
      </c>
      <c r="P4" s="199">
        <v>2037</v>
      </c>
      <c r="Q4" s="199">
        <v>2038</v>
      </c>
      <c r="R4" s="199">
        <v>2039</v>
      </c>
      <c r="S4" s="199">
        <v>2040</v>
      </c>
    </row>
    <row r="5" spans="1:19">
      <c r="A5" s="200" t="s">
        <v>1925</v>
      </c>
      <c r="B5" s="200"/>
      <c r="C5" s="200"/>
      <c r="D5" s="201">
        <v>0</v>
      </c>
      <c r="E5" s="201">
        <v>1</v>
      </c>
      <c r="F5" s="201">
        <v>2</v>
      </c>
      <c r="G5" s="201">
        <v>3</v>
      </c>
      <c r="H5" s="201">
        <v>4</v>
      </c>
      <c r="I5" s="201">
        <v>5</v>
      </c>
      <c r="J5" s="201">
        <v>6</v>
      </c>
      <c r="K5" s="201">
        <v>7</v>
      </c>
      <c r="L5" s="201">
        <v>8</v>
      </c>
      <c r="M5" s="201">
        <v>9</v>
      </c>
      <c r="N5" s="201">
        <v>10</v>
      </c>
      <c r="O5" s="201">
        <v>11</v>
      </c>
      <c r="P5" s="201">
        <v>12</v>
      </c>
      <c r="Q5" s="201">
        <v>13</v>
      </c>
      <c r="R5" s="201">
        <v>14</v>
      </c>
      <c r="S5" s="201">
        <v>15</v>
      </c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1:19">
      <c r="A7" s="13" t="s">
        <v>1926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>
      <c r="A8" s="23" t="s">
        <v>1927</v>
      </c>
      <c r="B8" s="23"/>
      <c r="C8" s="23"/>
      <c r="D8" s="188">
        <f>Starlink!D61</f>
        <v>6721.2205509599999</v>
      </c>
      <c r="E8" s="188">
        <f ca="1">Starlink!E61</f>
        <v>9347.5764579427196</v>
      </c>
      <c r="F8" s="188">
        <f ca="1">Starlink!F61</f>
        <v>37555.656203182523</v>
      </c>
      <c r="G8" s="188">
        <f ca="1">Starlink!G61</f>
        <v>80517.710459057387</v>
      </c>
      <c r="H8" s="188">
        <f ca="1">Starlink!H61</f>
        <v>141004.9251646639</v>
      </c>
      <c r="I8" s="188">
        <f ca="1">Starlink!I61</f>
        <v>172279.31942254707</v>
      </c>
      <c r="J8" s="188">
        <f ca="1">Starlink!J61</f>
        <v>205461.29949117481</v>
      </c>
      <c r="K8" s="188">
        <f ca="1">Starlink!K61</f>
        <v>221249.48590536017</v>
      </c>
      <c r="L8" s="188">
        <f ca="1">Starlink!L61</f>
        <v>224066.82891058811</v>
      </c>
      <c r="M8" s="188">
        <f ca="1">Starlink!M61</f>
        <v>228869.55544763539</v>
      </c>
      <c r="N8" s="188">
        <f ca="1">Starlink!N61</f>
        <v>248894.6109653106</v>
      </c>
      <c r="O8" s="188">
        <f ca="1">Starlink!O61</f>
        <v>269722.60806762066</v>
      </c>
      <c r="P8" s="188">
        <f ca="1">Starlink!P61</f>
        <v>284212.28690727014</v>
      </c>
      <c r="Q8" s="188">
        <f ca="1">Starlink!Q61</f>
        <v>296196.67879318225</v>
      </c>
      <c r="R8" s="188">
        <f ca="1">Starlink!R61</f>
        <v>302326.03887434199</v>
      </c>
      <c r="S8" s="188">
        <f ca="1">Starlink!S61</f>
        <v>304575.98769235431</v>
      </c>
    </row>
    <row r="9" spans="1:19">
      <c r="A9" s="23" t="s">
        <v>1928</v>
      </c>
      <c r="B9" s="23"/>
      <c r="C9" s="23"/>
      <c r="D9" s="188">
        <f>Starlink!D62</f>
        <v>632.07519628836553</v>
      </c>
      <c r="E9" s="188">
        <f>Starlink!E62</f>
        <v>794.38307704955639</v>
      </c>
      <c r="F9" s="188">
        <f ca="1">Starlink!F62</f>
        <v>969.01978804946725</v>
      </c>
      <c r="G9" s="188">
        <f ca="1">Starlink!G62</f>
        <v>1291.304059984803</v>
      </c>
      <c r="H9" s="188">
        <f ca="1">Starlink!H62</f>
        <v>7146.7256672754002</v>
      </c>
      <c r="I9" s="188">
        <f ca="1">Starlink!I62</f>
        <v>33355.215712934631</v>
      </c>
      <c r="J9" s="188">
        <f ca="1">Starlink!J62</f>
        <v>41028.563376820799</v>
      </c>
      <c r="K9" s="188">
        <f ca="1">Starlink!K62</f>
        <v>49505.312909445536</v>
      </c>
      <c r="L9" s="188">
        <f ca="1">Starlink!L62</f>
        <v>50852.957538647112</v>
      </c>
      <c r="M9" s="188">
        <f ca="1">Starlink!M62</f>
        <v>52180.784763267351</v>
      </c>
      <c r="N9" s="188">
        <f ca="1">Starlink!N62</f>
        <v>53485.30438234903</v>
      </c>
      <c r="O9" s="188">
        <f ca="1">Starlink!O62</f>
        <v>54822.436991907751</v>
      </c>
      <c r="P9" s="188">
        <f ca="1">Starlink!P62</f>
        <v>56192.997916705433</v>
      </c>
      <c r="Q9" s="188">
        <f ca="1">Starlink!Q62</f>
        <v>57597.822864623071</v>
      </c>
      <c r="R9" s="188">
        <f ca="1">Starlink!R62</f>
        <v>59037.768436238635</v>
      </c>
      <c r="S9" s="188">
        <f ca="1">Starlink!S62</f>
        <v>60513.712647144595</v>
      </c>
    </row>
    <row r="10" spans="1:19">
      <c r="A10" s="23" t="s">
        <v>1929</v>
      </c>
      <c r="B10" s="23"/>
      <c r="C10" s="23"/>
      <c r="D10" s="188">
        <f>Starlink!D63</f>
        <v>2519.8946999999998</v>
      </c>
      <c r="E10" s="188">
        <f>Starlink!E63</f>
        <v>2721.4862760000001</v>
      </c>
      <c r="F10" s="188">
        <f>Starlink!F63</f>
        <v>2939.2051780800002</v>
      </c>
      <c r="G10" s="188">
        <f>Starlink!G63</f>
        <v>3174.3415923264006</v>
      </c>
      <c r="H10" s="188">
        <f>Starlink!H63</f>
        <v>3428.2889197125123</v>
      </c>
      <c r="I10" s="188">
        <f>Starlink!I63</f>
        <v>3702.5520332895139</v>
      </c>
      <c r="J10" s="188">
        <f>Starlink!J63</f>
        <v>3998.7561959526752</v>
      </c>
      <c r="K10" s="188">
        <f>Starlink!K63</f>
        <v>4318.6566916288903</v>
      </c>
      <c r="L10" s="188">
        <f>Starlink!L63</f>
        <v>4664.1492269592009</v>
      </c>
      <c r="M10" s="188">
        <f>Starlink!M63</f>
        <v>5037.2811651159373</v>
      </c>
      <c r="N10" s="188">
        <f>Starlink!N63</f>
        <v>5440.2636583252124</v>
      </c>
      <c r="O10" s="188">
        <f>Starlink!O63</f>
        <v>5875.4847509912297</v>
      </c>
      <c r="P10" s="188">
        <f>Starlink!P63</f>
        <v>6345.5235310705284</v>
      </c>
      <c r="Q10" s="188">
        <f>Starlink!Q63</f>
        <v>6853.1654135561703</v>
      </c>
      <c r="R10" s="188">
        <f>Starlink!R63</f>
        <v>7401.4186466406654</v>
      </c>
      <c r="S10" s="188">
        <f>Starlink!S63</f>
        <v>7993.5321383719192</v>
      </c>
    </row>
    <row r="11" spans="1:19">
      <c r="A11" s="23" t="s">
        <v>1930</v>
      </c>
      <c r="B11" s="23"/>
      <c r="C11" s="23"/>
      <c r="D11" s="188">
        <f>Starlink!D64</f>
        <v>1181.9343831111109</v>
      </c>
      <c r="E11" s="188">
        <f ca="1">Starlink!E64</f>
        <v>1611.6604231147128</v>
      </c>
      <c r="F11" s="188">
        <f ca="1">Starlink!F64</f>
        <v>13874.715574526408</v>
      </c>
      <c r="G11" s="188">
        <f ca="1">Starlink!G64</f>
        <v>24340.120126578997</v>
      </c>
      <c r="H11" s="188">
        <f ca="1">Starlink!H64</f>
        <v>38823.511844525361</v>
      </c>
      <c r="I11" s="188">
        <f ca="1">Starlink!I64</f>
        <v>30174.615115612494</v>
      </c>
      <c r="J11" s="188">
        <f ca="1">Starlink!J64</f>
        <v>36265.61974053525</v>
      </c>
      <c r="K11" s="188">
        <f ca="1">Starlink!K64</f>
        <v>30788.829977441088</v>
      </c>
      <c r="L11" s="188">
        <f ca="1">Starlink!L64</f>
        <v>25605.912650554717</v>
      </c>
      <c r="M11" s="188">
        <f ca="1">Starlink!M64</f>
        <v>22128.925559794559</v>
      </c>
      <c r="N11" s="188">
        <f ca="1">Starlink!N64</f>
        <v>30113.69197364122</v>
      </c>
      <c r="O11" s="188">
        <f ca="1">Starlink!O64</f>
        <v>32082.426806204308</v>
      </c>
      <c r="P11" s="188">
        <f ca="1">Starlink!P64</f>
        <v>29096.097997481775</v>
      </c>
      <c r="Q11" s="188">
        <f ca="1">Starlink!Q64</f>
        <v>28354.821457290622</v>
      </c>
      <c r="R11" s="188">
        <f ca="1">Starlink!R64</f>
        <v>25087.037165247675</v>
      </c>
      <c r="S11" s="188">
        <f ca="1">Starlink!S64</f>
        <v>22794.773828383524</v>
      </c>
    </row>
    <row r="12" spans="1:19">
      <c r="A12" s="118" t="s">
        <v>1931</v>
      </c>
      <c r="B12" s="118"/>
      <c r="C12" s="118"/>
      <c r="D12" s="190">
        <f t="shared" ref="D12:S12" si="0">D8+D9+D10+D11</f>
        <v>11055.124830359477</v>
      </c>
      <c r="E12" s="190">
        <f t="shared" ca="1" si="0"/>
        <v>14475.106234106988</v>
      </c>
      <c r="F12" s="190">
        <f t="shared" ca="1" si="0"/>
        <v>55338.596743838403</v>
      </c>
      <c r="G12" s="190">
        <f t="shared" ca="1" si="0"/>
        <v>109323.47623794759</v>
      </c>
      <c r="H12" s="190">
        <f t="shared" ca="1" si="0"/>
        <v>190403.45159617718</v>
      </c>
      <c r="I12" s="190">
        <f t="shared" ca="1" si="0"/>
        <v>239511.70228438367</v>
      </c>
      <c r="J12" s="190">
        <f t="shared" ca="1" si="0"/>
        <v>286754.23880448355</v>
      </c>
      <c r="K12" s="190">
        <f t="shared" ca="1" si="0"/>
        <v>305862.28548387572</v>
      </c>
      <c r="L12" s="190">
        <f t="shared" ca="1" si="0"/>
        <v>305189.84832674917</v>
      </c>
      <c r="M12" s="190">
        <f t="shared" ca="1" si="0"/>
        <v>308216.54693581327</v>
      </c>
      <c r="N12" s="190">
        <f t="shared" ca="1" si="0"/>
        <v>337933.87097962602</v>
      </c>
      <c r="O12" s="190">
        <f t="shared" ca="1" si="0"/>
        <v>362502.95661672397</v>
      </c>
      <c r="P12" s="190">
        <f t="shared" ca="1" si="0"/>
        <v>375846.90635252785</v>
      </c>
      <c r="Q12" s="190">
        <f t="shared" ca="1" si="0"/>
        <v>389002.48852865206</v>
      </c>
      <c r="R12" s="190">
        <f t="shared" ca="1" si="0"/>
        <v>393852.26312246895</v>
      </c>
      <c r="S12" s="190">
        <f t="shared" ca="1" si="0"/>
        <v>395878.00630625436</v>
      </c>
    </row>
    <row r="13" spans="1:19">
      <c r="A13" s="23" t="s">
        <v>1932</v>
      </c>
      <c r="B13" s="23"/>
      <c r="C13" s="23"/>
      <c r="D13" s="188">
        <f ca="1">'Customer Launch'!D52</f>
        <v>1589.1999999999998</v>
      </c>
      <c r="E13" s="188">
        <f ca="1">'Customer Launch'!E52</f>
        <v>4603.2</v>
      </c>
      <c r="F13" s="188">
        <f ca="1">'Customer Launch'!F52</f>
        <v>10970.807999083921</v>
      </c>
      <c r="G13" s="188">
        <f ca="1">'Customer Launch'!G52</f>
        <v>12013.265077776683</v>
      </c>
      <c r="H13" s="188">
        <f ca="1">'Customer Launch'!H52</f>
        <v>13352.810463711416</v>
      </c>
      <c r="I13" s="188">
        <f ca="1">'Customer Launch'!I52</f>
        <v>14796.000000000005</v>
      </c>
      <c r="J13" s="188">
        <f ca="1">'Customer Launch'!J52</f>
        <v>14631.599999999999</v>
      </c>
      <c r="K13" s="188">
        <f ca="1">'Customer Launch'!K52</f>
        <v>21550.662621050116</v>
      </c>
      <c r="L13" s="188">
        <f ca="1">'Customer Launch'!L52</f>
        <v>21753.90237066531</v>
      </c>
      <c r="M13" s="188">
        <f ca="1">'Customer Launch'!M52</f>
        <v>21593.673009960392</v>
      </c>
      <c r="N13" s="188">
        <f ca="1">'Customer Launch'!N52</f>
        <v>21322.590680835372</v>
      </c>
      <c r="O13" s="188">
        <f ca="1">'Customer Launch'!O52</f>
        <v>21032.817816921026</v>
      </c>
      <c r="P13" s="188">
        <f ca="1">'Customer Launch'!P52</f>
        <v>20749.631609360167</v>
      </c>
      <c r="Q13" s="188">
        <f ca="1">'Customer Launch'!Q52</f>
        <v>20477.761848010534</v>
      </c>
      <c r="R13" s="188">
        <f ca="1">'Customer Launch'!R52</f>
        <v>20216.926845461359</v>
      </c>
      <c r="S13" s="188">
        <f ca="1">'Customer Launch'!S52</f>
        <v>328.79999999999995</v>
      </c>
    </row>
    <row r="14" spans="1:19">
      <c r="A14" s="23" t="s">
        <v>1933</v>
      </c>
      <c r="B14" s="23"/>
      <c r="C14" s="23"/>
      <c r="D14" s="188">
        <f>'Customer Launch'!D53</f>
        <v>1510</v>
      </c>
      <c r="E14" s="188">
        <f>'Customer Launch'!E53</f>
        <v>1585.5</v>
      </c>
      <c r="F14" s="188">
        <f>'Customer Launch'!F53</f>
        <v>1664.7750000000001</v>
      </c>
      <c r="G14" s="188">
        <f>'Customer Launch'!G53</f>
        <v>1748.0137500000003</v>
      </c>
      <c r="H14" s="188">
        <f>'Customer Launch'!H53</f>
        <v>1835.4144375000001</v>
      </c>
      <c r="I14" s="188">
        <f>'Customer Launch'!I53</f>
        <v>1927.1851593750002</v>
      </c>
      <c r="J14" s="188">
        <f>'Customer Launch'!J53</f>
        <v>2023.54441734375</v>
      </c>
      <c r="K14" s="188">
        <f>'Customer Launch'!K53</f>
        <v>2124.7216382109377</v>
      </c>
      <c r="L14" s="188">
        <f>'Customer Launch'!L53</f>
        <v>2230.9577201214843</v>
      </c>
      <c r="M14" s="188">
        <f>'Customer Launch'!M53</f>
        <v>2342.5056061275586</v>
      </c>
      <c r="N14" s="188">
        <f>'Customer Launch'!N53</f>
        <v>2459.6308864339367</v>
      </c>
      <c r="O14" s="188">
        <f>'Customer Launch'!O53</f>
        <v>2582.6124307556338</v>
      </c>
      <c r="P14" s="188">
        <f>'Customer Launch'!P53</f>
        <v>2711.7430522934151</v>
      </c>
      <c r="Q14" s="188">
        <f>'Customer Launch'!Q53</f>
        <v>2847.3302049080862</v>
      </c>
      <c r="R14" s="188">
        <f>'Customer Launch'!R53</f>
        <v>2989.69671515349</v>
      </c>
      <c r="S14" s="188">
        <f>'Customer Launch'!S53</f>
        <v>3139.1815509111657</v>
      </c>
    </row>
    <row r="15" spans="1:19">
      <c r="A15" s="118" t="s">
        <v>1934</v>
      </c>
      <c r="B15" s="118"/>
      <c r="C15" s="118"/>
      <c r="D15" s="190">
        <f t="shared" ref="D15:S15" ca="1" si="1">D13+D14</f>
        <v>3099.2</v>
      </c>
      <c r="E15" s="190">
        <f t="shared" ca="1" si="1"/>
        <v>6188.7</v>
      </c>
      <c r="F15" s="190">
        <f t="shared" ca="1" si="1"/>
        <v>12635.582999083921</v>
      </c>
      <c r="G15" s="190">
        <f t="shared" ca="1" si="1"/>
        <v>13761.278827776683</v>
      </c>
      <c r="H15" s="190">
        <f t="shared" ca="1" si="1"/>
        <v>15188.224901211415</v>
      </c>
      <c r="I15" s="190">
        <f t="shared" ca="1" si="1"/>
        <v>16723.185159375007</v>
      </c>
      <c r="J15" s="190">
        <f t="shared" ca="1" si="1"/>
        <v>16655.144417343749</v>
      </c>
      <c r="K15" s="190">
        <f t="shared" ca="1" si="1"/>
        <v>23675.384259261053</v>
      </c>
      <c r="L15" s="190">
        <f t="shared" ca="1" si="1"/>
        <v>23984.860090786795</v>
      </c>
      <c r="M15" s="190">
        <f t="shared" ca="1" si="1"/>
        <v>23936.178616087949</v>
      </c>
      <c r="N15" s="190">
        <f t="shared" ca="1" si="1"/>
        <v>23782.221567269309</v>
      </c>
      <c r="O15" s="190">
        <f t="shared" ca="1" si="1"/>
        <v>23615.430247676661</v>
      </c>
      <c r="P15" s="190">
        <f t="shared" ca="1" si="1"/>
        <v>23461.374661653583</v>
      </c>
      <c r="Q15" s="190">
        <f t="shared" ca="1" si="1"/>
        <v>23325.092052918619</v>
      </c>
      <c r="R15" s="190">
        <f t="shared" ca="1" si="1"/>
        <v>23206.623560614848</v>
      </c>
      <c r="S15" s="190">
        <f t="shared" ca="1" si="1"/>
        <v>3467.9815509111659</v>
      </c>
    </row>
    <row r="16" spans="1:19">
      <c r="A16" s="23" t="s">
        <v>1935</v>
      </c>
      <c r="B16" s="23"/>
      <c r="C16" s="23"/>
      <c r="D16" s="188">
        <f ca="1">'AI - Compute'!D60</f>
        <v>0</v>
      </c>
      <c r="E16" s="188">
        <f ca="1">'AI - Compute'!E60</f>
        <v>0</v>
      </c>
      <c r="F16" s="188">
        <f ca="1">'AI - Compute'!F60</f>
        <v>0</v>
      </c>
      <c r="G16" s="188">
        <f ca="1">'AI - Compute'!G60</f>
        <v>1754.5471657053051</v>
      </c>
      <c r="H16" s="188">
        <f ca="1">'AI - Compute'!H60</f>
        <v>9074.6838994839163</v>
      </c>
      <c r="I16" s="188">
        <f ca="1">'AI - Compute'!I60</f>
        <v>34170.837263255256</v>
      </c>
      <c r="J16" s="188">
        <f ca="1">'AI - Compute'!J60</f>
        <v>90553.879930546289</v>
      </c>
      <c r="K16" s="188">
        <f ca="1">'AI - Compute'!K60</f>
        <v>133327.50373724944</v>
      </c>
      <c r="L16" s="188">
        <f ca="1">'AI - Compute'!L60</f>
        <v>155538.45317618278</v>
      </c>
      <c r="M16" s="188">
        <f ca="1">'AI - Compute'!M60</f>
        <v>193584.81037736021</v>
      </c>
      <c r="N16" s="188">
        <f ca="1">'AI - Compute'!N60</f>
        <v>259681.50992495695</v>
      </c>
      <c r="O16" s="188">
        <f ca="1">'AI - Compute'!O60</f>
        <v>372511.48081324645</v>
      </c>
      <c r="P16" s="188">
        <f ca="1">'AI - Compute'!P60</f>
        <v>494827.49440975406</v>
      </c>
      <c r="Q16" s="188">
        <f ca="1">'AI - Compute'!Q60</f>
        <v>606826.56729947869</v>
      </c>
      <c r="R16" s="188">
        <f ca="1">'AI - Compute'!R60</f>
        <v>763925.8198862971</v>
      </c>
      <c r="S16" s="188">
        <f ca="1">'AI - Compute'!S60</f>
        <v>968397.3171101202</v>
      </c>
    </row>
    <row r="17" spans="1:19">
      <c r="A17" s="23" t="s">
        <v>1936</v>
      </c>
      <c r="B17" s="23"/>
      <c r="C17" s="23"/>
      <c r="D17" s="188">
        <f ca="1">'AI - Compute'!D96</f>
        <v>0</v>
      </c>
      <c r="E17" s="188">
        <f ca="1">'AI - Compute'!E96</f>
        <v>1087.9983963245847</v>
      </c>
      <c r="F17" s="188">
        <f ca="1">'AI - Compute'!F96</f>
        <v>5438.4646674346268</v>
      </c>
      <c r="G17" s="188">
        <f ca="1">'AI - Compute'!G96</f>
        <v>5370.5082544209072</v>
      </c>
      <c r="H17" s="188">
        <f ca="1">'AI - Compute'!H96</f>
        <v>6200.6103785629248</v>
      </c>
      <c r="I17" s="188">
        <f ca="1">'AI - Compute'!I96</f>
        <v>9231.2999160279433</v>
      </c>
      <c r="J17" s="188">
        <f ca="1">'AI - Compute'!J96</f>
        <v>8049.9256592184411</v>
      </c>
      <c r="K17" s="188">
        <f ca="1">'AI - Compute'!K96</f>
        <v>17414.389846562539</v>
      </c>
      <c r="L17" s="188">
        <f ca="1">'AI - Compute'!L96</f>
        <v>15378.427839930906</v>
      </c>
      <c r="M17" s="188">
        <f ca="1">'AI - Compute'!M96</f>
        <v>15611.224331402569</v>
      </c>
      <c r="N17" s="188">
        <f ca="1">'AI - Compute'!N96</f>
        <v>17058.408626996326</v>
      </c>
      <c r="O17" s="188">
        <f ca="1">'AI - Compute'!O96</f>
        <v>25298.961109181419</v>
      </c>
      <c r="P17" s="188">
        <f ca="1">'AI - Compute'!P96</f>
        <v>41958.865161945207</v>
      </c>
      <c r="Q17" s="188">
        <f ca="1">'AI - Compute'!Q96</f>
        <v>55272.11069609347</v>
      </c>
      <c r="R17" s="188">
        <f ca="1">'AI - Compute'!R96</f>
        <v>77121.857447137299</v>
      </c>
      <c r="S17" s="188">
        <f ca="1">'AI - Compute'!S96</f>
        <v>94867.512358612934</v>
      </c>
    </row>
    <row r="18" spans="1:19">
      <c r="A18" s="23" t="s">
        <v>1937</v>
      </c>
      <c r="B18" s="23"/>
      <c r="C18" s="23"/>
      <c r="D18" s="188">
        <f>'AI - Compute'!D126</f>
        <v>483.065</v>
      </c>
      <c r="E18" s="188">
        <f>'AI - Compute'!E126</f>
        <v>724.62809221999998</v>
      </c>
      <c r="F18" s="188">
        <f>'AI - Compute'!F126</f>
        <v>1089.7173544822087</v>
      </c>
      <c r="G18" s="188">
        <f>'AI - Compute'!G126</f>
        <v>1643.3443176218582</v>
      </c>
      <c r="H18" s="188">
        <f>'AI - Compute'!H126</f>
        <v>2485.9660497527584</v>
      </c>
      <c r="I18" s="188">
        <f>'AI - Compute'!I126</f>
        <v>3773.6146812320112</v>
      </c>
      <c r="J18" s="188">
        <f>'AI - Compute'!J126</f>
        <v>5749.9705587368935</v>
      </c>
      <c r="K18" s="188">
        <f>'AI - Compute'!K126</f>
        <v>8797.782406614966</v>
      </c>
      <c r="L18" s="188">
        <f>'AI - Compute'!L126</f>
        <v>13521.817340419753</v>
      </c>
      <c r="M18" s="188">
        <f>'AI - Compute'!M126</f>
        <v>20883.500557444684</v>
      </c>
      <c r="N18" s="188">
        <f>'AI - Compute'!N126</f>
        <v>32420.783611139574</v>
      </c>
      <c r="O18" s="188">
        <f>'AI - Compute'!O126</f>
        <v>50609.324848202654</v>
      </c>
      <c r="P18" s="188">
        <f>'AI - Compute'!P126</f>
        <v>79459.224904290459</v>
      </c>
      <c r="Q18" s="188">
        <f>'AI - Compute'!Q126</f>
        <v>125506.42630330606</v>
      </c>
      <c r="R18" s="188">
        <f>'AI - Compute'!R126</f>
        <v>199468.60834757259</v>
      </c>
      <c r="S18" s="188">
        <f>'AI - Compute'!S126</f>
        <v>319025.16958873224</v>
      </c>
    </row>
    <row r="19" spans="1:19">
      <c r="A19" s="118" t="s">
        <v>1938</v>
      </c>
      <c r="B19" s="118"/>
      <c r="C19" s="118"/>
      <c r="D19" s="190">
        <f t="shared" ref="D19:S19" ca="1" si="2">D16+D17+D18</f>
        <v>483.065</v>
      </c>
      <c r="E19" s="190">
        <f t="shared" ca="1" si="2"/>
        <v>1812.6264885445848</v>
      </c>
      <c r="F19" s="190">
        <f t="shared" ca="1" si="2"/>
        <v>6528.1820219168358</v>
      </c>
      <c r="G19" s="190">
        <f t="shared" ca="1" si="2"/>
        <v>8768.39973774807</v>
      </c>
      <c r="H19" s="190">
        <f t="shared" ca="1" si="2"/>
        <v>17761.260327799599</v>
      </c>
      <c r="I19" s="190">
        <f t="shared" ca="1" si="2"/>
        <v>47175.751860515215</v>
      </c>
      <c r="J19" s="190">
        <f t="shared" ca="1" si="2"/>
        <v>104353.77614850162</v>
      </c>
      <c r="K19" s="190">
        <f t="shared" ca="1" si="2"/>
        <v>159539.67599042697</v>
      </c>
      <c r="L19" s="190">
        <f t="shared" ca="1" si="2"/>
        <v>184438.69835653342</v>
      </c>
      <c r="M19" s="190">
        <f t="shared" ca="1" si="2"/>
        <v>230079.53526620747</v>
      </c>
      <c r="N19" s="190">
        <f t="shared" ca="1" si="2"/>
        <v>309160.70216309285</v>
      </c>
      <c r="O19" s="190">
        <f t="shared" ca="1" si="2"/>
        <v>448419.76677063049</v>
      </c>
      <c r="P19" s="190">
        <f t="shared" ca="1" si="2"/>
        <v>616245.58447598969</v>
      </c>
      <c r="Q19" s="190">
        <f t="shared" ca="1" si="2"/>
        <v>787605.10429887811</v>
      </c>
      <c r="R19" s="190">
        <f t="shared" ca="1" si="2"/>
        <v>1040516.285681007</v>
      </c>
      <c r="S19" s="190">
        <f t="shared" ca="1" si="2"/>
        <v>1382289.9990574655</v>
      </c>
    </row>
    <row r="20" spans="1:19">
      <c r="A20" s="23" t="s">
        <v>1814</v>
      </c>
      <c r="B20" s="23"/>
      <c r="C20" s="23"/>
      <c r="D20" s="188">
        <f>'Lunar - Mars'!D81</f>
        <v>0</v>
      </c>
      <c r="E20" s="188">
        <f>'Lunar - Mars'!E81</f>
        <v>0</v>
      </c>
      <c r="F20" s="188">
        <f>'Lunar - Mars'!F81</f>
        <v>0</v>
      </c>
      <c r="G20" s="188">
        <f>'Lunar - Mars'!G81</f>
        <v>0</v>
      </c>
      <c r="H20" s="188">
        <f>'Lunar - Mars'!H81</f>
        <v>0</v>
      </c>
      <c r="I20" s="188">
        <f>'Lunar - Mars'!I81</f>
        <v>0</v>
      </c>
      <c r="J20" s="188">
        <f>'Lunar - Mars'!J81</f>
        <v>0</v>
      </c>
      <c r="K20" s="188">
        <f>'Lunar - Mars'!K81</f>
        <v>0</v>
      </c>
      <c r="L20" s="188">
        <f>'Lunar - Mars'!L81</f>
        <v>0</v>
      </c>
      <c r="M20" s="188">
        <f>'Lunar - Mars'!M81</f>
        <v>0</v>
      </c>
      <c r="N20" s="188">
        <f>'Lunar - Mars'!N81</f>
        <v>0</v>
      </c>
      <c r="O20" s="188">
        <f>'Lunar - Mars'!O81</f>
        <v>0</v>
      </c>
      <c r="P20" s="188">
        <f>'Lunar - Mars'!P81</f>
        <v>0</v>
      </c>
      <c r="Q20" s="188">
        <f>'Lunar - Mars'!Q81</f>
        <v>0</v>
      </c>
      <c r="R20" s="188">
        <f>'Lunar - Mars'!R81</f>
        <v>0</v>
      </c>
      <c r="S20" s="188">
        <f>'Lunar - Mars'!S81</f>
        <v>0</v>
      </c>
    </row>
    <row r="21" spans="1:19">
      <c r="A21" s="118" t="s">
        <v>1939</v>
      </c>
      <c r="B21" s="118"/>
      <c r="C21" s="118"/>
      <c r="D21" s="190">
        <f t="shared" ref="D21:S21" si="3">D20</f>
        <v>0</v>
      </c>
      <c r="E21" s="190">
        <f t="shared" si="3"/>
        <v>0</v>
      </c>
      <c r="F21" s="190">
        <f t="shared" si="3"/>
        <v>0</v>
      </c>
      <c r="G21" s="190">
        <f t="shared" si="3"/>
        <v>0</v>
      </c>
      <c r="H21" s="190">
        <f t="shared" si="3"/>
        <v>0</v>
      </c>
      <c r="I21" s="190">
        <f t="shared" si="3"/>
        <v>0</v>
      </c>
      <c r="J21" s="190">
        <f t="shared" si="3"/>
        <v>0</v>
      </c>
      <c r="K21" s="190">
        <f t="shared" si="3"/>
        <v>0</v>
      </c>
      <c r="L21" s="190">
        <f t="shared" si="3"/>
        <v>0</v>
      </c>
      <c r="M21" s="190">
        <f t="shared" si="3"/>
        <v>0</v>
      </c>
      <c r="N21" s="190">
        <f t="shared" si="3"/>
        <v>0</v>
      </c>
      <c r="O21" s="190">
        <f t="shared" si="3"/>
        <v>0</v>
      </c>
      <c r="P21" s="190">
        <f t="shared" si="3"/>
        <v>0</v>
      </c>
      <c r="Q21" s="190">
        <f t="shared" si="3"/>
        <v>0</v>
      </c>
      <c r="R21" s="190">
        <f t="shared" si="3"/>
        <v>0</v>
      </c>
      <c r="S21" s="190">
        <f t="shared" si="3"/>
        <v>0</v>
      </c>
    </row>
    <row r="22" spans="1:19">
      <c r="A22" s="23" t="s">
        <v>1815</v>
      </c>
      <c r="B22" s="23"/>
      <c r="C22" s="23"/>
      <c r="D22" s="188">
        <f>'Group P&amp;L'!D13</f>
        <v>0</v>
      </c>
      <c r="E22" s="188">
        <f>'Group P&amp;L'!E13</f>
        <v>0</v>
      </c>
      <c r="F22" s="188">
        <f>'Group P&amp;L'!F13</f>
        <v>0</v>
      </c>
      <c r="G22" s="188">
        <f>'Group P&amp;L'!G13</f>
        <v>0</v>
      </c>
      <c r="H22" s="188">
        <f>'Group P&amp;L'!H13</f>
        <v>0</v>
      </c>
      <c r="I22" s="188">
        <f>'Group P&amp;L'!I13</f>
        <v>0</v>
      </c>
      <c r="J22" s="188">
        <f>'Group P&amp;L'!J13</f>
        <v>0</v>
      </c>
      <c r="K22" s="188">
        <f>'Group P&amp;L'!K13</f>
        <v>0</v>
      </c>
      <c r="L22" s="188">
        <f>'Group P&amp;L'!L13</f>
        <v>0</v>
      </c>
      <c r="M22" s="188">
        <f>'Group P&amp;L'!M13</f>
        <v>0</v>
      </c>
      <c r="N22" s="188">
        <f>'Group P&amp;L'!N13</f>
        <v>0</v>
      </c>
      <c r="O22" s="188">
        <f>'Group P&amp;L'!O13</f>
        <v>0</v>
      </c>
      <c r="P22" s="188">
        <f>'Group P&amp;L'!P13</f>
        <v>0</v>
      </c>
      <c r="Q22" s="188">
        <f>'Group P&amp;L'!Q13</f>
        <v>0</v>
      </c>
      <c r="R22" s="188">
        <f>'Group P&amp;L'!R13</f>
        <v>0</v>
      </c>
      <c r="S22" s="188">
        <f>'Group P&amp;L'!S13</f>
        <v>0</v>
      </c>
    </row>
    <row r="23" spans="1:19">
      <c r="A23" s="118" t="s">
        <v>1816</v>
      </c>
      <c r="B23" s="118"/>
      <c r="C23" s="118"/>
      <c r="D23" s="190">
        <f t="shared" ref="D23:S23" ca="1" si="4">D12+D15+D19+D21+D22</f>
        <v>14637.389830359478</v>
      </c>
      <c r="E23" s="190">
        <f t="shared" ca="1" si="4"/>
        <v>22476.432722651574</v>
      </c>
      <c r="F23" s="190">
        <f t="shared" ca="1" si="4"/>
        <v>74502.361764839152</v>
      </c>
      <c r="G23" s="190">
        <f t="shared" ca="1" si="4"/>
        <v>131853.15480347234</v>
      </c>
      <c r="H23" s="190">
        <f t="shared" ca="1" si="4"/>
        <v>223352.9368251882</v>
      </c>
      <c r="I23" s="190">
        <f t="shared" ca="1" si="4"/>
        <v>303410.63930427388</v>
      </c>
      <c r="J23" s="190">
        <f t="shared" ca="1" si="4"/>
        <v>407763.15937032894</v>
      </c>
      <c r="K23" s="190">
        <f t="shared" ca="1" si="4"/>
        <v>489077.34573356376</v>
      </c>
      <c r="L23" s="190">
        <f t="shared" ca="1" si="4"/>
        <v>513613.40677406942</v>
      </c>
      <c r="M23" s="190">
        <f t="shared" ca="1" si="4"/>
        <v>562232.26081810868</v>
      </c>
      <c r="N23" s="190">
        <f t="shared" ca="1" si="4"/>
        <v>670876.79470998817</v>
      </c>
      <c r="O23" s="190">
        <f t="shared" ca="1" si="4"/>
        <v>834538.15363503108</v>
      </c>
      <c r="P23" s="190">
        <f t="shared" ca="1" si="4"/>
        <v>1015553.8654901711</v>
      </c>
      <c r="Q23" s="190">
        <f t="shared" ca="1" si="4"/>
        <v>1199932.6848804487</v>
      </c>
      <c r="R23" s="190">
        <f t="shared" ca="1" si="4"/>
        <v>1457575.1723640908</v>
      </c>
      <c r="S23" s="190">
        <f t="shared" ca="1" si="4"/>
        <v>1781635.986914631</v>
      </c>
    </row>
    <row r="24" spans="1:19">
      <c r="A24" s="23"/>
      <c r="B24" s="23"/>
      <c r="C24" s="23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</row>
    <row r="25" spans="1:19">
      <c r="A25" s="13" t="s">
        <v>1817</v>
      </c>
      <c r="B25" s="13"/>
      <c r="C25" s="13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</row>
    <row r="26" spans="1:19">
      <c r="A26" s="23" t="s">
        <v>1818</v>
      </c>
      <c r="B26" s="23"/>
      <c r="C26" s="23"/>
      <c r="D26" s="188">
        <f>'Group P&amp;L'!D17</f>
        <v>5921</v>
      </c>
      <c r="E26" s="188">
        <f ca="1">'Group P&amp;L'!E17</f>
        <v>4646.4787159166008</v>
      </c>
      <c r="F26" s="188">
        <f ca="1">'Group P&amp;L'!F17</f>
        <v>19308.552370473164</v>
      </c>
      <c r="G26" s="188">
        <f ca="1">'Group P&amp;L'!G17</f>
        <v>34289.054445362177</v>
      </c>
      <c r="H26" s="188">
        <f ca="1">'Group P&amp;L'!H17</f>
        <v>55557.645353542015</v>
      </c>
      <c r="I26" s="188">
        <f ca="1">'Group P&amp;L'!I17</f>
        <v>46865.913723047131</v>
      </c>
      <c r="J26" s="188">
        <f ca="1">'Group P&amp;L'!J17</f>
        <v>55858.16693740357</v>
      </c>
      <c r="K26" s="188">
        <f ca="1">'Group P&amp;L'!K17</f>
        <v>49751.194464861634</v>
      </c>
      <c r="L26" s="188">
        <f ca="1">'Group P&amp;L'!L17</f>
        <v>41960.443089763234</v>
      </c>
      <c r="M26" s="188">
        <f ca="1">'Group P&amp;L'!M17</f>
        <v>38659.29168570014</v>
      </c>
      <c r="N26" s="188">
        <f ca="1">'Group P&amp;L'!N17</f>
        <v>50035.728043879892</v>
      </c>
      <c r="O26" s="188">
        <f ca="1">'Group P&amp;L'!O17</f>
        <v>54158.128987992066</v>
      </c>
      <c r="P26" s="188">
        <f ca="1">'Group P&amp;L'!P17</f>
        <v>49598.105789163281</v>
      </c>
      <c r="Q26" s="188">
        <f ca="1">'Group P&amp;L'!Q17</f>
        <v>48202.613332211484</v>
      </c>
      <c r="R26" s="188">
        <f ca="1">'Group P&amp;L'!R17</f>
        <v>43707.480612333246</v>
      </c>
      <c r="S26" s="188">
        <f ca="1">'Group P&amp;L'!S17</f>
        <v>40938.072643426422</v>
      </c>
    </row>
    <row r="27" spans="1:19">
      <c r="A27" s="23" t="s">
        <v>1819</v>
      </c>
      <c r="B27" s="23"/>
      <c r="C27" s="23"/>
      <c r="D27" s="188">
        <f>'Group P&amp;L'!D18</f>
        <v>1352</v>
      </c>
      <c r="E27" s="188">
        <f ca="1">'Group P&amp;L'!E18</f>
        <v>1873.8090000000002</v>
      </c>
      <c r="F27" s="188">
        <f ca="1">'Group P&amp;L'!F18</f>
        <v>4317.8732403061167</v>
      </c>
      <c r="G27" s="188">
        <f ca="1">'Group P&amp;L'!G18</f>
        <v>4722.9153588909012</v>
      </c>
      <c r="H27" s="188">
        <f ca="1">'Group P&amp;L'!H18</f>
        <v>5242.0206236076228</v>
      </c>
      <c r="I27" s="188">
        <f ca="1">'Group P&amp;L'!I18</f>
        <v>5801.1229611562521</v>
      </c>
      <c r="J27" s="188">
        <f ca="1">'Group P&amp;L'!J18</f>
        <v>5744.9101092140627</v>
      </c>
      <c r="K27" s="188">
        <f ca="1">'Group P&amp;L'!K18</f>
        <v>9737.0654468687189</v>
      </c>
      <c r="L27" s="188">
        <f ca="1">'Group P&amp;L'!L18</f>
        <v>10655.124402394469</v>
      </c>
      <c r="M27" s="188">
        <f ca="1">'Group P&amp;L'!M18</f>
        <v>11444.610116168178</v>
      </c>
      <c r="N27" s="188">
        <f ca="1">'Group P&amp;L'!N18</f>
        <v>12200.075124295885</v>
      </c>
      <c r="O27" s="188">
        <f ca="1">'Group P&amp;L'!O18</f>
        <v>12975.527843373786</v>
      </c>
      <c r="P27" s="188">
        <f ca="1">'Group P&amp;L'!P18</f>
        <v>13796.975188170336</v>
      </c>
      <c r="Q27" s="188">
        <f ca="1">'Group P&amp;L'!Q18</f>
        <v>14677.744886523449</v>
      </c>
      <c r="R27" s="188">
        <f ca="1">'Group P&amp;L'!R18</f>
        <v>15626.263536234064</v>
      </c>
      <c r="S27" s="188">
        <f ca="1">'Group P&amp;L'!S18</f>
        <v>345.6587085637816</v>
      </c>
    </row>
    <row r="28" spans="1:19">
      <c r="A28" s="23" t="s">
        <v>1820</v>
      </c>
      <c r="B28" s="23"/>
      <c r="C28" s="23"/>
      <c r="D28" s="188">
        <f>'Group P&amp;L'!D19</f>
        <v>2178</v>
      </c>
      <c r="E28" s="188">
        <f ca="1">'Group P&amp;L'!E19</f>
        <v>63.952327628662125</v>
      </c>
      <c r="F28" s="188">
        <f ca="1">'Group P&amp;L'!F19</f>
        <v>292.01762944085687</v>
      </c>
      <c r="G28" s="188">
        <f ca="1">'Group P&amp;L'!G19</f>
        <v>513.38593644767002</v>
      </c>
      <c r="H28" s="188">
        <f ca="1">'Group P&amp;L'!H19</f>
        <v>970.57737053318056</v>
      </c>
      <c r="I28" s="188">
        <f ca="1">'Group P&amp;L'!I19</f>
        <v>2107.8764756553796</v>
      </c>
      <c r="J28" s="188">
        <f ca="1">'Group P&amp;L'!J19</f>
        <v>3974.5775377373034</v>
      </c>
      <c r="K28" s="188">
        <f ca="1">'Group P&amp;L'!K19</f>
        <v>5406.2823908690389</v>
      </c>
      <c r="L28" s="188">
        <f ca="1">'Group P&amp;L'!L19</f>
        <v>5502.2610534203186</v>
      </c>
      <c r="M28" s="188">
        <f ca="1">'Group P&amp;L'!M19</f>
        <v>6785.2758608928452</v>
      </c>
      <c r="N28" s="188">
        <f ca="1">'Group P&amp;L'!N19</f>
        <v>8924.429852262143</v>
      </c>
      <c r="O28" s="188">
        <f ca="1">'Group P&amp;L'!O19</f>
        <v>12754.464653054307</v>
      </c>
      <c r="P28" s="188">
        <f ca="1">'Group P&amp;L'!P19</f>
        <v>17027.024431935402</v>
      </c>
      <c r="Q28" s="188">
        <f ca="1">'Group P&amp;L'!Q19</f>
        <v>21050.887641541362</v>
      </c>
      <c r="R28" s="188">
        <f ca="1">'Group P&amp;L'!R19</f>
        <v>27787.882454160437</v>
      </c>
      <c r="S28" s="188">
        <f ca="1">'Group P&amp;L'!S19</f>
        <v>36500.790701012418</v>
      </c>
    </row>
    <row r="29" spans="1:19">
      <c r="A29" s="23" t="s">
        <v>1821</v>
      </c>
      <c r="B29" s="23"/>
      <c r="C29" s="23"/>
      <c r="D29" s="188">
        <f>'Group P&amp;L'!D20</f>
        <v>0</v>
      </c>
      <c r="E29" s="188">
        <f>'Group P&amp;L'!E20</f>
        <v>0</v>
      </c>
      <c r="F29" s="188">
        <f>'Group P&amp;L'!F20</f>
        <v>0</v>
      </c>
      <c r="G29" s="188">
        <f>'Group P&amp;L'!G20</f>
        <v>0</v>
      </c>
      <c r="H29" s="188">
        <f>'Group P&amp;L'!H20</f>
        <v>0</v>
      </c>
      <c r="I29" s="188">
        <f>'Group P&amp;L'!I20</f>
        <v>0</v>
      </c>
      <c r="J29" s="188">
        <f>'Group P&amp;L'!J20</f>
        <v>0</v>
      </c>
      <c r="K29" s="188">
        <f>'Group P&amp;L'!K20</f>
        <v>0</v>
      </c>
      <c r="L29" s="188">
        <f>'Group P&amp;L'!L20</f>
        <v>0</v>
      </c>
      <c r="M29" s="188">
        <f>'Group P&amp;L'!M20</f>
        <v>0</v>
      </c>
      <c r="N29" s="188">
        <f>'Group P&amp;L'!N20</f>
        <v>0</v>
      </c>
      <c r="O29" s="188">
        <f>'Group P&amp;L'!O20</f>
        <v>0</v>
      </c>
      <c r="P29" s="188">
        <f>'Group P&amp;L'!P20</f>
        <v>0</v>
      </c>
      <c r="Q29" s="188">
        <f>'Group P&amp;L'!Q20</f>
        <v>0</v>
      </c>
      <c r="R29" s="188">
        <f>'Group P&amp;L'!R20</f>
        <v>0</v>
      </c>
      <c r="S29" s="188">
        <f>'Group P&amp;L'!S20</f>
        <v>0</v>
      </c>
    </row>
    <row r="30" spans="1:19">
      <c r="A30" s="23" t="s">
        <v>1815</v>
      </c>
      <c r="B30" s="23"/>
      <c r="C30" s="23"/>
      <c r="D30" s="188">
        <f>'Group P&amp;L'!D21</f>
        <v>0</v>
      </c>
      <c r="E30" s="188">
        <f>'Group P&amp;L'!E21</f>
        <v>0</v>
      </c>
      <c r="F30" s="188">
        <f>'Group P&amp;L'!F21</f>
        <v>0</v>
      </c>
      <c r="G30" s="188">
        <f>'Group P&amp;L'!G21</f>
        <v>0</v>
      </c>
      <c r="H30" s="188">
        <f>'Group P&amp;L'!H21</f>
        <v>0</v>
      </c>
      <c r="I30" s="188">
        <f>'Group P&amp;L'!I21</f>
        <v>0</v>
      </c>
      <c r="J30" s="188">
        <f>'Group P&amp;L'!J21</f>
        <v>0</v>
      </c>
      <c r="K30" s="188">
        <f>'Group P&amp;L'!K21</f>
        <v>0</v>
      </c>
      <c r="L30" s="188">
        <f>'Group P&amp;L'!L21</f>
        <v>0</v>
      </c>
      <c r="M30" s="188">
        <f>'Group P&amp;L'!M21</f>
        <v>0</v>
      </c>
      <c r="N30" s="188">
        <f>'Group P&amp;L'!N21</f>
        <v>0</v>
      </c>
      <c r="O30" s="188">
        <f>'Group P&amp;L'!O21</f>
        <v>0</v>
      </c>
      <c r="P30" s="188">
        <f>'Group P&amp;L'!P21</f>
        <v>0</v>
      </c>
      <c r="Q30" s="188">
        <f>'Group P&amp;L'!Q21</f>
        <v>0</v>
      </c>
      <c r="R30" s="188">
        <f>'Group P&amp;L'!R21</f>
        <v>0</v>
      </c>
      <c r="S30" s="188">
        <f>'Group P&amp;L'!S21</f>
        <v>0</v>
      </c>
    </row>
    <row r="31" spans="1:19">
      <c r="A31" s="118" t="s">
        <v>1822</v>
      </c>
      <c r="B31" s="118"/>
      <c r="C31" s="118"/>
      <c r="D31" s="190">
        <f>'Group P&amp;L'!D22</f>
        <v>9451</v>
      </c>
      <c r="E31" s="190">
        <f ca="1">'Group P&amp;L'!E22</f>
        <v>6584.2400435452628</v>
      </c>
      <c r="F31" s="190">
        <f ca="1">'Group P&amp;L'!F22</f>
        <v>23918.443240220138</v>
      </c>
      <c r="G31" s="190">
        <f ca="1">'Group P&amp;L'!G22</f>
        <v>39525.355740700747</v>
      </c>
      <c r="H31" s="190">
        <f ca="1">'Group P&amp;L'!H22</f>
        <v>61770.243347682816</v>
      </c>
      <c r="I31" s="190">
        <f ca="1">'Group P&amp;L'!I22</f>
        <v>54774.913159858763</v>
      </c>
      <c r="J31" s="190">
        <f ca="1">'Group P&amp;L'!J22</f>
        <v>65577.654584354939</v>
      </c>
      <c r="K31" s="190">
        <f ca="1">'Group P&amp;L'!K22</f>
        <v>64894.542302599395</v>
      </c>
      <c r="L31" s="190">
        <f ca="1">'Group P&amp;L'!L22</f>
        <v>58117.828545578021</v>
      </c>
      <c r="M31" s="190">
        <f ca="1">'Group P&amp;L'!M22</f>
        <v>56889.177662761169</v>
      </c>
      <c r="N31" s="190">
        <f ca="1">'Group P&amp;L'!N22</f>
        <v>71160.233020437925</v>
      </c>
      <c r="O31" s="190">
        <f ca="1">'Group P&amp;L'!O22</f>
        <v>79888.12148442016</v>
      </c>
      <c r="P31" s="190">
        <f ca="1">'Group P&amp;L'!P22</f>
        <v>80422.105409269017</v>
      </c>
      <c r="Q31" s="190">
        <f ca="1">'Group P&amp;L'!Q22</f>
        <v>83931.245860276293</v>
      </c>
      <c r="R31" s="190">
        <f ca="1">'Group P&amp;L'!R22</f>
        <v>87121.626602727745</v>
      </c>
      <c r="S31" s="190">
        <f ca="1">'Group P&amp;L'!S22</f>
        <v>77784.522053002613</v>
      </c>
    </row>
    <row r="32" spans="1:19">
      <c r="A32" s="23"/>
      <c r="B32" s="23"/>
      <c r="C32" s="23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</row>
    <row r="33" spans="1:19">
      <c r="A33" s="13" t="s">
        <v>1823</v>
      </c>
      <c r="B33" s="13"/>
      <c r="C33" s="13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</row>
    <row r="34" spans="1:19">
      <c r="A34" s="202" t="s">
        <v>1824</v>
      </c>
      <c r="B34" s="202"/>
      <c r="C34" s="202"/>
      <c r="D34" s="203">
        <f>'Group P&amp;L'!D25</f>
        <v>5466</v>
      </c>
      <c r="E34" s="203">
        <f ca="1">'Group P&amp;L'!E25</f>
        <v>9828.6275181903875</v>
      </c>
      <c r="F34" s="203">
        <f ca="1">'Group P&amp;L'!F25</f>
        <v>36030.044373365236</v>
      </c>
      <c r="G34" s="203">
        <f ca="1">'Group P&amp;L'!G25</f>
        <v>75034.421792585403</v>
      </c>
      <c r="H34" s="203">
        <f ca="1">'Group P&amp;L'!H25</f>
        <v>134845.80624263518</v>
      </c>
      <c r="I34" s="203">
        <f ca="1">'Group P&amp;L'!I25</f>
        <v>192645.78856133655</v>
      </c>
      <c r="J34" s="203">
        <f ca="1">'Group P&amp;L'!J25</f>
        <v>230896.07186708</v>
      </c>
      <c r="K34" s="203">
        <f ca="1">'Group P&amp;L'!K25</f>
        <v>256111.09101901407</v>
      </c>
      <c r="L34" s="203">
        <f ca="1">'Group P&amp;L'!L25</f>
        <v>263229.40523698594</v>
      </c>
      <c r="M34" s="203">
        <f ca="1">'Group P&amp;L'!M25</f>
        <v>269557.25525011314</v>
      </c>
      <c r="N34" s="203">
        <f ca="1">'Group P&amp;L'!N25</f>
        <v>287898.14293574612</v>
      </c>
      <c r="O34" s="203">
        <f ca="1">'Group P&amp;L'!O25</f>
        <v>308344.8276287319</v>
      </c>
      <c r="P34" s="203">
        <f ca="1">'Group P&amp;L'!P25</f>
        <v>326248.80056336458</v>
      </c>
      <c r="Q34" s="203">
        <f ca="1">'Group P&amp;L'!Q25</f>
        <v>340799.87519644055</v>
      </c>
      <c r="R34" s="203">
        <f ca="1">'Group P&amp;L'!R25</f>
        <v>350144.78251013573</v>
      </c>
      <c r="S34" s="203">
        <f ca="1">'Group P&amp;L'!S25</f>
        <v>354939.93366282794</v>
      </c>
    </row>
    <row r="35" spans="1:19">
      <c r="A35" s="23" t="s">
        <v>1825</v>
      </c>
      <c r="B35" s="23"/>
      <c r="C35" s="23"/>
      <c r="D35" s="188">
        <f>'Group P&amp;L'!D26</f>
        <v>2734</v>
      </c>
      <c r="E35" s="188">
        <f ca="1">'Group P&amp;L'!E26</f>
        <v>4314.8909999999996</v>
      </c>
      <c r="F35" s="188">
        <f ca="1">'Group P&amp;L'!F26</f>
        <v>8317.7097587778044</v>
      </c>
      <c r="G35" s="188">
        <f ca="1">'Group P&amp;L'!G26</f>
        <v>9038.3634688857819</v>
      </c>
      <c r="H35" s="188">
        <f ca="1">'Group P&amp;L'!H26</f>
        <v>9946.2042776037924</v>
      </c>
      <c r="I35" s="188">
        <f ca="1">'Group P&amp;L'!I26</f>
        <v>10922.062198218755</v>
      </c>
      <c r="J35" s="188">
        <f ca="1">'Group P&amp;L'!J26</f>
        <v>10910.234308129686</v>
      </c>
      <c r="K35" s="188">
        <f ca="1">'Group P&amp;L'!K26</f>
        <v>13938.318812392334</v>
      </c>
      <c r="L35" s="188">
        <f ca="1">'Group P&amp;L'!L26</f>
        <v>13329.735688392326</v>
      </c>
      <c r="M35" s="188">
        <f ca="1">'Group P&amp;L'!M26</f>
        <v>12491.568499919771</v>
      </c>
      <c r="N35" s="188">
        <f ca="1">'Group P&amp;L'!N26</f>
        <v>11582.146442973424</v>
      </c>
      <c r="O35" s="188">
        <f ca="1">'Group P&amp;L'!O26</f>
        <v>10639.902404302875</v>
      </c>
      <c r="P35" s="188">
        <f ca="1">'Group P&amp;L'!P26</f>
        <v>9664.3994734832468</v>
      </c>
      <c r="Q35" s="188">
        <f ca="1">'Group P&amp;L'!Q26</f>
        <v>8647.3471663951696</v>
      </c>
      <c r="R35" s="188">
        <f ca="1">'Group P&amp;L'!R26</f>
        <v>7580.3600243807832</v>
      </c>
      <c r="S35" s="188">
        <f ca="1">'Group P&amp;L'!S26</f>
        <v>3122.3228423473843</v>
      </c>
    </row>
    <row r="36" spans="1:19">
      <c r="A36" s="23" t="s">
        <v>1826</v>
      </c>
      <c r="B36" s="23"/>
      <c r="C36" s="23"/>
      <c r="D36" s="188">
        <f>'Group P&amp;L'!D27</f>
        <v>1023</v>
      </c>
      <c r="E36" s="188">
        <f ca="1">'Group P&amp;L'!E27</f>
        <v>1748.6741609159228</v>
      </c>
      <c r="F36" s="188">
        <f ca="1">'Group P&amp;L'!F27</f>
        <v>6236.1643924759792</v>
      </c>
      <c r="G36" s="188">
        <f ca="1">'Group P&amp;L'!G27</f>
        <v>8255.0138013003998</v>
      </c>
      <c r="H36" s="188">
        <f ca="1">'Group P&amp;L'!H27</f>
        <v>16790.682957266417</v>
      </c>
      <c r="I36" s="188">
        <f ca="1">'Group P&amp;L'!I27</f>
        <v>45067.875384859835</v>
      </c>
      <c r="J36" s="188">
        <f ca="1">'Group P&amp;L'!J27</f>
        <v>100379.19861076432</v>
      </c>
      <c r="K36" s="188">
        <f ca="1">'Group P&amp;L'!K27</f>
        <v>154133.39359955792</v>
      </c>
      <c r="L36" s="188">
        <f ca="1">'Group P&amp;L'!L27</f>
        <v>178936.43730311311</v>
      </c>
      <c r="M36" s="188">
        <f ca="1">'Group P&amp;L'!M27</f>
        <v>223294.25940531463</v>
      </c>
      <c r="N36" s="188">
        <f ca="1">'Group P&amp;L'!N27</f>
        <v>300236.27231083071</v>
      </c>
      <c r="O36" s="188">
        <f ca="1">'Group P&amp;L'!O27</f>
        <v>435665.30211757618</v>
      </c>
      <c r="P36" s="188">
        <f ca="1">'Group P&amp;L'!P27</f>
        <v>599218.56004405429</v>
      </c>
      <c r="Q36" s="188">
        <f ca="1">'Group P&amp;L'!Q27</f>
        <v>766554.2166573368</v>
      </c>
      <c r="R36" s="188">
        <f ca="1">'Group P&amp;L'!R27</f>
        <v>1012728.4032268465</v>
      </c>
      <c r="S36" s="188">
        <f ca="1">'Group P&amp;L'!S27</f>
        <v>1345789.2083564531</v>
      </c>
    </row>
    <row r="37" spans="1:19">
      <c r="A37" s="23" t="s">
        <v>1827</v>
      </c>
      <c r="B37" s="23"/>
      <c r="C37" s="23"/>
      <c r="D37" s="188">
        <f>'Group P&amp;L'!D28</f>
        <v>0</v>
      </c>
      <c r="E37" s="188">
        <f>'Group P&amp;L'!E28</f>
        <v>0</v>
      </c>
      <c r="F37" s="188">
        <f>'Group P&amp;L'!F28</f>
        <v>0</v>
      </c>
      <c r="G37" s="188">
        <f>'Group P&amp;L'!G28</f>
        <v>0</v>
      </c>
      <c r="H37" s="188">
        <f>'Group P&amp;L'!H28</f>
        <v>0</v>
      </c>
      <c r="I37" s="188">
        <f>'Group P&amp;L'!I28</f>
        <v>0</v>
      </c>
      <c r="J37" s="188">
        <f>'Group P&amp;L'!J28</f>
        <v>0</v>
      </c>
      <c r="K37" s="188">
        <f>'Group P&amp;L'!K28</f>
        <v>0</v>
      </c>
      <c r="L37" s="188">
        <f>'Group P&amp;L'!L28</f>
        <v>0</v>
      </c>
      <c r="M37" s="188">
        <f>'Group P&amp;L'!M28</f>
        <v>0</v>
      </c>
      <c r="N37" s="188">
        <f>'Group P&amp;L'!N28</f>
        <v>0</v>
      </c>
      <c r="O37" s="188">
        <f>'Group P&amp;L'!O28</f>
        <v>0</v>
      </c>
      <c r="P37" s="188">
        <f>'Group P&amp;L'!P28</f>
        <v>0</v>
      </c>
      <c r="Q37" s="188">
        <f>'Group P&amp;L'!Q28</f>
        <v>0</v>
      </c>
      <c r="R37" s="188">
        <f>'Group P&amp;L'!R28</f>
        <v>0</v>
      </c>
      <c r="S37" s="188">
        <f>'Group P&amp;L'!S28</f>
        <v>0</v>
      </c>
    </row>
    <row r="38" spans="1:19">
      <c r="A38" s="118" t="s">
        <v>1828</v>
      </c>
      <c r="B38" s="118"/>
      <c r="C38" s="118"/>
      <c r="D38" s="190">
        <f>'Group P&amp;L'!D29</f>
        <v>9223</v>
      </c>
      <c r="E38" s="190">
        <f ca="1">'Group P&amp;L'!E29</f>
        <v>15892.192679106312</v>
      </c>
      <c r="F38" s="190">
        <f ca="1">'Group P&amp;L'!F29</f>
        <v>50583.918524619017</v>
      </c>
      <c r="G38" s="190">
        <f ca="1">'Group P&amp;L'!G29</f>
        <v>92327.799062771592</v>
      </c>
      <c r="H38" s="190">
        <f ca="1">'Group P&amp;L'!H29</f>
        <v>161582.69347750538</v>
      </c>
      <c r="I38" s="190">
        <f ca="1">'Group P&amp;L'!I29</f>
        <v>248635.72614441512</v>
      </c>
      <c r="J38" s="190">
        <f ca="1">'Group P&amp;L'!J29</f>
        <v>342185.50478597399</v>
      </c>
      <c r="K38" s="190">
        <f ca="1">'Group P&amp;L'!K29</f>
        <v>424182.80343096436</v>
      </c>
      <c r="L38" s="190">
        <f ca="1">'Group P&amp;L'!L29</f>
        <v>455495.57822849142</v>
      </c>
      <c r="M38" s="190">
        <f ca="1">'Group P&amp;L'!M29</f>
        <v>505343.0831553475</v>
      </c>
      <c r="N38" s="190">
        <f ca="1">'Group P&amp;L'!N29</f>
        <v>599716.56168955029</v>
      </c>
      <c r="O38" s="190">
        <f ca="1">'Group P&amp;L'!O29</f>
        <v>754650.03215061093</v>
      </c>
      <c r="P38" s="190">
        <f ca="1">'Group P&amp;L'!P29</f>
        <v>935131.76008090214</v>
      </c>
      <c r="Q38" s="190">
        <f ca="1">'Group P&amp;L'!Q29</f>
        <v>1116001.4390201725</v>
      </c>
      <c r="R38" s="190">
        <f ca="1">'Group P&amp;L'!R29</f>
        <v>1370453.5457613631</v>
      </c>
      <c r="S38" s="190">
        <f ca="1">'Group P&amp;L'!S29</f>
        <v>1703851.4648616284</v>
      </c>
    </row>
    <row r="39" spans="1:19">
      <c r="A39" s="23"/>
      <c r="B39" s="23"/>
      <c r="C39" s="23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</row>
    <row r="40" spans="1:19">
      <c r="A40" s="13" t="s">
        <v>1829</v>
      </c>
      <c r="B40" s="13"/>
      <c r="C40" s="13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</row>
    <row r="41" spans="1:19">
      <c r="A41" s="23" t="s">
        <v>1830</v>
      </c>
      <c r="B41" s="23"/>
      <c r="C41" s="23"/>
      <c r="D41" s="188">
        <f>'Group P&amp;L'!D32</f>
        <v>468</v>
      </c>
      <c r="E41" s="188">
        <f ca="1">'Group P&amp;L'!E32</f>
        <v>1842.8687270241674</v>
      </c>
      <c r="F41" s="188">
        <f ca="1">'Group P&amp;L'!F32</f>
        <v>6654.2038028230272</v>
      </c>
      <c r="G41" s="188">
        <f ca="1">'Group P&amp;L'!G32</f>
        <v>12568.269910771683</v>
      </c>
      <c r="H41" s="188">
        <f ca="1">'Group P&amp;L'!H32</f>
        <v>20911.43128917893</v>
      </c>
      <c r="I41" s="188">
        <f ca="1">'Group P&amp;L'!I32</f>
        <v>25500.120484544892</v>
      </c>
      <c r="J41" s="188">
        <f ca="1">'Group P&amp;L'!J32</f>
        <v>30164.170272154464</v>
      </c>
      <c r="K41" s="188">
        <f ca="1">'Group P&amp;L'!K32</f>
        <v>32330.977098877178</v>
      </c>
      <c r="L41" s="188">
        <f ca="1">'Group P&amp;L'!L32</f>
        <v>32355.10238173863</v>
      </c>
      <c r="M41" s="188">
        <f ca="1">'Group P&amp;L'!M32</f>
        <v>32744.062934569622</v>
      </c>
      <c r="N41" s="188">
        <f ca="1">'Group P&amp;L'!N32</f>
        <v>35785.778953160283</v>
      </c>
      <c r="O41" s="188">
        <f ca="1">'Group P&amp;L'!O32</f>
        <v>38391.161083462277</v>
      </c>
      <c r="P41" s="188">
        <f ca="1">'Group P&amp;L'!P32</f>
        <v>39882.633455501957</v>
      </c>
      <c r="Q41" s="188">
        <f ca="1">'Group P&amp;L'!Q32</f>
        <v>41308.109023677491</v>
      </c>
      <c r="R41" s="188">
        <f ca="1">'Group P&amp;L'!R32</f>
        <v>41886.275300988884</v>
      </c>
      <c r="S41" s="188">
        <f ca="1">'Group P&amp;L'!S32</f>
        <v>42139.058561740363</v>
      </c>
    </row>
    <row r="42" spans="1:19">
      <c r="A42" s="23" t="s">
        <v>1831</v>
      </c>
      <c r="B42" s="23"/>
      <c r="C42" s="23"/>
      <c r="D42" s="188">
        <f>'Group P&amp;L'!D33</f>
        <v>349</v>
      </c>
      <c r="E42" s="188">
        <f ca="1">'Group P&amp;L'!E33</f>
        <v>526.03949999999998</v>
      </c>
      <c r="F42" s="188">
        <f ca="1">'Group P&amp;L'!F33</f>
        <v>1074.0245549221333</v>
      </c>
      <c r="G42" s="188">
        <f ca="1">'Group P&amp;L'!G33</f>
        <v>1169.7087003610181</v>
      </c>
      <c r="H42" s="188">
        <f ca="1">'Group P&amp;L'!H33</f>
        <v>1290.9991166029704</v>
      </c>
      <c r="I42" s="188">
        <f ca="1">'Group P&amp;L'!I33</f>
        <v>1421.4707385468757</v>
      </c>
      <c r="J42" s="188">
        <f ca="1">'Group P&amp;L'!J33</f>
        <v>1415.6872754742187</v>
      </c>
      <c r="K42" s="188">
        <f ca="1">'Group P&amp;L'!K33</f>
        <v>2012.4076620371895</v>
      </c>
      <c r="L42" s="188">
        <f ca="1">'Group P&amp;L'!L33</f>
        <v>2038.7131077168776</v>
      </c>
      <c r="M42" s="188">
        <f ca="1">'Group P&amp;L'!M33</f>
        <v>2034.5751823674759</v>
      </c>
      <c r="N42" s="188">
        <f ca="1">'Group P&amp;L'!N33</f>
        <v>2021.4888332178914</v>
      </c>
      <c r="O42" s="188">
        <f ca="1">'Group P&amp;L'!O33</f>
        <v>2007.3115710525162</v>
      </c>
      <c r="P42" s="188">
        <f ca="1">'Group P&amp;L'!P33</f>
        <v>1994.2168462405548</v>
      </c>
      <c r="Q42" s="188">
        <f ca="1">'Group P&amp;L'!Q33</f>
        <v>1982.6328244980828</v>
      </c>
      <c r="R42" s="188">
        <f ca="1">'Group P&amp;L'!R33</f>
        <v>1972.5630026522622</v>
      </c>
      <c r="S42" s="188">
        <f ca="1">'Group P&amp;L'!S33</f>
        <v>294.77843182744914</v>
      </c>
    </row>
    <row r="43" spans="1:19">
      <c r="A43" s="23" t="s">
        <v>1832</v>
      </c>
      <c r="B43" s="23"/>
      <c r="C43" s="23"/>
      <c r="D43" s="188">
        <f>'Group P&amp;L'!D34</f>
        <v>1827</v>
      </c>
      <c r="E43" s="188">
        <f ca="1">'Group P&amp;L'!E34</f>
        <v>97.349721735748318</v>
      </c>
      <c r="F43" s="188">
        <f ca="1">'Group P&amp;L'!F34</f>
        <v>297.77810519323981</v>
      </c>
      <c r="G43" s="188">
        <f ca="1">'Group P&amp;L'!G34</f>
        <v>406.20422213555281</v>
      </c>
      <c r="H43" s="188">
        <f ca="1">'Group P&amp;L'!H34</f>
        <v>794.91332820207549</v>
      </c>
      <c r="I43" s="188">
        <f ca="1">'Group P&amp;L'!I34</f>
        <v>2014.7748729178302</v>
      </c>
      <c r="J43" s="188">
        <f ca="1">'Group P&amp;L'!J34</f>
        <v>4369.9735274059431</v>
      </c>
      <c r="K43" s="188">
        <f ca="1">'Group P&amp;L'!K34</f>
        <v>6665.6365863127403</v>
      </c>
      <c r="L43" s="188">
        <f ca="1">'Group P&amp;L'!L34</f>
        <v>7803.1502563210579</v>
      </c>
      <c r="M43" s="188">
        <f ca="1">'Group P&amp;L'!M34</f>
        <v>9859.8742184976581</v>
      </c>
      <c r="N43" s="188">
        <f ca="1">'Group P&amp;L'!N34</f>
        <v>13421.141322094414</v>
      </c>
      <c r="O43" s="188">
        <f ca="1">'Group P&amp;L'!O34</f>
        <v>19707.67884732506</v>
      </c>
      <c r="P43" s="188">
        <f ca="1">'Group P&amp;L'!P34</f>
        <v>27557.816680546592</v>
      </c>
      <c r="Q43" s="188">
        <f ca="1">'Group P&amp;L'!Q34</f>
        <v>36156.905183952811</v>
      </c>
      <c r="R43" s="188">
        <f ca="1">'Group P&amp;L'!R34</f>
        <v>49239.752069701404</v>
      </c>
      <c r="S43" s="188">
        <f ca="1">'Group P&amp;L'!S34</f>
        <v>68159.791778393454</v>
      </c>
    </row>
    <row r="44" spans="1:19">
      <c r="A44" s="23" t="s">
        <v>1833</v>
      </c>
      <c r="B44" s="23"/>
      <c r="C44" s="23"/>
      <c r="D44" s="188">
        <f>'Group P&amp;L'!D35</f>
        <v>0</v>
      </c>
      <c r="E44" s="188">
        <f>'Group P&amp;L'!E35</f>
        <v>0</v>
      </c>
      <c r="F44" s="188">
        <f>'Group P&amp;L'!F35</f>
        <v>0</v>
      </c>
      <c r="G44" s="188">
        <f>'Group P&amp;L'!G35</f>
        <v>0</v>
      </c>
      <c r="H44" s="188">
        <f>'Group P&amp;L'!H35</f>
        <v>0</v>
      </c>
      <c r="I44" s="188">
        <f ca="1">'Group P&amp;L'!I35</f>
        <v>716.6021898149354</v>
      </c>
      <c r="J44" s="188">
        <f ca="1">'Group P&amp;L'!J35</f>
        <v>584.95865429953221</v>
      </c>
      <c r="K44" s="188">
        <f ca="1">'Group P&amp;L'!K35</f>
        <v>1167.0247254934156</v>
      </c>
      <c r="L44" s="188">
        <f ca="1">'Group P&amp;L'!L35</f>
        <v>458.40823846093434</v>
      </c>
      <c r="M44" s="188">
        <f ca="1">'Group P&amp;L'!M35</f>
        <v>1275.6440181366781</v>
      </c>
      <c r="N44" s="188">
        <f ca="1">'Group P&amp;L'!N35</f>
        <v>994.86943303270016</v>
      </c>
      <c r="O44" s="188">
        <f ca="1">'Group P&amp;L'!O35</f>
        <v>1159.7495572171092</v>
      </c>
      <c r="P44" s="188">
        <f ca="1">'Group P&amp;L'!P35</f>
        <v>1161.2265361611608</v>
      </c>
      <c r="Q44" s="188">
        <f ca="1">'Group P&amp;L'!Q35</f>
        <v>2427.8050765938779</v>
      </c>
      <c r="R44" s="188">
        <f ca="1">'Group P&amp;L'!R35</f>
        <v>3569.4156576483756</v>
      </c>
      <c r="S44" s="188">
        <f ca="1">'Group P&amp;L'!S35</f>
        <v>4716.6299517088019</v>
      </c>
    </row>
    <row r="45" spans="1:19">
      <c r="A45" s="118" t="s">
        <v>1834</v>
      </c>
      <c r="B45" s="118"/>
      <c r="C45" s="118"/>
      <c r="D45" s="190">
        <f>'Group P&amp;L'!D36</f>
        <v>2644</v>
      </c>
      <c r="E45" s="190">
        <f ca="1">'Group P&amp;L'!E36</f>
        <v>2466.257948759916</v>
      </c>
      <c r="F45" s="190">
        <f ca="1">'Group P&amp;L'!F36</f>
        <v>8026.0064629384005</v>
      </c>
      <c r="G45" s="190">
        <f ca="1">'Group P&amp;L'!G36</f>
        <v>14144.182833268254</v>
      </c>
      <c r="H45" s="190">
        <f ca="1">'Group P&amp;L'!H36</f>
        <v>22997.343733983977</v>
      </c>
      <c r="I45" s="190">
        <f ca="1">'Group P&amp;L'!I36</f>
        <v>29652.968285824532</v>
      </c>
      <c r="J45" s="190">
        <f ca="1">'Group P&amp;L'!J36</f>
        <v>36534.789729334159</v>
      </c>
      <c r="K45" s="190">
        <f ca="1">'Group P&amp;L'!K36</f>
        <v>42176.046072720528</v>
      </c>
      <c r="L45" s="190">
        <f ca="1">'Group P&amp;L'!L36</f>
        <v>42655.3739842375</v>
      </c>
      <c r="M45" s="190">
        <f ca="1">'Group P&amp;L'!M36</f>
        <v>45914.15635357143</v>
      </c>
      <c r="N45" s="190">
        <f ca="1">'Group P&amp;L'!N36</f>
        <v>52223.278541505286</v>
      </c>
      <c r="O45" s="190">
        <f ca="1">'Group P&amp;L'!O36</f>
        <v>61265.90105905696</v>
      </c>
      <c r="P45" s="190">
        <f ca="1">'Group P&amp;L'!P36</f>
        <v>70595.893518450262</v>
      </c>
      <c r="Q45" s="190">
        <f ca="1">'Group P&amp;L'!Q36</f>
        <v>81875.452108722267</v>
      </c>
      <c r="R45" s="190">
        <f ca="1">'Group P&amp;L'!R36</f>
        <v>96668.006030990931</v>
      </c>
      <c r="S45" s="190">
        <f ca="1">'Group P&amp;L'!S36</f>
        <v>115310.25872367006</v>
      </c>
    </row>
    <row r="46" spans="1:19">
      <c r="A46" s="23"/>
      <c r="B46" s="23"/>
      <c r="C46" s="23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</row>
    <row r="47" spans="1:19">
      <c r="A47" s="13" t="s">
        <v>1835</v>
      </c>
      <c r="B47" s="13"/>
      <c r="C47" s="13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</row>
    <row r="48" spans="1:19">
      <c r="A48" s="23" t="s">
        <v>1940</v>
      </c>
      <c r="B48" s="23"/>
      <c r="C48" s="23"/>
      <c r="D48" s="188">
        <f>'Group P&amp;L'!D39</f>
        <v>575</v>
      </c>
      <c r="E48" s="188">
        <f ca="1">'Group P&amp;L'!E39</f>
        <v>690.46256736690339</v>
      </c>
      <c r="F48" s="188">
        <f ca="1">'Group P&amp;L'!F39</f>
        <v>2375.6859582129828</v>
      </c>
      <c r="G48" s="188">
        <f ca="1">'Group P&amp;L'!G39</f>
        <v>4223.9311514055817</v>
      </c>
      <c r="H48" s="188">
        <f ca="1">'Group P&amp;L'!H39</f>
        <v>6620.9563433893491</v>
      </c>
      <c r="I48" s="188">
        <f ca="1">'Group P&amp;L'!I39</f>
        <v>7495.7510493410045</v>
      </c>
      <c r="J48" s="188">
        <f ca="1">'Group P&amp;L'!J39</f>
        <v>8602.6271641345065</v>
      </c>
      <c r="K48" s="188">
        <f ca="1">'Group P&amp;L'!K39</f>
        <v>9175.8685645162714</v>
      </c>
      <c r="L48" s="188">
        <f ca="1">'Group P&amp;L'!L39</f>
        <v>9155.6954498024752</v>
      </c>
      <c r="M48" s="188">
        <f ca="1">'Group P&amp;L'!M39</f>
        <v>9246.4964080743976</v>
      </c>
      <c r="N48" s="188">
        <f ca="1">'Group P&amp;L'!N39</f>
        <v>10138.01612938878</v>
      </c>
      <c r="O48" s="188">
        <f ca="1">'Group P&amp;L'!O39</f>
        <v>10875.088698501719</v>
      </c>
      <c r="P48" s="188">
        <f ca="1">'Group P&amp;L'!P39</f>
        <v>11275.407190575836</v>
      </c>
      <c r="Q48" s="188">
        <f ca="1">'Group P&amp;L'!Q39</f>
        <v>11670.074655859562</v>
      </c>
      <c r="R48" s="188">
        <f ca="1">'Group P&amp;L'!R39</f>
        <v>11815.567893674068</v>
      </c>
      <c r="S48" s="188">
        <f ca="1">'Group P&amp;L'!S39</f>
        <v>11876.340189187631</v>
      </c>
    </row>
    <row r="49" spans="1:19">
      <c r="A49" s="23" t="s">
        <v>1941</v>
      </c>
      <c r="B49" s="23"/>
      <c r="C49" s="23"/>
      <c r="D49" s="188">
        <f>'Group P&amp;L'!D40</f>
        <v>3004</v>
      </c>
      <c r="E49" s="188">
        <f ca="1">'Group P&amp;L'!E40</f>
        <v>309.435</v>
      </c>
      <c r="F49" s="188">
        <f ca="1">'Group P&amp;L'!F40</f>
        <v>631.7791499541961</v>
      </c>
      <c r="G49" s="188">
        <f ca="1">'Group P&amp;L'!G40</f>
        <v>688.06394138883422</v>
      </c>
      <c r="H49" s="188">
        <f ca="1">'Group P&amp;L'!H40</f>
        <v>759.41124506057076</v>
      </c>
      <c r="I49" s="188">
        <f ca="1">'Group P&amp;L'!I40</f>
        <v>836.15925796875035</v>
      </c>
      <c r="J49" s="188">
        <f ca="1">'Group P&amp;L'!J40</f>
        <v>832.75722086718747</v>
      </c>
      <c r="K49" s="188">
        <f ca="1">'Group P&amp;L'!K40</f>
        <v>1183.7692129630527</v>
      </c>
      <c r="L49" s="188">
        <f ca="1">'Group P&amp;L'!L40</f>
        <v>1199.2430045393398</v>
      </c>
      <c r="M49" s="188">
        <f ca="1">'Group P&amp;L'!M40</f>
        <v>1196.8089308043975</v>
      </c>
      <c r="N49" s="188">
        <f ca="1">'Group P&amp;L'!N40</f>
        <v>1189.1110783634656</v>
      </c>
      <c r="O49" s="188">
        <f ca="1">'Group P&amp;L'!O40</f>
        <v>1180.7715123838332</v>
      </c>
      <c r="P49" s="188">
        <f ca="1">'Group P&amp;L'!P40</f>
        <v>1173.0687330826793</v>
      </c>
      <c r="Q49" s="188">
        <f ca="1">'Group P&amp;L'!Q40</f>
        <v>1166.2546026459311</v>
      </c>
      <c r="R49" s="188">
        <f ca="1">'Group P&amp;L'!R40</f>
        <v>1160.3311780307424</v>
      </c>
      <c r="S49" s="188">
        <f ca="1">'Group P&amp;L'!S40</f>
        <v>173.3990775455583</v>
      </c>
    </row>
    <row r="50" spans="1:19">
      <c r="A50" s="23" t="s">
        <v>1838</v>
      </c>
      <c r="B50" s="23"/>
      <c r="C50" s="23"/>
      <c r="D50" s="188">
        <f>'Group P&amp;L'!D41</f>
        <v>5064</v>
      </c>
      <c r="E50" s="188">
        <f ca="1">'Group P&amp;L'!E41</f>
        <v>2721.9356819361115</v>
      </c>
      <c r="F50" s="188">
        <f ca="1">'Group P&amp;L'!F41</f>
        <v>4283.5269583652571</v>
      </c>
      <c r="G50" s="188">
        <f ca="1">'Group P&amp;L'!G41</f>
        <v>2181.6883585515557</v>
      </c>
      <c r="H50" s="188">
        <f ca="1">'Group P&amp;L'!H41</f>
        <v>4039.1584850364038</v>
      </c>
      <c r="I50" s="188">
        <f ca="1">'Group P&amp;L'!I41</f>
        <v>9419.6372674902159</v>
      </c>
      <c r="J50" s="188">
        <f ca="1">'Group P&amp;L'!J41</f>
        <v>17642.417538937185</v>
      </c>
      <c r="K50" s="188">
        <f ca="1">'Group P&amp;L'!K41</f>
        <v>22653.193640072557</v>
      </c>
      <c r="L50" s="188">
        <f ca="1">'Group P&amp;L'!L41</f>
        <v>21341.346830397546</v>
      </c>
      <c r="M50" s="188">
        <f ca="1">'Group P&amp;L'!M41</f>
        <v>25949.685004685733</v>
      </c>
      <c r="N50" s="188">
        <f ca="1">'Group P&amp;L'!N41</f>
        <v>34604.464659031029</v>
      </c>
      <c r="O50" s="188">
        <f ca="1">'Group P&amp;L'!O41</f>
        <v>50079.146422718324</v>
      </c>
      <c r="P50" s="188">
        <f ca="1">'Group P&amp;L'!P41</f>
        <v>67762.947630385068</v>
      </c>
      <c r="Q50" s="188">
        <f ca="1">'Group P&amp;L'!Q41</f>
        <v>84521.859601312841</v>
      </c>
      <c r="R50" s="188">
        <f ca="1">'Group P&amp;L'!R41</f>
        <v>110007.23325464348</v>
      </c>
      <c r="S50" s="188">
        <f ca="1">'Group P&amp;L'!S41</f>
        <v>143233.42399738322</v>
      </c>
    </row>
    <row r="51" spans="1:19">
      <c r="A51" s="23" t="s">
        <v>1839</v>
      </c>
      <c r="B51" s="23"/>
      <c r="C51" s="23"/>
      <c r="D51" s="188">
        <f>'Group P&amp;L'!D42</f>
        <v>750</v>
      </c>
      <c r="E51" s="188">
        <f>'Group P&amp;L'!E42</f>
        <v>750</v>
      </c>
      <c r="F51" s="188">
        <f>'Group P&amp;L'!F42</f>
        <v>750</v>
      </c>
      <c r="G51" s="188">
        <f>'Group P&amp;L'!G42</f>
        <v>750</v>
      </c>
      <c r="H51" s="188">
        <f>'Group P&amp;L'!H42</f>
        <v>750</v>
      </c>
      <c r="I51" s="188">
        <f>'Group P&amp;L'!I42</f>
        <v>0</v>
      </c>
      <c r="J51" s="188">
        <f>'Group P&amp;L'!J42</f>
        <v>0</v>
      </c>
      <c r="K51" s="188">
        <f>'Group P&amp;L'!K42</f>
        <v>0</v>
      </c>
      <c r="L51" s="188">
        <f>'Group P&amp;L'!L42</f>
        <v>0</v>
      </c>
      <c r="M51" s="188">
        <f>'Group P&amp;L'!M42</f>
        <v>0</v>
      </c>
      <c r="N51" s="188">
        <f>'Group P&amp;L'!N42</f>
        <v>0</v>
      </c>
      <c r="O51" s="188">
        <f>'Group P&amp;L'!O42</f>
        <v>0</v>
      </c>
      <c r="P51" s="188">
        <f>'Group P&amp;L'!P42</f>
        <v>0</v>
      </c>
      <c r="Q51" s="188">
        <f>'Group P&amp;L'!Q42</f>
        <v>0</v>
      </c>
      <c r="R51" s="188">
        <f>'Group P&amp;L'!R42</f>
        <v>0</v>
      </c>
      <c r="S51" s="188">
        <f>'Group P&amp;L'!S42</f>
        <v>0</v>
      </c>
    </row>
    <row r="52" spans="1:19">
      <c r="A52" s="23" t="s">
        <v>1942</v>
      </c>
      <c r="B52" s="23"/>
      <c r="C52" s="23"/>
      <c r="D52" s="188">
        <f>'Group P&amp;L'!D43</f>
        <v>0</v>
      </c>
      <c r="E52" s="188">
        <f ca="1">'Group P&amp;L'!E43</f>
        <v>3300.5650000000001</v>
      </c>
      <c r="F52" s="188">
        <f ca="1">'Group P&amp;L'!F43</f>
        <v>3289.2208500458037</v>
      </c>
      <c r="G52" s="188">
        <f ca="1">'Group P&amp;L'!G43</f>
        <v>2945.0360586111656</v>
      </c>
      <c r="H52" s="188">
        <f ca="1">'Group P&amp;L'!H43</f>
        <v>2386.9987549394291</v>
      </c>
      <c r="I52" s="188">
        <f ca="1">'Group P&amp;L'!I43</f>
        <v>1824.8917420312496</v>
      </c>
      <c r="J52" s="188">
        <f ca="1">'Group P&amp;L'!J43</f>
        <v>1544.3988791328127</v>
      </c>
      <c r="K52" s="188">
        <f ca="1">'Group P&amp;L'!K43</f>
        <v>911.10249703694763</v>
      </c>
      <c r="L52" s="188">
        <f ca="1">'Group P&amp;L'!L43</f>
        <v>715.11587646066027</v>
      </c>
      <c r="M52" s="188">
        <f ca="1">'Group P&amp;L'!M43</f>
        <v>538.98583829560266</v>
      </c>
      <c r="N52" s="188">
        <f ca="1">'Group P&amp;L'!N43</f>
        <v>370.26316764653461</v>
      </c>
      <c r="O52" s="188">
        <f ca="1">'Group P&amp;L'!O43</f>
        <v>304.54015822716701</v>
      </c>
      <c r="P52" s="188">
        <f ca="1">'Group P&amp;L'!P43</f>
        <v>240.77410458942109</v>
      </c>
      <c r="Q52" s="188">
        <f ca="1">'Group P&amp;L'!Q43</f>
        <v>178.97251879337932</v>
      </c>
      <c r="R52" s="188">
        <f ca="1">'Group P&amp;L'!R43</f>
        <v>169.4186555524991</v>
      </c>
      <c r="S52" s="188">
        <f ca="1">'Group P&amp;L'!S43</f>
        <v>1144.3257393960073</v>
      </c>
    </row>
    <row r="53" spans="1:19">
      <c r="A53" s="118" t="s">
        <v>1841</v>
      </c>
      <c r="B53" s="118"/>
      <c r="C53" s="118"/>
      <c r="D53" s="190">
        <f>'Group P&amp;L'!D44</f>
        <v>8643</v>
      </c>
      <c r="E53" s="190">
        <f ca="1">'Group P&amp;L'!E44</f>
        <v>7081.935681936111</v>
      </c>
      <c r="F53" s="190">
        <f ca="1">'Group P&amp;L'!F44</f>
        <v>8954.5269583652571</v>
      </c>
      <c r="G53" s="190">
        <f ca="1">'Group P&amp;L'!G44</f>
        <v>6564.7883585515556</v>
      </c>
      <c r="H53" s="190">
        <f ca="1">'Group P&amp;L'!H44</f>
        <v>7935.5684850364041</v>
      </c>
      <c r="I53" s="190">
        <f ca="1">'Group P&amp;L'!I44</f>
        <v>12080.688267490215</v>
      </c>
      <c r="J53" s="190">
        <f ca="1">'Group P&amp;L'!J44</f>
        <v>20019.573638937185</v>
      </c>
      <c r="K53" s="190">
        <f ca="1">'Group P&amp;L'!K44</f>
        <v>24748.065350072557</v>
      </c>
      <c r="L53" s="190">
        <f ca="1">'Group P&amp;L'!L44</f>
        <v>23255.705711397546</v>
      </c>
      <c r="M53" s="190">
        <f ca="1">'Group P&amp;L'!M44</f>
        <v>27685.47977378573</v>
      </c>
      <c r="N53" s="190">
        <f ca="1">'Group P&amp;L'!N44</f>
        <v>36163.838905041026</v>
      </c>
      <c r="O53" s="190">
        <f ca="1">'Group P&amp;L'!O44</f>
        <v>51564.458093329325</v>
      </c>
      <c r="P53" s="190">
        <f ca="1">'Group P&amp;L'!P44</f>
        <v>69176.790468057166</v>
      </c>
      <c r="Q53" s="190">
        <f ca="1">'Group P&amp;L'!Q44</f>
        <v>85867.086722752152</v>
      </c>
      <c r="R53" s="190">
        <f ca="1">'Group P&amp;L'!R44</f>
        <v>111336.98308822671</v>
      </c>
      <c r="S53" s="190">
        <f ca="1">'Group P&amp;L'!S44</f>
        <v>144551.14881432478</v>
      </c>
    </row>
    <row r="54" spans="1:19">
      <c r="A54" s="13" t="s">
        <v>1842</v>
      </c>
      <c r="B54" s="13"/>
      <c r="C54" s="13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</row>
    <row r="55" spans="1:19">
      <c r="A55" s="23" t="s">
        <v>1843</v>
      </c>
      <c r="B55" s="23"/>
      <c r="C55" s="23"/>
      <c r="D55" s="188">
        <f ca="1">'Group P&amp;L'!D47</f>
        <v>546.84664406258162</v>
      </c>
      <c r="E55" s="188">
        <f ca="1">'Group P&amp;L'!E47</f>
        <v>518.72310236793464</v>
      </c>
      <c r="F55" s="188">
        <f ca="1">'Group P&amp;L'!F47</f>
        <v>708.18744222530574</v>
      </c>
      <c r="G55" s="188">
        <f ca="1">'Group P&amp;L'!G47</f>
        <v>2228.9258981468101</v>
      </c>
      <c r="H55" s="188">
        <f ca="1">'Group P&amp;L'!H47</f>
        <v>3747.5921785832625</v>
      </c>
      <c r="I55" s="188">
        <f ca="1">'Group P&amp;L'!I47</f>
        <v>6034.3532466517008</v>
      </c>
      <c r="J55" s="188">
        <f ca="1">'Group P&amp;L'!J47</f>
        <v>7796.4681357283807</v>
      </c>
      <c r="K55" s="188">
        <f ca="1">'Group P&amp;L'!K47</f>
        <v>9971.5739745174724</v>
      </c>
      <c r="L55" s="188">
        <f ca="1">'Group P&amp;L'!L47</f>
        <v>11389.177483766758</v>
      </c>
      <c r="M55" s="188">
        <f ca="1">'Group P&amp;L'!M47</f>
        <v>11397.001406964564</v>
      </c>
      <c r="N55" s="188">
        <f ca="1">'Group P&amp;L'!N47</f>
        <v>11895.96510334191</v>
      </c>
      <c r="O55" s="188">
        <f ca="1">'Group P&amp;L'!O47</f>
        <v>13544.29552695275</v>
      </c>
      <c r="P55" s="188">
        <f ca="1">'Group P&amp;L'!P47</f>
        <v>16690.763072700622</v>
      </c>
      <c r="Q55" s="188">
        <f ca="1">'Group P&amp;L'!Q47</f>
        <v>20311.077309803422</v>
      </c>
      <c r="R55" s="188">
        <f ca="1">'Group P&amp;L'!R47</f>
        <v>23998.653697608974</v>
      </c>
      <c r="S55" s="188">
        <f ca="1">'Group P&amp;L'!S47</f>
        <v>29151.503447281815</v>
      </c>
    </row>
    <row r="56" spans="1:19">
      <c r="A56" s="23" t="s">
        <v>1844</v>
      </c>
      <c r="B56" s="23"/>
      <c r="C56" s="23"/>
      <c r="D56" s="188">
        <f>'Group P&amp;L'!D48</f>
        <v>0</v>
      </c>
      <c r="E56" s="188">
        <f>'Group P&amp;L'!E48</f>
        <v>0</v>
      </c>
      <c r="F56" s="188">
        <f>'Group P&amp;L'!F48</f>
        <v>0</v>
      </c>
      <c r="G56" s="188">
        <f>'Group P&amp;L'!G48</f>
        <v>0</v>
      </c>
      <c r="H56" s="188">
        <f>'Group P&amp;L'!H48</f>
        <v>0</v>
      </c>
      <c r="I56" s="188">
        <f>'Group P&amp;L'!I48</f>
        <v>0</v>
      </c>
      <c r="J56" s="188">
        <f>'Group P&amp;L'!J48</f>
        <v>0</v>
      </c>
      <c r="K56" s="188">
        <f>'Group P&amp;L'!K48</f>
        <v>0</v>
      </c>
      <c r="L56" s="188">
        <f>'Group P&amp;L'!L48</f>
        <v>0</v>
      </c>
      <c r="M56" s="188">
        <f>'Group P&amp;L'!M48</f>
        <v>0</v>
      </c>
      <c r="N56" s="188">
        <f>'Group P&amp;L'!N48</f>
        <v>0</v>
      </c>
      <c r="O56" s="188">
        <f>'Group P&amp;L'!O48</f>
        <v>0</v>
      </c>
      <c r="P56" s="188">
        <f>'Group P&amp;L'!P48</f>
        <v>0</v>
      </c>
      <c r="Q56" s="188">
        <f>'Group P&amp;L'!Q48</f>
        <v>0</v>
      </c>
      <c r="R56" s="188">
        <f>'Group P&amp;L'!R48</f>
        <v>0</v>
      </c>
      <c r="S56" s="188">
        <f>'Group P&amp;L'!S48</f>
        <v>0</v>
      </c>
    </row>
    <row r="57" spans="1:19">
      <c r="A57" s="118" t="s">
        <v>1845</v>
      </c>
      <c r="B57" s="118"/>
      <c r="C57" s="118"/>
      <c r="D57" s="190">
        <f ca="1">'Group P&amp;L'!D49</f>
        <v>546.84664406258162</v>
      </c>
      <c r="E57" s="190">
        <f ca="1">'Group P&amp;L'!E49</f>
        <v>518.72310236793464</v>
      </c>
      <c r="F57" s="190">
        <f ca="1">'Group P&amp;L'!F49</f>
        <v>708.18744222530574</v>
      </c>
      <c r="G57" s="190">
        <f ca="1">'Group P&amp;L'!G49</f>
        <v>2228.9258981468101</v>
      </c>
      <c r="H57" s="190">
        <f ca="1">'Group P&amp;L'!H49</f>
        <v>3747.5921785832625</v>
      </c>
      <c r="I57" s="190">
        <f ca="1">'Group P&amp;L'!I49</f>
        <v>6034.3532466517008</v>
      </c>
      <c r="J57" s="190">
        <f ca="1">'Group P&amp;L'!J49</f>
        <v>7796.4681357283807</v>
      </c>
      <c r="K57" s="190">
        <f ca="1">'Group P&amp;L'!K49</f>
        <v>9971.5739745174724</v>
      </c>
      <c r="L57" s="190">
        <f ca="1">'Group P&amp;L'!L49</f>
        <v>11389.177483766758</v>
      </c>
      <c r="M57" s="190">
        <f ca="1">'Group P&amp;L'!M49</f>
        <v>11397.001406964564</v>
      </c>
      <c r="N57" s="190">
        <f ca="1">'Group P&amp;L'!N49</f>
        <v>11895.96510334191</v>
      </c>
      <c r="O57" s="190">
        <f ca="1">'Group P&amp;L'!O49</f>
        <v>13544.29552695275</v>
      </c>
      <c r="P57" s="190">
        <f ca="1">'Group P&amp;L'!P49</f>
        <v>16690.763072700622</v>
      </c>
      <c r="Q57" s="190">
        <f ca="1">'Group P&amp;L'!Q49</f>
        <v>20311.077309803422</v>
      </c>
      <c r="R57" s="190">
        <f ca="1">'Group P&amp;L'!R49</f>
        <v>23998.653697608974</v>
      </c>
      <c r="S57" s="190">
        <f ca="1">'Group P&amp;L'!S49</f>
        <v>29151.503447281815</v>
      </c>
    </row>
    <row r="58" spans="1:19">
      <c r="A58" s="23"/>
      <c r="B58" s="23"/>
      <c r="C58" s="23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</row>
    <row r="59" spans="1:19">
      <c r="A59" s="13" t="s">
        <v>1846</v>
      </c>
      <c r="B59" s="13"/>
      <c r="C59" s="13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</row>
    <row r="60" spans="1:19">
      <c r="A60" s="202" t="s">
        <v>1847</v>
      </c>
      <c r="B60" s="202"/>
      <c r="C60" s="202"/>
      <c r="D60" s="203">
        <f>'Group P&amp;L'!D52</f>
        <v>4998</v>
      </c>
      <c r="E60" s="203">
        <f ca="1">'Group P&amp;L'!E52</f>
        <v>7985.7587911662204</v>
      </c>
      <c r="F60" s="203">
        <f ca="1">'Group P&amp;L'!F52</f>
        <v>29375.840570542208</v>
      </c>
      <c r="G60" s="203">
        <f ca="1">'Group P&amp;L'!G52</f>
        <v>62466.151881813719</v>
      </c>
      <c r="H60" s="203">
        <f ca="1">'Group P&amp;L'!H52</f>
        <v>113934.37495345625</v>
      </c>
      <c r="I60" s="203">
        <f ca="1">'Group P&amp;L'!I52</f>
        <v>167145.66807679166</v>
      </c>
      <c r="J60" s="203">
        <f ca="1">'Group P&amp;L'!J52</f>
        <v>200731.90159492553</v>
      </c>
      <c r="K60" s="203">
        <f ca="1">'Group P&amp;L'!K52</f>
        <v>223780.11392013688</v>
      </c>
      <c r="L60" s="203">
        <f ca="1">'Group P&amp;L'!L52</f>
        <v>230874.30285524731</v>
      </c>
      <c r="M60" s="203">
        <f ca="1">'Group P&amp;L'!M52</f>
        <v>236813.19231554354</v>
      </c>
      <c r="N60" s="203">
        <f ca="1">'Group P&amp;L'!N52</f>
        <v>252112.36398258584</v>
      </c>
      <c r="O60" s="203">
        <f ca="1">'Group P&amp;L'!O52</f>
        <v>269953.6665452696</v>
      </c>
      <c r="P60" s="203">
        <f ca="1">'Group P&amp;L'!P52</f>
        <v>286366.16710786265</v>
      </c>
      <c r="Q60" s="203">
        <f ca="1">'Group P&amp;L'!Q52</f>
        <v>299491.76617276308</v>
      </c>
      <c r="R60" s="203">
        <f ca="1">'Group P&amp;L'!R52</f>
        <v>308258.50720914686</v>
      </c>
      <c r="S60" s="203">
        <f ca="1">'Group P&amp;L'!S52</f>
        <v>312800.87510108756</v>
      </c>
    </row>
    <row r="61" spans="1:19">
      <c r="A61" s="23" t="s">
        <v>1848</v>
      </c>
      <c r="B61" s="23"/>
      <c r="C61" s="23"/>
      <c r="D61" s="188">
        <f>'Group P&amp;L'!D53</f>
        <v>-619</v>
      </c>
      <c r="E61" s="188">
        <f ca="1">'Group P&amp;L'!E53</f>
        <v>3479.4164999999998</v>
      </c>
      <c r="F61" s="188">
        <f ca="1">'Group P&amp;L'!F53</f>
        <v>6611.9060539014745</v>
      </c>
      <c r="G61" s="188">
        <f ca="1">'Group P&amp;L'!G53</f>
        <v>7180.5908271359303</v>
      </c>
      <c r="H61" s="188">
        <f ca="1">'Group P&amp;L'!H53</f>
        <v>7895.7939159402513</v>
      </c>
      <c r="I61" s="188">
        <f ca="1">'Group P&amp;L'!I53</f>
        <v>8664.43220170313</v>
      </c>
      <c r="J61" s="188">
        <f ca="1">'Group P&amp;L'!J53</f>
        <v>8661.7898117882796</v>
      </c>
      <c r="K61" s="188">
        <f ca="1">'Group P&amp;L'!K53</f>
        <v>10742.141937392093</v>
      </c>
      <c r="L61" s="188">
        <f ca="1">'Group P&amp;L'!L53</f>
        <v>10091.779576136109</v>
      </c>
      <c r="M61" s="188">
        <f ca="1">'Group P&amp;L'!M53</f>
        <v>9260.1843867478965</v>
      </c>
      <c r="N61" s="188">
        <f ca="1">'Group P&amp;L'!N53</f>
        <v>8371.5465313920686</v>
      </c>
      <c r="O61" s="188">
        <f ca="1">'Group P&amp;L'!O53</f>
        <v>7451.8193208665252</v>
      </c>
      <c r="P61" s="188">
        <f ca="1">'Group P&amp;L'!P53</f>
        <v>6497.113894160012</v>
      </c>
      <c r="Q61" s="188">
        <f ca="1">'Group P&amp;L'!Q53</f>
        <v>5498.459739251155</v>
      </c>
      <c r="R61" s="188">
        <f ca="1">'Group P&amp;L'!R53</f>
        <v>4447.4658436977788</v>
      </c>
      <c r="S61" s="188">
        <f ca="1">'Group P&amp;L'!S53</f>
        <v>2654.1453329743767</v>
      </c>
    </row>
    <row r="62" spans="1:19">
      <c r="A62" s="23" t="s">
        <v>1849</v>
      </c>
      <c r="B62" s="23"/>
      <c r="C62" s="23"/>
      <c r="D62" s="188">
        <f>'Group P&amp;L'!D54</f>
        <v>-5868</v>
      </c>
      <c r="E62" s="188">
        <f ca="1">'Group P&amp;L'!E54</f>
        <v>-1070.6112427559369</v>
      </c>
      <c r="F62" s="188">
        <f ca="1">'Group P&amp;L'!F54</f>
        <v>1654.8593289174823</v>
      </c>
      <c r="G62" s="188">
        <f ca="1">'Group P&amp;L'!G54</f>
        <v>5667.1212206132914</v>
      </c>
      <c r="H62" s="188">
        <f ca="1">'Group P&amp;L'!H54</f>
        <v>11956.611144027938</v>
      </c>
      <c r="I62" s="188">
        <f ca="1">'Group P&amp;L'!I54</f>
        <v>33633.463244451792</v>
      </c>
      <c r="J62" s="188">
        <f ca="1">'Group P&amp;L'!J54</f>
        <v>78366.807544421186</v>
      </c>
      <c r="K62" s="188">
        <f ca="1">'Group P&amp;L'!K54</f>
        <v>124814.56337317264</v>
      </c>
      <c r="L62" s="188">
        <f ca="1">'Group P&amp;L'!L54</f>
        <v>149791.94021639449</v>
      </c>
      <c r="M62" s="188">
        <f ca="1">'Group P&amp;L'!M54</f>
        <v>187484.70018213123</v>
      </c>
      <c r="N62" s="188">
        <f ca="1">'Group P&amp;L'!N54</f>
        <v>252210.66632970527</v>
      </c>
      <c r="O62" s="188">
        <f ca="1">'Group P&amp;L'!O54</f>
        <v>365878.47684753285</v>
      </c>
      <c r="P62" s="188">
        <f ca="1">'Group P&amp;L'!P54</f>
        <v>503897.79573312262</v>
      </c>
      <c r="Q62" s="188">
        <f ca="1">'Group P&amp;L'!Q54</f>
        <v>645875.45187207125</v>
      </c>
      <c r="R62" s="188">
        <f ca="1">'Group P&amp;L'!R54</f>
        <v>853481.41790250153</v>
      </c>
      <c r="S62" s="188">
        <f ca="1">'Group P&amp;L'!S54</f>
        <v>1134395.9925806765</v>
      </c>
    </row>
    <row r="63" spans="1:19">
      <c r="A63" s="23" t="s">
        <v>1850</v>
      </c>
      <c r="B63" s="23"/>
      <c r="C63" s="23"/>
      <c r="D63" s="188">
        <f>'Group P&amp;L'!D55</f>
        <v>-750</v>
      </c>
      <c r="E63" s="188">
        <f>'Group P&amp;L'!E55</f>
        <v>-750</v>
      </c>
      <c r="F63" s="188">
        <f>'Group P&amp;L'!F55</f>
        <v>-750</v>
      </c>
      <c r="G63" s="188">
        <f>'Group P&amp;L'!G55</f>
        <v>-750</v>
      </c>
      <c r="H63" s="188">
        <f>'Group P&amp;L'!H55</f>
        <v>-750</v>
      </c>
      <c r="I63" s="188">
        <f ca="1">'Group P&amp;L'!I55</f>
        <v>-716.6021898149354</v>
      </c>
      <c r="J63" s="188">
        <f ca="1">'Group P&amp;L'!J55</f>
        <v>-584.95865429953221</v>
      </c>
      <c r="K63" s="188">
        <f ca="1">'Group P&amp;L'!K55</f>
        <v>-1167.0247254934156</v>
      </c>
      <c r="L63" s="188">
        <f ca="1">'Group P&amp;L'!L55</f>
        <v>-458.40823846093434</v>
      </c>
      <c r="M63" s="188">
        <f ca="1">'Group P&amp;L'!M55</f>
        <v>-1275.6440181366781</v>
      </c>
      <c r="N63" s="188">
        <f ca="1">'Group P&amp;L'!N55</f>
        <v>-994.86943303270016</v>
      </c>
      <c r="O63" s="188">
        <f ca="1">'Group P&amp;L'!O55</f>
        <v>-1159.7495572171092</v>
      </c>
      <c r="P63" s="188">
        <f ca="1">'Group P&amp;L'!P55</f>
        <v>-1161.2265361611608</v>
      </c>
      <c r="Q63" s="188">
        <f ca="1">'Group P&amp;L'!Q55</f>
        <v>-2427.8050765938779</v>
      </c>
      <c r="R63" s="188">
        <f ca="1">'Group P&amp;L'!R55</f>
        <v>-3569.4156576483756</v>
      </c>
      <c r="S63" s="188">
        <f ca="1">'Group P&amp;L'!S55</f>
        <v>-4716.6299517088019</v>
      </c>
    </row>
    <row r="64" spans="1:19">
      <c r="A64" s="23" t="s">
        <v>1851</v>
      </c>
      <c r="B64" s="23"/>
      <c r="C64" s="23"/>
      <c r="D64" s="188">
        <f ca="1">'Group P&amp;L'!D56</f>
        <v>-546.84664406258162</v>
      </c>
      <c r="E64" s="188">
        <f ca="1">'Group P&amp;L'!E56</f>
        <v>-3819.2881023679347</v>
      </c>
      <c r="F64" s="188">
        <f ca="1">'Group P&amp;L'!F56</f>
        <v>-3997.4082922711095</v>
      </c>
      <c r="G64" s="188">
        <f ca="1">'Group P&amp;L'!G56</f>
        <v>-5173.9619567579757</v>
      </c>
      <c r="H64" s="188">
        <f ca="1">'Group P&amp;L'!H56</f>
        <v>-6134.5909335226916</v>
      </c>
      <c r="I64" s="188">
        <f ca="1">'Group P&amp;L'!I56</f>
        <v>-7859.2449886829509</v>
      </c>
      <c r="J64" s="188">
        <f ca="1">'Group P&amp;L'!J56</f>
        <v>-9340.8670148611927</v>
      </c>
      <c r="K64" s="188">
        <f ca="1">'Group P&amp;L'!K56</f>
        <v>-10882.67647155442</v>
      </c>
      <c r="L64" s="188">
        <f ca="1">'Group P&amp;L'!L56</f>
        <v>-12104.293360227419</v>
      </c>
      <c r="M64" s="188">
        <f ca="1">'Group P&amp;L'!M56</f>
        <v>-11935.987245260167</v>
      </c>
      <c r="N64" s="188">
        <f ca="1">'Group P&amp;L'!N56</f>
        <v>-12266.228270988446</v>
      </c>
      <c r="O64" s="188">
        <f ca="1">'Group P&amp;L'!O56</f>
        <v>-13848.835685179918</v>
      </c>
      <c r="P64" s="188">
        <f ca="1">'Group P&amp;L'!P56</f>
        <v>-16931.537177290043</v>
      </c>
      <c r="Q64" s="188">
        <f ca="1">'Group P&amp;L'!Q56</f>
        <v>-20490.049828596802</v>
      </c>
      <c r="R64" s="188">
        <f ca="1">'Group P&amp;L'!R56</f>
        <v>-24168.072353161471</v>
      </c>
      <c r="S64" s="188">
        <f ca="1">'Group P&amp;L'!S56</f>
        <v>-30295.829186677824</v>
      </c>
    </row>
    <row r="65" spans="1:19">
      <c r="A65" s="118" t="s">
        <v>1852</v>
      </c>
      <c r="B65" s="118"/>
      <c r="C65" s="118"/>
      <c r="D65" s="190">
        <f ca="1">'Group P&amp;L'!D57</f>
        <v>-2785.8466440625816</v>
      </c>
      <c r="E65" s="190">
        <f ca="1">'Group P&amp;L'!E57</f>
        <v>5825.2759460423495</v>
      </c>
      <c r="F65" s="190">
        <f ca="1">'Group P&amp;L'!F57</f>
        <v>32895.197661090053</v>
      </c>
      <c r="G65" s="190">
        <f ca="1">'Group P&amp;L'!G57</f>
        <v>69389.901972804961</v>
      </c>
      <c r="H65" s="190">
        <f ca="1">'Group P&amp;L'!H57</f>
        <v>126902.18907990174</v>
      </c>
      <c r="I65" s="190">
        <f ca="1">'Group P&amp;L'!I57</f>
        <v>200867.71634444871</v>
      </c>
      <c r="J65" s="190">
        <f ca="1">'Group P&amp;L'!J57</f>
        <v>277834.67328197422</v>
      </c>
      <c r="K65" s="190">
        <f ca="1">'Group P&amp;L'!K57</f>
        <v>347287.11803365377</v>
      </c>
      <c r="L65" s="190">
        <f ca="1">'Group P&amp;L'!L57</f>
        <v>378195.32104908954</v>
      </c>
      <c r="M65" s="190">
        <f ca="1">'Group P&amp;L'!M57</f>
        <v>420346.44562102586</v>
      </c>
      <c r="N65" s="190">
        <f ca="1">'Group P&amp;L'!N57</f>
        <v>499433.479139662</v>
      </c>
      <c r="O65" s="190">
        <f ca="1">'Group P&amp;L'!O57</f>
        <v>628275.37747127202</v>
      </c>
      <c r="P65" s="190">
        <f ca="1">'Group P&amp;L'!P57</f>
        <v>778668.31302169408</v>
      </c>
      <c r="Q65" s="190">
        <f ca="1">'Group P&amp;L'!Q57</f>
        <v>927947.82287889486</v>
      </c>
      <c r="R65" s="190">
        <f ca="1">'Group P&amp;L'!R57</f>
        <v>1138449.9029445364</v>
      </c>
      <c r="S65" s="190">
        <f ca="1">'Group P&amp;L'!S57</f>
        <v>1414838.5538763518</v>
      </c>
    </row>
    <row r="66" spans="1:19">
      <c r="A66" s="23"/>
      <c r="B66" s="23"/>
      <c r="C66" s="23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</row>
    <row r="67" spans="1:19">
      <c r="A67" s="13" t="s">
        <v>1853</v>
      </c>
      <c r="B67" s="13"/>
      <c r="C67" s="13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</row>
    <row r="68" spans="1:19">
      <c r="A68" s="23" t="s">
        <v>1854</v>
      </c>
      <c r="B68" s="23"/>
      <c r="C68" s="23"/>
      <c r="D68" s="188">
        <f>'Group P&amp;L'!D60</f>
        <v>2376</v>
      </c>
      <c r="E68" s="188">
        <f ca="1">'Group P&amp;L'!E60</f>
        <v>804.39193779975778</v>
      </c>
      <c r="F68" s="188">
        <f ca="1">'Group P&amp;L'!F60</f>
        <v>1944.3956608776627</v>
      </c>
      <c r="G68" s="188">
        <f ca="1">'Group P&amp;L'!G60</f>
        <v>4524.0594639329447</v>
      </c>
      <c r="H68" s="188">
        <f ca="1">'Group P&amp;L'!H60</f>
        <v>11754.299907678647</v>
      </c>
      <c r="I68" s="188">
        <f ca="1">'Group P&amp;L'!I60</f>
        <v>25009.723045714662</v>
      </c>
      <c r="J68" s="188">
        <f ca="1">'Group P&amp;L'!J60</f>
        <v>38955.334166136752</v>
      </c>
      <c r="K68" s="188">
        <f ca="1">'Group P&amp;L'!K60</f>
        <v>54439.992078405063</v>
      </c>
      <c r="L68" s="188">
        <f ca="1">'Group P&amp;L'!L60</f>
        <v>58746.890409068357</v>
      </c>
      <c r="M68" s="188">
        <f ca="1">'Group P&amp;L'!M60</f>
        <v>68061.384078933173</v>
      </c>
      <c r="N68" s="188">
        <f ca="1">'Group P&amp;L'!N60</f>
        <v>77907.866120371167</v>
      </c>
      <c r="O68" s="188">
        <f ca="1">'Group P&amp;L'!O60</f>
        <v>99105.734227186113</v>
      </c>
      <c r="P68" s="188">
        <f ca="1">'Group P&amp;L'!P60</f>
        <v>105923.35763154761</v>
      </c>
      <c r="Q68" s="188">
        <f ca="1">'Group P&amp;L'!Q60</f>
        <v>113166.79579929721</v>
      </c>
      <c r="R68" s="188">
        <f ca="1">'Group P&amp;L'!R60</f>
        <v>104421.69637998758</v>
      </c>
      <c r="S68" s="188">
        <f ca="1">'Group P&amp;L'!S60</f>
        <v>90766.37185464392</v>
      </c>
    </row>
    <row r="69" spans="1:19">
      <c r="A69" s="23" t="s">
        <v>1855</v>
      </c>
      <c r="B69" s="23"/>
      <c r="C69" s="23"/>
      <c r="D69" s="188">
        <f>'Group P&amp;L'!D61</f>
        <v>757</v>
      </c>
      <c r="E69" s="188">
        <f ca="1">'Group P&amp;L'!E61</f>
        <v>65.585862785862787</v>
      </c>
      <c r="F69" s="188">
        <f ca="1">'Group P&amp;L'!F61</f>
        <v>103.29636278586278</v>
      </c>
      <c r="G69" s="188">
        <f ca="1">'Group P&amp;L'!G61</f>
        <v>140.18651611919611</v>
      </c>
      <c r="H69" s="188">
        <f ca="1">'Group P&amp;L'!H61</f>
        <v>193.88091911919614</v>
      </c>
      <c r="I69" s="188">
        <f ca="1">'Group P&amp;L'!I61</f>
        <v>243.83973107119618</v>
      </c>
      <c r="J69" s="188">
        <f ca="1">'Group P&amp;L'!J61</f>
        <v>270.20545785591617</v>
      </c>
      <c r="K69" s="188">
        <f ca="1">'Group P&amp;L'!K61</f>
        <v>373.43224547619934</v>
      </c>
      <c r="L69" s="188">
        <f ca="1">'Group P&amp;L'!L61</f>
        <v>446.04195097765125</v>
      </c>
      <c r="M69" s="188">
        <f ca="1">'Group P&amp;L'!M61</f>
        <v>500.36131861239329</v>
      </c>
      <c r="N69" s="188">
        <f ca="1">'Group P&amp;L'!N61</f>
        <v>559.13178500331105</v>
      </c>
      <c r="O69" s="188">
        <f ca="1">'Group P&amp;L'!O61</f>
        <v>586.9929557108353</v>
      </c>
      <c r="P69" s="188">
        <f ca="1">'Group P&amp;L'!P61</f>
        <v>553.10462619831947</v>
      </c>
      <c r="Q69" s="188">
        <f ca="1">'Group P&amp;L'!Q61</f>
        <v>581.69549542088691</v>
      </c>
      <c r="R69" s="188">
        <f ca="1">'Group P&amp;L'!R61</f>
        <v>624.73312490237572</v>
      </c>
      <c r="S69" s="188">
        <f ca="1">'Group P&amp;L'!S61</f>
        <v>637.23312490237572</v>
      </c>
    </row>
    <row r="70" spans="1:19">
      <c r="A70" s="23" t="s">
        <v>1856</v>
      </c>
      <c r="B70" s="23"/>
      <c r="C70" s="23"/>
      <c r="D70" s="188">
        <f>'Group P&amp;L'!D62</f>
        <v>3568</v>
      </c>
      <c r="E70" s="188">
        <f ca="1">'Group P&amp;L'!E62</f>
        <v>1850.0139662599015</v>
      </c>
      <c r="F70" s="188">
        <f ca="1">'Group P&amp;L'!F62</f>
        <v>4388.937689090274</v>
      </c>
      <c r="G70" s="188">
        <f ca="1">'Group P&amp;L'!G62</f>
        <v>6748.8402777913643</v>
      </c>
      <c r="H70" s="188">
        <f ca="1">'Group P&amp;L'!H62</f>
        <v>9484.0309376855093</v>
      </c>
      <c r="I70" s="188">
        <f ca="1">'Group P&amp;L'!I62</f>
        <v>16649.454226873695</v>
      </c>
      <c r="J70" s="188">
        <f ca="1">'Group P&amp;L'!J62</f>
        <v>30439.785204159292</v>
      </c>
      <c r="K70" s="188">
        <f ca="1">'Group P&amp;L'!K62</f>
        <v>45640.254470457483</v>
      </c>
      <c r="L70" s="188">
        <f ca="1">'Group P&amp;L'!L62</f>
        <v>54819.274352055181</v>
      </c>
      <c r="M70" s="188">
        <f ca="1">'Group P&amp;L'!M62</f>
        <v>64707.839856537532</v>
      </c>
      <c r="N70" s="188">
        <f ca="1">'Group P&amp;L'!N62</f>
        <v>76920.181468214883</v>
      </c>
      <c r="O70" s="188">
        <f ca="1">'Group P&amp;L'!O62</f>
        <v>93370.385751129637</v>
      </c>
      <c r="P70" s="188">
        <f ca="1">'Group P&amp;L'!P62</f>
        <v>117808.7893975871</v>
      </c>
      <c r="Q70" s="188">
        <f ca="1">'Group P&amp;L'!Q62</f>
        <v>148550.89349637981</v>
      </c>
      <c r="R70" s="188">
        <f ca="1">'Group P&amp;L'!R62</f>
        <v>188636.37959315145</v>
      </c>
      <c r="S70" s="188">
        <f ca="1">'Group P&amp;L'!S62</f>
        <v>238809.51001058699</v>
      </c>
    </row>
    <row r="71" spans="1:19">
      <c r="A71" s="23" t="s">
        <v>1857</v>
      </c>
      <c r="B71" s="23"/>
      <c r="C71" s="23"/>
      <c r="D71" s="188">
        <f>'Group P&amp;L'!D63</f>
        <v>0</v>
      </c>
      <c r="E71" s="188">
        <f>'Group P&amp;L'!E63</f>
        <v>0</v>
      </c>
      <c r="F71" s="188">
        <f>'Group P&amp;L'!F63</f>
        <v>0</v>
      </c>
      <c r="G71" s="188">
        <f>'Group P&amp;L'!G63</f>
        <v>0</v>
      </c>
      <c r="H71" s="188">
        <f>'Group P&amp;L'!H63</f>
        <v>0</v>
      </c>
      <c r="I71" s="188">
        <f ca="1">'Group P&amp;L'!I63</f>
        <v>1433.2043796298706</v>
      </c>
      <c r="J71" s="188">
        <f ca="1">'Group P&amp;L'!J63</f>
        <v>2603.121688228935</v>
      </c>
      <c r="K71" s="188">
        <f ca="1">'Group P&amp;L'!K63</f>
        <v>4937.1711392157667</v>
      </c>
      <c r="L71" s="188">
        <f ca="1">'Group P&amp;L'!L63</f>
        <v>5853.9876161376351</v>
      </c>
      <c r="M71" s="188">
        <f ca="1">'Group P&amp;L'!M63</f>
        <v>8405.27565241099</v>
      </c>
      <c r="N71" s="188">
        <f ca="1">'Group P&amp;L'!N63</f>
        <v>10395.014518476391</v>
      </c>
      <c r="O71" s="188">
        <f ca="1">'Group P&amp;L'!O63</f>
        <v>12714.51363291061</v>
      </c>
      <c r="P71" s="188">
        <f ca="1">'Group P&amp;L'!P63</f>
        <v>15036.966705232931</v>
      </c>
      <c r="Q71" s="188">
        <f ca="1">'Group P&amp;L'!Q63</f>
        <v>19892.576858420689</v>
      </c>
      <c r="R71" s="188">
        <f ca="1">'Group P&amp;L'!R63</f>
        <v>27031.408173717442</v>
      </c>
      <c r="S71" s="188">
        <f ca="1">'Group P&amp;L'!S63</f>
        <v>36464.668077135044</v>
      </c>
    </row>
    <row r="72" spans="1:19">
      <c r="A72" s="23" t="s">
        <v>1858</v>
      </c>
      <c r="B72" s="23"/>
      <c r="C72" s="23"/>
      <c r="D72" s="188">
        <f ca="1">'Group P&amp;L'!D64</f>
        <v>166.6035</v>
      </c>
      <c r="E72" s="188">
        <f ca="1">'Group P&amp;L'!E64</f>
        <v>222.47120827539871</v>
      </c>
      <c r="F72" s="188">
        <f ca="1">'Group P&amp;L'!F64</f>
        <v>292.11042989757493</v>
      </c>
      <c r="G72" s="188">
        <f ca="1">'Group P&amp;L'!G64</f>
        <v>583.1533768133304</v>
      </c>
      <c r="H72" s="188">
        <f ca="1">'Group P&amp;L'!H64</f>
        <v>1094.1274642418541</v>
      </c>
      <c r="I72" s="188">
        <f ca="1">'Group P&amp;L'!I64</f>
        <v>2054.5840519201402</v>
      </c>
      <c r="J72" s="188">
        <f ca="1">'Group P&amp;L'!J64</f>
        <v>3315.1393657438775</v>
      </c>
      <c r="K72" s="188">
        <f ca="1">'Group P&amp;L'!K64</f>
        <v>4760.9769276058723</v>
      </c>
      <c r="L72" s="188">
        <f ca="1">'Group P&amp;L'!L64</f>
        <v>6513.3448316671438</v>
      </c>
      <c r="M72" s="188">
        <f ca="1">'Group P&amp;L'!M64</f>
        <v>8022.5479901752633</v>
      </c>
      <c r="N72" s="188">
        <f ca="1">'Group P&amp;L'!N64</f>
        <v>9691.9881871527286</v>
      </c>
      <c r="O72" s="188">
        <f ca="1">'Group P&amp;L'!O64</f>
        <v>11798.571308694103</v>
      </c>
      <c r="P72" s="188">
        <f ca="1">'Group P&amp;L'!P64</f>
        <v>14535.400992969087</v>
      </c>
      <c r="Q72" s="188">
        <f ca="1">'Group P&amp;L'!Q64</f>
        <v>17141.324070281942</v>
      </c>
      <c r="R72" s="188">
        <f ca="1">'Group P&amp;L'!R64</f>
        <v>20020.621245880033</v>
      </c>
      <c r="S72" s="188">
        <f ca="1">'Group P&amp;L'!S64</f>
        <v>23587.097323762133</v>
      </c>
    </row>
    <row r="73" spans="1:19">
      <c r="A73" s="118" t="s">
        <v>1859</v>
      </c>
      <c r="B73" s="118"/>
      <c r="C73" s="118"/>
      <c r="D73" s="190">
        <f>'Group P&amp;L'!D65</f>
        <v>6701</v>
      </c>
      <c r="E73" s="190">
        <f ca="1">'Group P&amp;L'!E65</f>
        <v>2942.4629751209204</v>
      </c>
      <c r="F73" s="190">
        <f ca="1">'Group P&amp;L'!F65</f>
        <v>6728.7401426513752</v>
      </c>
      <c r="G73" s="190">
        <f ca="1">'Group P&amp;L'!G65</f>
        <v>11996.239634656835</v>
      </c>
      <c r="H73" s="190">
        <f ca="1">'Group P&amp;L'!H65</f>
        <v>22526.339228725206</v>
      </c>
      <c r="I73" s="190">
        <f ca="1">'Group P&amp;L'!I65</f>
        <v>45390.805435209557</v>
      </c>
      <c r="J73" s="190">
        <f ca="1">'Group P&amp;L'!J65</f>
        <v>75583.585882124768</v>
      </c>
      <c r="K73" s="190">
        <f ca="1">'Group P&amp;L'!K65</f>
        <v>110151.82686116037</v>
      </c>
      <c r="L73" s="190">
        <f ca="1">'Group P&amp;L'!L65</f>
        <v>126379.53915990597</v>
      </c>
      <c r="M73" s="190">
        <f ca="1">'Group P&amp;L'!M65</f>
        <v>149697.40889666934</v>
      </c>
      <c r="N73" s="190">
        <f ca="1">'Group P&amp;L'!N65</f>
        <v>175474.18207921844</v>
      </c>
      <c r="O73" s="190">
        <f ca="1">'Group P&amp;L'!O65</f>
        <v>217576.1978756313</v>
      </c>
      <c r="P73" s="190">
        <f ca="1">'Group P&amp;L'!P65</f>
        <v>253857.61935353503</v>
      </c>
      <c r="Q73" s="190">
        <f ca="1">'Group P&amp;L'!Q65</f>
        <v>299333.28571980051</v>
      </c>
      <c r="R73" s="190">
        <f ca="1">'Group P&amp;L'!R65</f>
        <v>340734.83851763885</v>
      </c>
      <c r="S73" s="190">
        <f ca="1">'Group P&amp;L'!S65</f>
        <v>390264.88039103046</v>
      </c>
    </row>
    <row r="74" spans="1:19">
      <c r="A74" s="23"/>
      <c r="B74" s="23"/>
      <c r="C74" s="23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</row>
    <row r="75" spans="1:19">
      <c r="A75" s="13" t="s">
        <v>1860</v>
      </c>
      <c r="B75" s="13"/>
      <c r="C75" s="13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</row>
    <row r="76" spans="1:19">
      <c r="A76" s="202" t="s">
        <v>1861</v>
      </c>
      <c r="B76" s="202"/>
      <c r="C76" s="202"/>
      <c r="D76" s="203">
        <f>'Group P&amp;L'!D68</f>
        <v>2622</v>
      </c>
      <c r="E76" s="203">
        <f ca="1">'Group P&amp;L'!E68</f>
        <v>7181.3668533664622</v>
      </c>
      <c r="F76" s="203">
        <f ca="1">'Group P&amp;L'!F68</f>
        <v>27431.444909664544</v>
      </c>
      <c r="G76" s="203">
        <f ca="1">'Group P&amp;L'!G68</f>
        <v>57942.092417880776</v>
      </c>
      <c r="H76" s="203">
        <f ca="1">'Group P&amp;L'!H68</f>
        <v>102180.0750457776</v>
      </c>
      <c r="I76" s="203">
        <f ca="1">'Group P&amp;L'!I68</f>
        <v>142135.94503107699</v>
      </c>
      <c r="J76" s="203">
        <f ca="1">'Group P&amp;L'!J68</f>
        <v>161776.56742878878</v>
      </c>
      <c r="K76" s="203">
        <f ca="1">'Group P&amp;L'!K68</f>
        <v>169340.12184173183</v>
      </c>
      <c r="L76" s="203">
        <f ca="1">'Group P&amp;L'!L68</f>
        <v>172127.41244617896</v>
      </c>
      <c r="M76" s="203">
        <f ca="1">'Group P&amp;L'!M68</f>
        <v>168751.80823661038</v>
      </c>
      <c r="N76" s="203">
        <f ca="1">'Group P&amp;L'!N68</f>
        <v>174204.49786221469</v>
      </c>
      <c r="O76" s="203">
        <f ca="1">'Group P&amp;L'!O68</f>
        <v>170847.93231808348</v>
      </c>
      <c r="P76" s="203">
        <f ca="1">'Group P&amp;L'!P68</f>
        <v>180442.80947631504</v>
      </c>
      <c r="Q76" s="203">
        <f ca="1">'Group P&amp;L'!Q68</f>
        <v>186324.97037346585</v>
      </c>
      <c r="R76" s="203">
        <f ca="1">'Group P&amp;L'!R68</f>
        <v>203836.81082915928</v>
      </c>
      <c r="S76" s="203">
        <f ca="1">'Group P&amp;L'!S68</f>
        <v>222034.50324644364</v>
      </c>
    </row>
    <row r="77" spans="1:19">
      <c r="A77" s="23" t="s">
        <v>1862</v>
      </c>
      <c r="B77" s="23"/>
      <c r="C77" s="23"/>
      <c r="D77" s="188">
        <f>'Group P&amp;L'!D69</f>
        <v>-1376</v>
      </c>
      <c r="E77" s="188">
        <f ca="1">'Group P&amp;L'!E69</f>
        <v>3413.8306372141369</v>
      </c>
      <c r="F77" s="188">
        <f ca="1">'Group P&amp;L'!F69</f>
        <v>6508.6096911156119</v>
      </c>
      <c r="G77" s="188">
        <f ca="1">'Group P&amp;L'!G69</f>
        <v>7040.404311016734</v>
      </c>
      <c r="H77" s="188">
        <f ca="1">'Group P&amp;L'!H69</f>
        <v>7701.9129968210555</v>
      </c>
      <c r="I77" s="188">
        <f ca="1">'Group P&amp;L'!I69</f>
        <v>8420.5924706319347</v>
      </c>
      <c r="J77" s="188">
        <f ca="1">'Group P&amp;L'!J69</f>
        <v>8391.5843539323632</v>
      </c>
      <c r="K77" s="188">
        <f ca="1">'Group P&amp;L'!K69</f>
        <v>10368.709691915894</v>
      </c>
      <c r="L77" s="188">
        <f ca="1">'Group P&amp;L'!L69</f>
        <v>9645.7376251584574</v>
      </c>
      <c r="M77" s="188">
        <f ca="1">'Group P&amp;L'!M69</f>
        <v>8759.8230681355035</v>
      </c>
      <c r="N77" s="188">
        <f ca="1">'Group P&amp;L'!N69</f>
        <v>7812.4147463887575</v>
      </c>
      <c r="O77" s="188">
        <f ca="1">'Group P&amp;L'!O69</f>
        <v>6864.8263651556899</v>
      </c>
      <c r="P77" s="188">
        <f ca="1">'Group P&amp;L'!P69</f>
        <v>5944.0092679616928</v>
      </c>
      <c r="Q77" s="188">
        <f ca="1">'Group P&amp;L'!Q69</f>
        <v>4916.7642438302682</v>
      </c>
      <c r="R77" s="188">
        <f ca="1">'Group P&amp;L'!R69</f>
        <v>3822.7327187954033</v>
      </c>
      <c r="S77" s="188">
        <f ca="1">'Group P&amp;L'!S69</f>
        <v>2016.912208072001</v>
      </c>
    </row>
    <row r="78" spans="1:19">
      <c r="A78" s="23" t="s">
        <v>1863</v>
      </c>
      <c r="B78" s="23"/>
      <c r="C78" s="23"/>
      <c r="D78" s="188">
        <f>'Group P&amp;L'!D70</f>
        <v>-9436</v>
      </c>
      <c r="E78" s="188">
        <f ca="1">'Group P&amp;L'!E70</f>
        <v>-2920.6252090158387</v>
      </c>
      <c r="F78" s="188">
        <f ca="1">'Group P&amp;L'!F70</f>
        <v>-2734.0783601727917</v>
      </c>
      <c r="G78" s="188">
        <f ca="1">'Group P&amp;L'!G70</f>
        <v>-1081.7190571780729</v>
      </c>
      <c r="H78" s="188">
        <f ca="1">'Group P&amp;L'!H70</f>
        <v>2472.5802063424289</v>
      </c>
      <c r="I78" s="188">
        <f ca="1">'Group P&amp;L'!I70</f>
        <v>16984.009017578097</v>
      </c>
      <c r="J78" s="188">
        <f ca="1">'Group P&amp;L'!J70</f>
        <v>47927.022340261894</v>
      </c>
      <c r="K78" s="188">
        <f ca="1">'Group P&amp;L'!K70</f>
        <v>79174.308902715158</v>
      </c>
      <c r="L78" s="188">
        <f ca="1">'Group P&amp;L'!L70</f>
        <v>94972.665864339302</v>
      </c>
      <c r="M78" s="188">
        <f ca="1">'Group P&amp;L'!M70</f>
        <v>122776.86032559371</v>
      </c>
      <c r="N78" s="188">
        <f ca="1">'Group P&amp;L'!N70</f>
        <v>175290.48486149037</v>
      </c>
      <c r="O78" s="188">
        <f ca="1">'Group P&amp;L'!O70</f>
        <v>272508.09109640319</v>
      </c>
      <c r="P78" s="188">
        <f ca="1">'Group P&amp;L'!P70</f>
        <v>386089.00633553555</v>
      </c>
      <c r="Q78" s="188">
        <f ca="1">'Group P&amp;L'!Q70</f>
        <v>497324.55837569141</v>
      </c>
      <c r="R78" s="188">
        <f ca="1">'Group P&amp;L'!R70</f>
        <v>664845.03830935014</v>
      </c>
      <c r="S78" s="188">
        <f ca="1">'Group P&amp;L'!S70</f>
        <v>895586.4825700894</v>
      </c>
    </row>
    <row r="79" spans="1:19">
      <c r="A79" s="23" t="s">
        <v>1864</v>
      </c>
      <c r="B79" s="23"/>
      <c r="C79" s="23"/>
      <c r="D79" s="188">
        <f>'Group P&amp;L'!D71</f>
        <v>-750</v>
      </c>
      <c r="E79" s="188">
        <f>'Group P&amp;L'!E71</f>
        <v>-750</v>
      </c>
      <c r="F79" s="188">
        <f>'Group P&amp;L'!F71</f>
        <v>-750</v>
      </c>
      <c r="G79" s="188">
        <f>'Group P&amp;L'!G71</f>
        <v>-750</v>
      </c>
      <c r="H79" s="188">
        <f>'Group P&amp;L'!H71</f>
        <v>-750</v>
      </c>
      <c r="I79" s="188">
        <f ca="1">'Group P&amp;L'!I71</f>
        <v>-2149.806569444806</v>
      </c>
      <c r="J79" s="188">
        <f ca="1">'Group P&amp;L'!J71</f>
        <v>-3188.0803425284671</v>
      </c>
      <c r="K79" s="188">
        <f ca="1">'Group P&amp;L'!K71</f>
        <v>-6104.1958647091824</v>
      </c>
      <c r="L79" s="188">
        <f ca="1">'Group P&amp;L'!L71</f>
        <v>-6312.3958545985697</v>
      </c>
      <c r="M79" s="188">
        <f ca="1">'Group P&amp;L'!M71</f>
        <v>-9680.9196705476679</v>
      </c>
      <c r="N79" s="188">
        <f ca="1">'Group P&amp;L'!N71</f>
        <v>-11389.883951509091</v>
      </c>
      <c r="O79" s="188">
        <f ca="1">'Group P&amp;L'!O71</f>
        <v>-13874.26319012772</v>
      </c>
      <c r="P79" s="188">
        <f ca="1">'Group P&amp;L'!P71</f>
        <v>-16198.193241394092</v>
      </c>
      <c r="Q79" s="188">
        <f ca="1">'Group P&amp;L'!Q71</f>
        <v>-22320.381935014568</v>
      </c>
      <c r="R79" s="188">
        <f ca="1">'Group P&amp;L'!R71</f>
        <v>-30600.823831365818</v>
      </c>
      <c r="S79" s="188">
        <f ca="1">'Group P&amp;L'!S71</f>
        <v>-41181.298028843848</v>
      </c>
    </row>
    <row r="80" spans="1:19">
      <c r="A80" s="23" t="s">
        <v>1865</v>
      </c>
      <c r="B80" s="23"/>
      <c r="C80" s="23"/>
      <c r="D80" s="188">
        <f ca="1">'Group P&amp;L'!D72</f>
        <v>-713.45014406258156</v>
      </c>
      <c r="E80" s="188">
        <f ca="1">'Group P&amp;L'!E72</f>
        <v>-4041.7593106433333</v>
      </c>
      <c r="F80" s="188">
        <f ca="1">'Group P&amp;L'!F72</f>
        <v>-4289.5187221686847</v>
      </c>
      <c r="G80" s="188">
        <f ca="1">'Group P&amp;L'!G72</f>
        <v>-5757.1153335713061</v>
      </c>
      <c r="H80" s="188">
        <f ca="1">'Group P&amp;L'!H72</f>
        <v>-7228.7183977645454</v>
      </c>
      <c r="I80" s="188">
        <f ca="1">'Group P&amp;L'!I72</f>
        <v>-9913.8290406030901</v>
      </c>
      <c r="J80" s="188">
        <f ca="1">'Group P&amp;L'!J72</f>
        <v>-12656.006380605071</v>
      </c>
      <c r="K80" s="188">
        <f ca="1">'Group P&amp;L'!K72</f>
        <v>-15643.653399160292</v>
      </c>
      <c r="L80" s="188">
        <f ca="1">'Group P&amp;L'!L72</f>
        <v>-18617.638191894563</v>
      </c>
      <c r="M80" s="188">
        <f ca="1">'Group P&amp;L'!M72</f>
        <v>-19958.535235435429</v>
      </c>
      <c r="N80" s="188">
        <f ca="1">'Group P&amp;L'!N72</f>
        <v>-21958.216458141174</v>
      </c>
      <c r="O80" s="188">
        <f ca="1">'Group P&amp;L'!O72</f>
        <v>-25647.406993874021</v>
      </c>
      <c r="P80" s="188">
        <f ca="1">'Group P&amp;L'!P72</f>
        <v>-31466.938170259131</v>
      </c>
      <c r="Q80" s="188">
        <f ca="1">'Group P&amp;L'!Q72</f>
        <v>-37631.373898878745</v>
      </c>
      <c r="R80" s="188">
        <f ca="1">'Group P&amp;L'!R72</f>
        <v>-44188.693599041508</v>
      </c>
      <c r="S80" s="188">
        <f ca="1">'Group P&amp;L'!S72</f>
        <v>-53882.926510439953</v>
      </c>
    </row>
    <row r="81" spans="1:19">
      <c r="A81" s="118" t="s">
        <v>1866</v>
      </c>
      <c r="B81" s="118"/>
      <c r="C81" s="118"/>
      <c r="D81" s="190">
        <f>'Group P&amp;L'!D73</f>
        <v>-2589</v>
      </c>
      <c r="E81" s="190">
        <f ca="1">'Group P&amp;L'!E73</f>
        <v>2882.8129709214263</v>
      </c>
      <c r="F81" s="190">
        <f ca="1">'Group P&amp;L'!F73</f>
        <v>26166.457518438678</v>
      </c>
      <c r="G81" s="190">
        <f ca="1">'Group P&amp;L'!G73</f>
        <v>57393.662338148133</v>
      </c>
      <c r="H81" s="190">
        <f ca="1">'Group P&amp;L'!H73</f>
        <v>104375.84985117655</v>
      </c>
      <c r="I81" s="190">
        <f ca="1">'Group P&amp;L'!I73</f>
        <v>155476.91090923912</v>
      </c>
      <c r="J81" s="190">
        <f ca="1">'Group P&amp;L'!J73</f>
        <v>202251.08739984949</v>
      </c>
      <c r="K81" s="190">
        <f ca="1">'Group P&amp;L'!K73</f>
        <v>237135.29117249342</v>
      </c>
      <c r="L81" s="190">
        <f ca="1">'Group P&amp;L'!L73</f>
        <v>251815.78188918356</v>
      </c>
      <c r="M81" s="190">
        <f ca="1">'Group P&amp;L'!M73</f>
        <v>270649.03672435653</v>
      </c>
      <c r="N81" s="190">
        <f ca="1">'Group P&amp;L'!N73</f>
        <v>323959.29706044355</v>
      </c>
      <c r="O81" s="190">
        <f ca="1">'Group P&amp;L'!O73</f>
        <v>410699.17959564063</v>
      </c>
      <c r="P81" s="190">
        <f ca="1">'Group P&amp;L'!P73</f>
        <v>524810.69366815907</v>
      </c>
      <c r="Q81" s="190">
        <f ca="1">'Group P&amp;L'!Q73</f>
        <v>628614.53715909424</v>
      </c>
      <c r="R81" s="190">
        <f ca="1">'Group P&amp;L'!R73</f>
        <v>797715.06442689744</v>
      </c>
      <c r="S81" s="190">
        <f ca="1">'Group P&amp;L'!S73</f>
        <v>1024573.6734853212</v>
      </c>
    </row>
    <row r="82" spans="1:19">
      <c r="A82" s="23"/>
      <c r="B82" s="23"/>
      <c r="C82" s="23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</row>
    <row r="83" spans="1:19">
      <c r="A83" s="13" t="s">
        <v>1867</v>
      </c>
      <c r="B83" s="13"/>
      <c r="C83" s="13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</row>
    <row r="84" spans="1:19">
      <c r="A84" s="23" t="s">
        <v>1868</v>
      </c>
      <c r="B84" s="23"/>
      <c r="C84" s="23"/>
      <c r="D84" s="188">
        <f>'Group P&amp;L'!D76</f>
        <v>0</v>
      </c>
      <c r="E84" s="188">
        <f ca="1">'Group P&amp;L'!E76</f>
        <v>52.502005002733704</v>
      </c>
      <c r="F84" s="188">
        <f ca="1">'Group P&amp;L'!F76</f>
        <v>547.01216626128519</v>
      </c>
      <c r="G84" s="188">
        <f ca="1">'Group P&amp;L'!G76</f>
        <v>5297.4031934070954</v>
      </c>
      <c r="H84" s="188">
        <f ca="1">'Group P&amp;L'!H76</f>
        <v>11958.416281250251</v>
      </c>
      <c r="I84" s="188">
        <f ca="1">'Group P&amp;L'!I76</f>
        <v>21770.400801943491</v>
      </c>
      <c r="J84" s="188">
        <f ca="1">'Group P&amp;L'!J76</f>
        <v>32771.187744137344</v>
      </c>
      <c r="K84" s="188">
        <f ca="1">'Group P&amp;L'!K76</f>
        <v>42771.415116528893</v>
      </c>
      <c r="L84" s="188">
        <f ca="1">'Group P&amp;L'!L76</f>
        <v>50538.4272581685</v>
      </c>
      <c r="M84" s="188">
        <f ca="1">'Group P&amp;L'!M76</f>
        <v>54284.972051006123</v>
      </c>
      <c r="N84" s="188">
        <f ca="1">'Group P&amp;L'!N76</f>
        <v>58453.298723661341</v>
      </c>
      <c r="O84" s="188">
        <f ca="1">'Group P&amp;L'!O76</f>
        <v>69736.173653870734</v>
      </c>
      <c r="P84" s="188">
        <f ca="1">'Group P&amp;L'!P76</f>
        <v>88078.777960220395</v>
      </c>
      <c r="Q84" s="188">
        <f ca="1">'Group P&amp;L'!Q76</f>
        <v>112516.82318945418</v>
      </c>
      <c r="R84" s="188">
        <f ca="1">'Group P&amp;L'!R76</f>
        <v>134837.59004717958</v>
      </c>
      <c r="S84" s="188">
        <f ca="1">'Group P&amp;L'!S76</f>
        <v>170644.92079734677</v>
      </c>
    </row>
    <row r="85" spans="1:19">
      <c r="A85" s="118" t="s">
        <v>1869</v>
      </c>
      <c r="B85" s="118"/>
      <c r="C85" s="118"/>
      <c r="D85" s="190">
        <f>'Group P&amp;L'!D77</f>
        <v>-2589</v>
      </c>
      <c r="E85" s="190">
        <f ca="1">'Group P&amp;L'!E77</f>
        <v>2830.3109659186925</v>
      </c>
      <c r="F85" s="190">
        <f ca="1">'Group P&amp;L'!F77</f>
        <v>25619.445352177394</v>
      </c>
      <c r="G85" s="190">
        <f ca="1">'Group P&amp;L'!G77</f>
        <v>52096.259144741038</v>
      </c>
      <c r="H85" s="190">
        <f ca="1">'Group P&amp;L'!H77</f>
        <v>92417.433569926303</v>
      </c>
      <c r="I85" s="190">
        <f ca="1">'Group P&amp;L'!I77</f>
        <v>133706.51010729562</v>
      </c>
      <c r="J85" s="190">
        <f ca="1">'Group P&amp;L'!J77</f>
        <v>169479.89965571216</v>
      </c>
      <c r="K85" s="190">
        <f ca="1">'Group P&amp;L'!K77</f>
        <v>194363.87605596453</v>
      </c>
      <c r="L85" s="190">
        <f ca="1">'Group P&amp;L'!L77</f>
        <v>201277.35463101507</v>
      </c>
      <c r="M85" s="190">
        <f ca="1">'Group P&amp;L'!M77</f>
        <v>216364.0646733504</v>
      </c>
      <c r="N85" s="190">
        <f ca="1">'Group P&amp;L'!N77</f>
        <v>265505.99833678221</v>
      </c>
      <c r="O85" s="190">
        <f ca="1">'Group P&amp;L'!O77</f>
        <v>340963.00594176992</v>
      </c>
      <c r="P85" s="190">
        <f ca="1">'Group P&amp;L'!P77</f>
        <v>436731.91570793866</v>
      </c>
      <c r="Q85" s="190">
        <f ca="1">'Group P&amp;L'!Q77</f>
        <v>516097.71396964008</v>
      </c>
      <c r="R85" s="190">
        <f ca="1">'Group P&amp;L'!R77</f>
        <v>662877.47437971784</v>
      </c>
      <c r="S85" s="190">
        <f ca="1">'Group P&amp;L'!S77</f>
        <v>853928.75268797448</v>
      </c>
    </row>
    <row r="86" spans="1:19">
      <c r="A86" s="23"/>
      <c r="B86" s="23"/>
      <c r="C86" s="23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</row>
    <row r="87" spans="1:19">
      <c r="A87" s="13" t="s">
        <v>1870</v>
      </c>
      <c r="B87" s="13"/>
      <c r="C87" s="13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</row>
    <row r="88" spans="1:19">
      <c r="A88" s="23" t="s">
        <v>1871</v>
      </c>
      <c r="B88" s="23"/>
      <c r="C88" s="23"/>
      <c r="D88" s="188">
        <f>'Group P&amp;L'!D80</f>
        <v>4178</v>
      </c>
      <c r="E88" s="188">
        <f ca="1">'Group P&amp;L'!E80</f>
        <v>1714.4918219284275</v>
      </c>
      <c r="F88" s="188">
        <f ca="1">'Group P&amp;L'!F80</f>
        <v>6918.8608559199465</v>
      </c>
      <c r="G88" s="188">
        <f ca="1">'Group P&amp;L'!G80</f>
        <v>14418.862819131948</v>
      </c>
      <c r="H88" s="188">
        <f ca="1">'Group P&amp;L'!H80</f>
        <v>35948.961961625864</v>
      </c>
      <c r="I88" s="188">
        <f ca="1">'Group P&amp;L'!I80</f>
        <v>59932.503056401009</v>
      </c>
      <c r="J88" s="188">
        <f ca="1">'Group P&amp;L'!J80</f>
        <v>58500.13628351222</v>
      </c>
      <c r="K88" s="188">
        <f ca="1">'Group P&amp;L'!K80</f>
        <v>65295.700556190015</v>
      </c>
      <c r="L88" s="188">
        <f ca="1">'Group P&amp;L'!L80</f>
        <v>26042.923960554028</v>
      </c>
      <c r="M88" s="188">
        <f ca="1">'Group P&amp;L'!M80</f>
        <v>61001.732167579838</v>
      </c>
      <c r="N88" s="188">
        <f ca="1">'Group P&amp;L'!N80</f>
        <v>86638.74301332701</v>
      </c>
      <c r="O88" s="188">
        <f ca="1">'Group P&amp;L'!O80</f>
        <v>131325.19825495183</v>
      </c>
      <c r="P88" s="188">
        <f ca="1">'Group P&amp;L'!P80</f>
        <v>81998.007714503066</v>
      </c>
      <c r="Q88" s="188">
        <f ca="1">'Group P&amp;L'!Q80</f>
        <v>49246.153544620443</v>
      </c>
      <c r="R88" s="188">
        <f ca="1">'Group P&amp;L'!R80</f>
        <v>26202.398359479146</v>
      </c>
      <c r="S88" s="188">
        <f ca="1">'Group P&amp;L'!S80</f>
        <v>30494.936002613296</v>
      </c>
    </row>
    <row r="89" spans="1:19">
      <c r="A89" s="23" t="s">
        <v>1872</v>
      </c>
      <c r="B89" s="23"/>
      <c r="C89" s="23"/>
      <c r="D89" s="188">
        <f>'Group P&amp;L'!D81</f>
        <v>3832</v>
      </c>
      <c r="E89" s="188">
        <f ca="1">'Group P&amp;L'!E81</f>
        <v>900.78459459459452</v>
      </c>
      <c r="F89" s="188">
        <f ca="1">'Group P&amp;L'!F81</f>
        <v>705.62165998167836</v>
      </c>
      <c r="G89" s="188">
        <f ca="1">'Group P&amp;L'!G81</f>
        <v>663.32847657385526</v>
      </c>
      <c r="H89" s="188">
        <f ca="1">'Group P&amp;L'!H81</f>
        <v>1258.8941454686951</v>
      </c>
      <c r="I89" s="188">
        <f ca="1">'Group P&amp;L'!I81</f>
        <v>1231.1697007792723</v>
      </c>
      <c r="J89" s="188">
        <f ca="1">'Group P&amp;L'!J81</f>
        <v>570.36499943713488</v>
      </c>
      <c r="K89" s="188">
        <f ca="1">'Group P&amp;L'!K81</f>
        <v>2121.2190978006115</v>
      </c>
      <c r="L89" s="188">
        <f ca="1">'Group P&amp;L'!L81</f>
        <v>862.06716064212981</v>
      </c>
      <c r="M89" s="188">
        <f ca="1">'Group P&amp;L'!M81</f>
        <v>1001.9146449172931</v>
      </c>
      <c r="N89" s="188">
        <f ca="1">'Group P&amp;L'!N81</f>
        <v>1182.0845901509697</v>
      </c>
      <c r="O89" s="188">
        <f ca="1">'Group P&amp;L'!O81</f>
        <v>1977.4794976222788</v>
      </c>
      <c r="P89" s="188">
        <f ca="1">'Group P&amp;L'!P81</f>
        <v>444.50037934505934</v>
      </c>
      <c r="Q89" s="188">
        <f ca="1">'Group P&amp;L'!Q81</f>
        <v>501.0013016058403</v>
      </c>
      <c r="R89" s="188">
        <f ca="1">'Group P&amp;L'!R81</f>
        <v>616.9316660058347</v>
      </c>
      <c r="S89" s="188">
        <f ca="1">'Group P&amp;L'!S81</f>
        <v>-19.772840194073638</v>
      </c>
    </row>
    <row r="90" spans="1:19">
      <c r="A90" s="23" t="s">
        <v>1873</v>
      </c>
      <c r="B90" s="23"/>
      <c r="C90" s="23"/>
      <c r="D90" s="188">
        <f>'Group P&amp;L'!D82</f>
        <v>12727</v>
      </c>
      <c r="E90" s="188">
        <f ca="1">'Group P&amp;L'!E82</f>
        <v>17588.433452231853</v>
      </c>
      <c r="F90" s="188">
        <f ca="1">'Group P&amp;L'!F82</f>
        <v>27905.221181949826</v>
      </c>
      <c r="G90" s="188">
        <f ca="1">'Group P&amp;L'!G82</f>
        <v>17637.464100821333</v>
      </c>
      <c r="H90" s="188">
        <f ca="1">'Group P&amp;L'!H82</f>
        <v>17355.361039800144</v>
      </c>
      <c r="I90" s="188">
        <f ca="1">'Group P&amp;L'!I82</f>
        <v>45254.266085994102</v>
      </c>
      <c r="J90" s="188">
        <f ca="1">'Group P&amp;L'!J82</f>
        <v>82395.577721369846</v>
      </c>
      <c r="K90" s="188">
        <f ca="1">'Group P&amp;L'!K82</f>
        <v>123720.43905456817</v>
      </c>
      <c r="L90" s="188">
        <f ca="1">'Group P&amp;L'!L82</f>
        <v>92370.275139522913</v>
      </c>
      <c r="M90" s="188">
        <f ca="1">'Group P&amp;L'!M82</f>
        <v>119530.10822037797</v>
      </c>
      <c r="N90" s="188">
        <f ca="1">'Group P&amp;L'!N82</f>
        <v>161064.63558497871</v>
      </c>
      <c r="O90" s="188">
        <f ca="1">'Group P&amp;L'!O82</f>
        <v>239918.27902586077</v>
      </c>
      <c r="P90" s="188">
        <f ca="1">'Group P&amp;L'!P82</f>
        <v>317208.9626936689</v>
      </c>
      <c r="Q90" s="188">
        <f ca="1">'Group P&amp;L'!Q82</f>
        <v>369002.33226612792</v>
      </c>
      <c r="R90" s="188">
        <f ca="1">'Group P&amp;L'!R82</f>
        <v>483963.52598951885</v>
      </c>
      <c r="S90" s="188">
        <f ca="1">'Group P&amp;L'!S82</f>
        <v>619237.46748286788</v>
      </c>
    </row>
    <row r="91" spans="1:19">
      <c r="A91" s="23" t="s">
        <v>1874</v>
      </c>
      <c r="B91" s="23"/>
      <c r="C91" s="23"/>
      <c r="D91" s="188">
        <f>'Group P&amp;L'!D83</f>
        <v>0</v>
      </c>
      <c r="E91" s="188">
        <f>'Group P&amp;L'!E83</f>
        <v>0</v>
      </c>
      <c r="F91" s="188">
        <f>'Group P&amp;L'!F83</f>
        <v>0</v>
      </c>
      <c r="G91" s="188">
        <f>'Group P&amp;L'!G83</f>
        <v>0</v>
      </c>
      <c r="H91" s="188">
        <f>'Group P&amp;L'!H83</f>
        <v>0</v>
      </c>
      <c r="I91" s="188">
        <f ca="1">'Group P&amp;L'!I83</f>
        <v>14332.043796298705</v>
      </c>
      <c r="J91" s="188">
        <f ca="1">'Group P&amp;L'!J83</f>
        <v>11699.173085990644</v>
      </c>
      <c r="K91" s="188">
        <f ca="1">'Group P&amp;L'!K83</f>
        <v>23340.494509868317</v>
      </c>
      <c r="L91" s="188">
        <f ca="1">'Group P&amp;L'!L83</f>
        <v>9168.1647692186853</v>
      </c>
      <c r="M91" s="188">
        <f ca="1">'Group P&amp;L'!M83</f>
        <v>25512.880362733562</v>
      </c>
      <c r="N91" s="188">
        <f ca="1">'Group P&amp;L'!N83</f>
        <v>19897.388660654004</v>
      </c>
      <c r="O91" s="188">
        <f ca="1">'Group P&amp;L'!O83</f>
        <v>23194.991144342184</v>
      </c>
      <c r="P91" s="188">
        <f ca="1">'Group P&amp;L'!P83</f>
        <v>23224.530723223212</v>
      </c>
      <c r="Q91" s="188">
        <f ca="1">'Group P&amp;L'!Q83</f>
        <v>48556.101531877561</v>
      </c>
      <c r="R91" s="188">
        <f ca="1">'Group P&amp;L'!R83</f>
        <v>71388.313152967516</v>
      </c>
      <c r="S91" s="188">
        <f ca="1">'Group P&amp;L'!S83</f>
        <v>94332.599034176033</v>
      </c>
    </row>
    <row r="92" spans="1:19">
      <c r="A92" s="23" t="s">
        <v>1875</v>
      </c>
      <c r="B92" s="23"/>
      <c r="C92" s="23"/>
      <c r="D92" s="188">
        <f ca="1">'Group P&amp;L'!D84</f>
        <v>3332.07</v>
      </c>
      <c r="E92" s="188">
        <f ca="1">'Group P&amp;L'!E84</f>
        <v>1117.3541655079741</v>
      </c>
      <c r="F92" s="188">
        <f ca="1">'Group P&amp;L'!F84</f>
        <v>1392.784432443525</v>
      </c>
      <c r="G92" s="188">
        <f ca="1">'Group P&amp;L'!G84</f>
        <v>5820.8589383151084</v>
      </c>
      <c r="H92" s="188">
        <f ca="1">'Group P&amp;L'!H84</f>
        <v>10219.481748570475</v>
      </c>
      <c r="I92" s="188">
        <f ca="1">'Group P&amp;L'!I84</f>
        <v>19209.131753565718</v>
      </c>
      <c r="J92" s="188">
        <f ca="1">'Group P&amp;L'!J84</f>
        <v>25211.106276474748</v>
      </c>
      <c r="K92" s="188">
        <f ca="1">'Group P&amp;L'!K84</f>
        <v>28916.751237239892</v>
      </c>
      <c r="L92" s="188">
        <f ca="1">'Group P&amp;L'!L84</f>
        <v>35047.358081225422</v>
      </c>
      <c r="M92" s="188">
        <f ca="1">'Group P&amp;L'!M84</f>
        <v>30184.063170162401</v>
      </c>
      <c r="N92" s="188">
        <f ca="1">'Group P&amp;L'!N84</f>
        <v>33388.803939549311</v>
      </c>
      <c r="O92" s="188">
        <f ca="1">'Group P&amp;L'!O84</f>
        <v>42131.66243082747</v>
      </c>
      <c r="P92" s="188">
        <f ca="1">'Group P&amp;L'!P84</f>
        <v>54736.593685499705</v>
      </c>
      <c r="Q92" s="188">
        <f ca="1">'Group P&amp;L'!Q84</f>
        <v>52118.461546257109</v>
      </c>
      <c r="R92" s="188">
        <f ca="1">'Group P&amp;L'!R84</f>
        <v>57585.943511961792</v>
      </c>
      <c r="S92" s="188">
        <f ca="1">'Group P&amp;L'!S84</f>
        <v>71329.521557641943</v>
      </c>
    </row>
    <row r="93" spans="1:19">
      <c r="A93" s="118" t="s">
        <v>1876</v>
      </c>
      <c r="B93" s="118"/>
      <c r="C93" s="118"/>
      <c r="D93" s="190">
        <f>'Group P&amp;L'!D85</f>
        <v>20737</v>
      </c>
      <c r="E93" s="190">
        <f ca="1">'Group P&amp;L'!E85</f>
        <v>21321.06403426285</v>
      </c>
      <c r="F93" s="190">
        <f ca="1">'Group P&amp;L'!F85</f>
        <v>36922.48813029498</v>
      </c>
      <c r="G93" s="190">
        <f ca="1">'Group P&amp;L'!G85</f>
        <v>38540.514334842243</v>
      </c>
      <c r="H93" s="190">
        <f ca="1">'Group P&amp;L'!H85</f>
        <v>64782.698895465182</v>
      </c>
      <c r="I93" s="190">
        <f ca="1">'Group P&amp;L'!I85</f>
        <v>139959.11439303882</v>
      </c>
      <c r="J93" s="190">
        <f ca="1">'Group P&amp;L'!J85</f>
        <v>178376.35836678461</v>
      </c>
      <c r="K93" s="190">
        <f ca="1">'Group P&amp;L'!K85</f>
        <v>243394.60445566699</v>
      </c>
      <c r="L93" s="190">
        <f ca="1">'Group P&amp;L'!L85</f>
        <v>163490.78911116318</v>
      </c>
      <c r="M93" s="190">
        <f ca="1">'Group P&amp;L'!M85</f>
        <v>237230.69856577108</v>
      </c>
      <c r="N93" s="190">
        <f ca="1">'Group P&amp;L'!N85</f>
        <v>302171.65578865999</v>
      </c>
      <c r="O93" s="190">
        <f ca="1">'Group P&amp;L'!O85</f>
        <v>438547.61035360454</v>
      </c>
      <c r="P93" s="190">
        <f ca="1">'Group P&amp;L'!P85</f>
        <v>477612.59519623994</v>
      </c>
      <c r="Q93" s="190">
        <f ca="1">'Group P&amp;L'!Q85</f>
        <v>519424.05019048892</v>
      </c>
      <c r="R93" s="190">
        <f ca="1">'Group P&amp;L'!R85</f>
        <v>639757.1126799332</v>
      </c>
      <c r="S93" s="190">
        <f ca="1">'Group P&amp;L'!S85</f>
        <v>815374.75123710511</v>
      </c>
    </row>
    <row r="94" spans="1:19">
      <c r="A94" s="23"/>
      <c r="B94" s="23"/>
      <c r="C94" s="23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</row>
    <row r="95" spans="1:19">
      <c r="A95" s="13" t="s">
        <v>1877</v>
      </c>
      <c r="B95" s="13"/>
      <c r="C95" s="13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</row>
    <row r="96" spans="1:19">
      <c r="A96" s="202" t="s">
        <v>1878</v>
      </c>
      <c r="B96" s="202"/>
      <c r="C96" s="202"/>
      <c r="D96" s="203">
        <f ca="1">'Group P&amp;L'!D88</f>
        <v>3055.8377464819987</v>
      </c>
      <c r="E96" s="203">
        <f ca="1">'Group P&amp;L'!E88</f>
        <v>6271.2669692377931</v>
      </c>
      <c r="F96" s="203">
        <f ca="1">'Group P&amp;L'!F88</f>
        <v>22456.979714622263</v>
      </c>
      <c r="G96" s="203">
        <f ca="1">'Group P&amp;L'!G88</f>
        <v>48047.289062681768</v>
      </c>
      <c r="H96" s="203">
        <f ca="1">'Group P&amp;L'!H88</f>
        <v>77985.412991830381</v>
      </c>
      <c r="I96" s="203">
        <f ca="1">'Group P&amp;L'!I88</f>
        <v>107213.16502039065</v>
      </c>
      <c r="J96" s="203">
        <f ca="1">'Group P&amp;L'!J88</f>
        <v>142231.7653114133</v>
      </c>
      <c r="K96" s="203">
        <f ca="1">'Group P&amp;L'!K88</f>
        <v>158484.41336394686</v>
      </c>
      <c r="L96" s="203">
        <f ca="1">'Group P&amp;L'!L88</f>
        <v>204831.37889469328</v>
      </c>
      <c r="M96" s="203">
        <f ca="1">'Group P&amp;L'!M88</f>
        <v>175811.46014796369</v>
      </c>
      <c r="N96" s="203">
        <f ca="1">'Group P&amp;L'!N88</f>
        <v>165473.62096925883</v>
      </c>
      <c r="O96" s="203">
        <f ca="1">'Group P&amp;L'!O88</f>
        <v>138628.46829031777</v>
      </c>
      <c r="P96" s="203">
        <f ca="1">'Group P&amp;L'!P88</f>
        <v>204368.15939335959</v>
      </c>
      <c r="Q96" s="203">
        <f ca="1">'Group P&amp;L'!Q88</f>
        <v>250245.61262814264</v>
      </c>
      <c r="R96" s="203">
        <f ca="1">'Group P&amp;L'!R88</f>
        <v>282056.10884966771</v>
      </c>
      <c r="S96" s="203">
        <f ca="1">'Group P&amp;L'!S88</f>
        <v>282305.93909847428</v>
      </c>
    </row>
    <row r="97" spans="1:19">
      <c r="A97" s="23" t="s">
        <v>1879</v>
      </c>
      <c r="B97" s="23"/>
      <c r="C97" s="23"/>
      <c r="D97" s="188">
        <f ca="1">'Group P&amp;L'!D89</f>
        <v>1118.8376923076924</v>
      </c>
      <c r="E97" s="188">
        <f ca="1">'Group P&amp;L'!E89</f>
        <v>2578.6319054054052</v>
      </c>
      <c r="F97" s="188">
        <f ca="1">'Group P&amp;L'!F89</f>
        <v>5906.2843939197965</v>
      </c>
      <c r="G97" s="188">
        <f ca="1">'Group P&amp;L'!G89</f>
        <v>6517.262350562075</v>
      </c>
      <c r="H97" s="188">
        <f ca="1">'Group P&amp;L'!H89</f>
        <v>6636.8997704715566</v>
      </c>
      <c r="I97" s="188">
        <f ca="1">'Group P&amp;L'!I89</f>
        <v>7433.2625009238582</v>
      </c>
      <c r="J97" s="188">
        <f ca="1">'Group P&amp;L'!J89</f>
        <v>8091.4248123511443</v>
      </c>
      <c r="K97" s="188">
        <f ca="1">'Group P&amp;L'!K89</f>
        <v>8620.9228395914815</v>
      </c>
      <c r="L97" s="188">
        <f ca="1">'Group P&amp;L'!L89</f>
        <v>9229.7124154939793</v>
      </c>
      <c r="M97" s="188">
        <f ca="1">'Group P&amp;L'!M89</f>
        <v>8258.2697418306034</v>
      </c>
      <c r="N97" s="188">
        <f ca="1">'Group P&amp;L'!N89</f>
        <v>7189.4619412410993</v>
      </c>
      <c r="O97" s="188">
        <f ca="1">'Group P&amp;L'!O89</f>
        <v>5474.3398232442469</v>
      </c>
      <c r="P97" s="188">
        <f ca="1">'Group P&amp;L'!P89</f>
        <v>6052.6135148149524</v>
      </c>
      <c r="Q97" s="188">
        <f ca="1">'Group P&amp;L'!Q89</f>
        <v>4997.4584376453149</v>
      </c>
      <c r="R97" s="188">
        <f ca="1">'Group P&amp;L'!R89</f>
        <v>3830.534177691944</v>
      </c>
      <c r="S97" s="188">
        <f ca="1">'Group P&amp;L'!S89</f>
        <v>2673.9181731684503</v>
      </c>
    </row>
    <row r="98" spans="1:19">
      <c r="A98" s="23" t="s">
        <v>1880</v>
      </c>
      <c r="B98" s="23"/>
      <c r="C98" s="23"/>
      <c r="D98" s="188">
        <f ca="1">'Group P&amp;L'!D90</f>
        <v>-1641.2673500000001</v>
      </c>
      <c r="E98" s="188">
        <f ca="1">'Group P&amp;L'!E90</f>
        <v>-18659.044694987791</v>
      </c>
      <c r="F98" s="188">
        <f ca="1">'Group P&amp;L'!F90</f>
        <v>-26250.361853032344</v>
      </c>
      <c r="G98" s="188">
        <f ca="1">'Group P&amp;L'!G90</f>
        <v>-11970.342880208042</v>
      </c>
      <c r="H98" s="188">
        <f ca="1">'Group P&amp;L'!H90</f>
        <v>-5398.7498957722055</v>
      </c>
      <c r="I98" s="188">
        <f ca="1">'Group P&amp;L'!I90</f>
        <v>-11620.80284154231</v>
      </c>
      <c r="J98" s="188">
        <f ca="1">'Group P&amp;L'!J90</f>
        <v>-4028.7701769486594</v>
      </c>
      <c r="K98" s="188">
        <f ca="1">'Group P&amp;L'!K90</f>
        <v>1094.124318604474</v>
      </c>
      <c r="L98" s="188">
        <f ca="1">'Group P&amp;L'!L90</f>
        <v>57421.665076871577</v>
      </c>
      <c r="M98" s="188">
        <f ca="1">'Group P&amp;L'!M90</f>
        <v>67954.591961753264</v>
      </c>
      <c r="N98" s="188">
        <f ca="1">'Group P&amp;L'!N90</f>
        <v>91146.030744726566</v>
      </c>
      <c r="O98" s="188">
        <f ca="1">'Group P&amp;L'!O90</f>
        <v>125960.19782167207</v>
      </c>
      <c r="P98" s="188">
        <f ca="1">'Group P&amp;L'!P90</f>
        <v>186688.83303945372</v>
      </c>
      <c r="Q98" s="188">
        <f ca="1">'Group P&amp;L'!Q90</f>
        <v>276873.11960594333</v>
      </c>
      <c r="R98" s="188">
        <f ca="1">'Group P&amp;L'!R90</f>
        <v>369517.89191298268</v>
      </c>
      <c r="S98" s="188">
        <f ca="1">'Group P&amp;L'!S90</f>
        <v>515158.52509780857</v>
      </c>
    </row>
    <row r="99" spans="1:19">
      <c r="A99" s="23" t="s">
        <v>1881</v>
      </c>
      <c r="B99" s="23"/>
      <c r="C99" s="23"/>
      <c r="D99" s="188">
        <f>'Group P&amp;L'!D91</f>
        <v>-750</v>
      </c>
      <c r="E99" s="188">
        <f>'Group P&amp;L'!E91</f>
        <v>-750</v>
      </c>
      <c r="F99" s="188">
        <f>'Group P&amp;L'!F91</f>
        <v>-750</v>
      </c>
      <c r="G99" s="188">
        <f>'Group P&amp;L'!G91</f>
        <v>-750</v>
      </c>
      <c r="H99" s="188">
        <f>'Group P&amp;L'!H91</f>
        <v>-750</v>
      </c>
      <c r="I99" s="188">
        <f ca="1">'Group P&amp;L'!I91</f>
        <v>-15048.645986113641</v>
      </c>
      <c r="J99" s="188">
        <f ca="1">'Group P&amp;L'!J91</f>
        <v>-12284.131740290177</v>
      </c>
      <c r="K99" s="188">
        <f ca="1">'Group P&amp;L'!K91</f>
        <v>-24507.519235361731</v>
      </c>
      <c r="L99" s="188">
        <f ca="1">'Group P&amp;L'!L91</f>
        <v>-9626.5730076796208</v>
      </c>
      <c r="M99" s="188">
        <f ca="1">'Group P&amp;L'!M91</f>
        <v>-26788.52438087024</v>
      </c>
      <c r="N99" s="188">
        <f ca="1">'Group P&amp;L'!N91</f>
        <v>-20892.258093686702</v>
      </c>
      <c r="O99" s="188">
        <f ca="1">'Group P&amp;L'!O91</f>
        <v>-24354.740701559294</v>
      </c>
      <c r="P99" s="188">
        <f ca="1">'Group P&amp;L'!P91</f>
        <v>-24385.757259384372</v>
      </c>
      <c r="Q99" s="188">
        <f ca="1">'Group P&amp;L'!Q91</f>
        <v>-50983.906608471443</v>
      </c>
      <c r="R99" s="188">
        <f ca="1">'Group P&amp;L'!R91</f>
        <v>-74957.728810615896</v>
      </c>
      <c r="S99" s="188">
        <f ca="1">'Group P&amp;L'!S91</f>
        <v>-99049.228985884838</v>
      </c>
    </row>
    <row r="100" spans="1:19">
      <c r="A100" s="23" t="s">
        <v>1943</v>
      </c>
      <c r="B100" s="23"/>
      <c r="C100" s="23"/>
      <c r="D100" s="188">
        <f ca="1">'Group P&amp;L'!D92</f>
        <v>-3878.9166440625818</v>
      </c>
      <c r="E100" s="188">
        <f ca="1">'Group P&amp;L'!E92</f>
        <v>-4989.1442728786424</v>
      </c>
      <c r="F100" s="188">
        <f ca="1">'Group P&amp;L'!F92</f>
        <v>-5937.2048909759196</v>
      </c>
      <c r="G100" s="188">
        <f ca="1">'Group P&amp;L'!G92</f>
        <v>-16292.224088480179</v>
      </c>
      <c r="H100" s="188">
        <f ca="1">'Group P&amp;L'!H92</f>
        <v>-28312.488963343421</v>
      </c>
      <c r="I100" s="188">
        <f ca="1">'Group P&amp;L'!I92</f>
        <v>-48838.777544192155</v>
      </c>
      <c r="J100" s="188">
        <f ca="1">'Group P&amp;L'!J92</f>
        <v>-67323.161035473284</v>
      </c>
      <c r="K100" s="188">
        <f ca="1">'Group P&amp;L'!K92</f>
        <v>-82570.842825323198</v>
      </c>
      <c r="L100" s="188">
        <f ca="1">'Group P&amp;L'!L92</f>
        <v>-97690.078699621343</v>
      </c>
      <c r="M100" s="188">
        <f ca="1">'Group P&amp;L'!M92</f>
        <v>-96405.022466428694</v>
      </c>
      <c r="N100" s="188">
        <f ca="1">'Group P&amp;L'!N92</f>
        <v>-104108.3309341991</v>
      </c>
      <c r="O100" s="188">
        <f ca="1">'Group P&amp;L'!O92</f>
        <v>-125716.67176987813</v>
      </c>
      <c r="P100" s="188">
        <f ca="1">'Group P&amp;L'!P92</f>
        <v>-159746.90882301013</v>
      </c>
      <c r="Q100" s="188">
        <f ca="1">'Group P&amp;L'!Q92</f>
        <v>-185125.33456430808</v>
      </c>
      <c r="R100" s="188">
        <f ca="1">'Group P&amp;L'!R92</f>
        <v>-216591.60591230282</v>
      </c>
      <c r="S100" s="188">
        <f ca="1">'Group P&amp;L'!S92</f>
        <v>-272270.27154166653</v>
      </c>
    </row>
    <row r="101" spans="1:19">
      <c r="A101" s="118" t="s">
        <v>1883</v>
      </c>
      <c r="B101" s="118"/>
      <c r="C101" s="118"/>
      <c r="D101" s="190">
        <f ca="1">'Group P&amp;L'!D93</f>
        <v>-2095.508555272891</v>
      </c>
      <c r="E101" s="190">
        <f ca="1">'Group P&amp;L'!E93</f>
        <v>-15548.290093223235</v>
      </c>
      <c r="F101" s="190">
        <f ca="1">'Group P&amp;L'!F93</f>
        <v>-4574.3026354662052</v>
      </c>
      <c r="G101" s="190">
        <f ca="1">'Group P&amp;L'!G93</f>
        <v>25551.984444555615</v>
      </c>
      <c r="H101" s="190">
        <f ca="1">'Group P&amp;L'!H93</f>
        <v>50161.07390318632</v>
      </c>
      <c r="I101" s="190">
        <f ca="1">'Group P&amp;L'!I93</f>
        <v>39138.201149466389</v>
      </c>
      <c r="J101" s="190">
        <f ca="1">'Group P&amp;L'!J93</f>
        <v>66687.127171052329</v>
      </c>
      <c r="K101" s="190">
        <f ca="1">'Group P&amp;L'!K93</f>
        <v>61121.098461457907</v>
      </c>
      <c r="L101" s="190">
        <f ca="1">'Group P&amp;L'!L93</f>
        <v>164166.10467975785</v>
      </c>
      <c r="M101" s="190">
        <f ca="1">'Group P&amp;L'!M93</f>
        <v>128830.7750042486</v>
      </c>
      <c r="N101" s="190">
        <f ca="1">'Group P&amp;L'!N93</f>
        <v>138808.52462734072</v>
      </c>
      <c r="O101" s="190">
        <f ca="1">'Group P&amp;L'!O93</f>
        <v>119991.59346379671</v>
      </c>
      <c r="P101" s="190">
        <f ca="1">'Group P&amp;L'!P93</f>
        <v>212976.93986523375</v>
      </c>
      <c r="Q101" s="190">
        <f ca="1">'Group P&amp;L'!Q93</f>
        <v>296006.94949895178</v>
      </c>
      <c r="R101" s="190">
        <f ca="1">'Group P&amp;L'!R93</f>
        <v>363855.20021742373</v>
      </c>
      <c r="S101" s="190">
        <f ca="1">'Group P&amp;L'!S93</f>
        <v>428818.88184189989</v>
      </c>
    </row>
    <row r="102" spans="1:19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spans="1:19">
      <c r="A103" s="13" t="s">
        <v>1944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>
      <c r="A104" s="23" t="s">
        <v>1945</v>
      </c>
      <c r="B104" s="23"/>
      <c r="C104" s="23"/>
      <c r="D104" s="189">
        <f>D12-Starlink!D145</f>
        <v>-331.87516964052338</v>
      </c>
      <c r="E104" s="189">
        <f ca="1">E12-Starlink!E145</f>
        <v>0</v>
      </c>
      <c r="F104" s="189">
        <f ca="1">F12-Starlink!F145</f>
        <v>0</v>
      </c>
      <c r="G104" s="189">
        <f ca="1">G12-Starlink!G145</f>
        <v>0</v>
      </c>
      <c r="H104" s="189">
        <f ca="1">H12-Starlink!H145</f>
        <v>0</v>
      </c>
      <c r="I104" s="189">
        <f ca="1">I12-Starlink!I145</f>
        <v>0</v>
      </c>
      <c r="J104" s="189">
        <f ca="1">J12-Starlink!J145</f>
        <v>0</v>
      </c>
      <c r="K104" s="189">
        <f ca="1">K12-Starlink!K145</f>
        <v>0</v>
      </c>
      <c r="L104" s="189">
        <f ca="1">L12-Starlink!L145</f>
        <v>0</v>
      </c>
      <c r="M104" s="189">
        <f ca="1">M12-Starlink!M145</f>
        <v>0</v>
      </c>
      <c r="N104" s="189">
        <f ca="1">N12-Starlink!N145</f>
        <v>0</v>
      </c>
      <c r="O104" s="189">
        <f ca="1">O12-Starlink!O145</f>
        <v>0</v>
      </c>
      <c r="P104" s="189">
        <f ca="1">P12-Starlink!P145</f>
        <v>0</v>
      </c>
      <c r="Q104" s="189">
        <f ca="1">Q12-Starlink!Q145</f>
        <v>0</v>
      </c>
      <c r="R104" s="189">
        <f ca="1">R12-Starlink!R145</f>
        <v>0</v>
      </c>
      <c r="S104" s="189">
        <f ca="1">S12-Starlink!S145</f>
        <v>0</v>
      </c>
    </row>
    <row r="105" spans="1:19">
      <c r="A105" s="23" t="s">
        <v>1946</v>
      </c>
      <c r="B105" s="23"/>
      <c r="C105" s="23"/>
      <c r="D105" s="189">
        <f ca="1">D15-'Customer Launch'!D101</f>
        <v>-986.80000000000018</v>
      </c>
      <c r="E105" s="189">
        <f ca="1">E15-'Customer Launch'!E101</f>
        <v>0</v>
      </c>
      <c r="F105" s="189">
        <f ca="1">F15-'Customer Launch'!F101</f>
        <v>0</v>
      </c>
      <c r="G105" s="189">
        <f ca="1">G15-'Customer Launch'!G101</f>
        <v>0</v>
      </c>
      <c r="H105" s="189">
        <f ca="1">H15-'Customer Launch'!H101</f>
        <v>0</v>
      </c>
      <c r="I105" s="189">
        <f ca="1">I15-'Customer Launch'!I101</f>
        <v>0</v>
      </c>
      <c r="J105" s="189">
        <f ca="1">J15-'Customer Launch'!J101</f>
        <v>0</v>
      </c>
      <c r="K105" s="189">
        <f ca="1">K15-'Customer Launch'!K101</f>
        <v>0</v>
      </c>
      <c r="L105" s="189">
        <f ca="1">L15-'Customer Launch'!L101</f>
        <v>0</v>
      </c>
      <c r="M105" s="189">
        <f ca="1">M15-'Customer Launch'!M101</f>
        <v>0</v>
      </c>
      <c r="N105" s="189">
        <f ca="1">N15-'Customer Launch'!N101</f>
        <v>0</v>
      </c>
      <c r="O105" s="189">
        <f ca="1">O15-'Customer Launch'!O101</f>
        <v>0</v>
      </c>
      <c r="P105" s="189">
        <f ca="1">P15-'Customer Launch'!P101</f>
        <v>0</v>
      </c>
      <c r="Q105" s="189">
        <f ca="1">Q15-'Customer Launch'!Q101</f>
        <v>0</v>
      </c>
      <c r="R105" s="189">
        <f ca="1">R15-'Customer Launch'!R101</f>
        <v>0</v>
      </c>
      <c r="S105" s="189">
        <f ca="1">S15-'Customer Launch'!S101</f>
        <v>0</v>
      </c>
    </row>
    <row r="106" spans="1:19">
      <c r="A106" s="23" t="s">
        <v>1947</v>
      </c>
      <c r="B106" s="23"/>
      <c r="C106" s="23"/>
      <c r="D106" s="189">
        <f ca="1">D19-'AI - Compute'!D8</f>
        <v>0</v>
      </c>
      <c r="E106" s="189">
        <f ca="1">E19-'AI - Compute'!E8</f>
        <v>0</v>
      </c>
      <c r="F106" s="189">
        <f ca="1">F19-'AI - Compute'!F8</f>
        <v>0</v>
      </c>
      <c r="G106" s="189">
        <f ca="1">G19-'AI - Compute'!G8</f>
        <v>0</v>
      </c>
      <c r="H106" s="189">
        <f ca="1">H19-'AI - Compute'!H8</f>
        <v>0</v>
      </c>
      <c r="I106" s="189">
        <f ca="1">I19-'AI - Compute'!I8</f>
        <v>0</v>
      </c>
      <c r="J106" s="189">
        <f ca="1">J19-'AI - Compute'!J8</f>
        <v>0</v>
      </c>
      <c r="K106" s="189">
        <f ca="1">K19-'AI - Compute'!K8</f>
        <v>0</v>
      </c>
      <c r="L106" s="189">
        <f ca="1">L19-'AI - Compute'!L8</f>
        <v>0</v>
      </c>
      <c r="M106" s="189">
        <f ca="1">M19-'AI - Compute'!M8</f>
        <v>0</v>
      </c>
      <c r="N106" s="189">
        <f ca="1">N19-'AI - Compute'!N8</f>
        <v>0</v>
      </c>
      <c r="O106" s="189">
        <f ca="1">O19-'AI - Compute'!O8</f>
        <v>0</v>
      </c>
      <c r="P106" s="189">
        <f ca="1">P19-'AI - Compute'!P8</f>
        <v>0</v>
      </c>
      <c r="Q106" s="189">
        <f ca="1">Q19-'AI - Compute'!Q8</f>
        <v>0</v>
      </c>
      <c r="R106" s="189">
        <f ca="1">R19-'AI - Compute'!R8</f>
        <v>0</v>
      </c>
      <c r="S106" s="189">
        <f ca="1">S19-'AI - Compute'!S8</f>
        <v>0</v>
      </c>
    </row>
    <row r="107" spans="1:19">
      <c r="A107" s="23" t="s">
        <v>1948</v>
      </c>
      <c r="B107" s="23"/>
      <c r="C107" s="23"/>
      <c r="D107" s="189">
        <f>D21-'Lunar - Mars'!D81</f>
        <v>0</v>
      </c>
      <c r="E107" s="189">
        <f>E21-'Lunar - Mars'!E81</f>
        <v>0</v>
      </c>
      <c r="F107" s="189">
        <f>F21-'Lunar - Mars'!F81</f>
        <v>0</v>
      </c>
      <c r="G107" s="189">
        <f>G21-'Lunar - Mars'!G81</f>
        <v>0</v>
      </c>
      <c r="H107" s="189">
        <f>H21-'Lunar - Mars'!H81</f>
        <v>0</v>
      </c>
      <c r="I107" s="189">
        <f>I21-'Lunar - Mars'!I81</f>
        <v>0</v>
      </c>
      <c r="J107" s="189">
        <f>J21-'Lunar - Mars'!J81</f>
        <v>0</v>
      </c>
      <c r="K107" s="189">
        <f>K21-'Lunar - Mars'!K81</f>
        <v>0</v>
      </c>
      <c r="L107" s="189">
        <f>L21-'Lunar - Mars'!L81</f>
        <v>0</v>
      </c>
      <c r="M107" s="189">
        <f>M21-'Lunar - Mars'!M81</f>
        <v>0</v>
      </c>
      <c r="N107" s="189">
        <f>N21-'Lunar - Mars'!N81</f>
        <v>0</v>
      </c>
      <c r="O107" s="189">
        <f>O21-'Lunar - Mars'!O81</f>
        <v>0</v>
      </c>
      <c r="P107" s="189">
        <f>P21-'Lunar - Mars'!P81</f>
        <v>0</v>
      </c>
      <c r="Q107" s="189">
        <f>Q21-'Lunar - Mars'!Q81</f>
        <v>0</v>
      </c>
      <c r="R107" s="189">
        <f>R21-'Lunar - Mars'!R81</f>
        <v>0</v>
      </c>
      <c r="S107" s="189">
        <f>S21-'Lunar - Mars'!S81</f>
        <v>0</v>
      </c>
    </row>
    <row r="108" spans="1:19">
      <c r="A108" s="23" t="s">
        <v>1949</v>
      </c>
      <c r="B108" s="23"/>
      <c r="C108" s="23"/>
      <c r="D108" s="189">
        <f ca="1">D23-'Group P&amp;L'!D14</f>
        <v>-4036.6101696405221</v>
      </c>
      <c r="E108" s="189">
        <f ca="1">E23-'Group P&amp;L'!E14</f>
        <v>0</v>
      </c>
      <c r="F108" s="189">
        <f ca="1">F23-'Group P&amp;L'!F14</f>
        <v>0</v>
      </c>
      <c r="G108" s="189">
        <f ca="1">G23-'Group P&amp;L'!G14</f>
        <v>0</v>
      </c>
      <c r="H108" s="189">
        <f ca="1">H23-'Group P&amp;L'!H14</f>
        <v>0</v>
      </c>
      <c r="I108" s="189">
        <f ca="1">I23-'Group P&amp;L'!I14</f>
        <v>0</v>
      </c>
      <c r="J108" s="189">
        <f ca="1">J23-'Group P&amp;L'!J14</f>
        <v>0</v>
      </c>
      <c r="K108" s="189">
        <f ca="1">K23-'Group P&amp;L'!K14</f>
        <v>0</v>
      </c>
      <c r="L108" s="189">
        <f ca="1">L23-'Group P&amp;L'!L14</f>
        <v>0</v>
      </c>
      <c r="M108" s="189">
        <f ca="1">M23-'Group P&amp;L'!M14</f>
        <v>0</v>
      </c>
      <c r="N108" s="189">
        <f ca="1">N23-'Group P&amp;L'!N14</f>
        <v>0</v>
      </c>
      <c r="O108" s="189">
        <f ca="1">O23-'Group P&amp;L'!O14</f>
        <v>0</v>
      </c>
      <c r="P108" s="189">
        <f ca="1">P23-'Group P&amp;L'!P14</f>
        <v>0</v>
      </c>
      <c r="Q108" s="189">
        <f ca="1">Q23-'Group P&amp;L'!Q14</f>
        <v>0</v>
      </c>
      <c r="R108" s="189">
        <f ca="1">R23-'Group P&amp;L'!R14</f>
        <v>0</v>
      </c>
      <c r="S108" s="189">
        <f ca="1">S23-'Group P&amp;L'!S14</f>
        <v>0</v>
      </c>
    </row>
    <row r="109" spans="1:1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1:19">
      <c r="A110" s="13" t="s">
        <v>1950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>
      <c r="A111" s="23" t="s">
        <v>1951</v>
      </c>
      <c r="B111" s="23"/>
      <c r="C111" s="23"/>
      <c r="D111" s="60">
        <f t="shared" ref="D111:S111" si="5">IF(D$12=0,"",D8/D$12)</f>
        <v>0.60797328425476016</v>
      </c>
      <c r="E111" s="60">
        <f t="shared" ca="1" si="5"/>
        <v>0.64576910917016139</v>
      </c>
      <c r="F111" s="60">
        <f t="shared" ca="1" si="5"/>
        <v>0.67865212370720451</v>
      </c>
      <c r="G111" s="60">
        <f t="shared" ca="1" si="5"/>
        <v>0.73650887467031212</v>
      </c>
      <c r="H111" s="60">
        <f t="shared" ca="1" si="5"/>
        <v>0.74055866100430989</v>
      </c>
      <c r="I111" s="60">
        <f t="shared" ca="1" si="5"/>
        <v>0.71929395423857667</v>
      </c>
      <c r="J111" s="60">
        <f t="shared" ca="1" si="5"/>
        <v>0.71650658190013239</v>
      </c>
      <c r="K111" s="60">
        <f t="shared" ca="1" si="5"/>
        <v>0.72336308334106092</v>
      </c>
      <c r="L111" s="60">
        <f t="shared" ca="1" si="5"/>
        <v>0.73418834256469989</v>
      </c>
      <c r="M111" s="60">
        <f t="shared" ca="1" si="5"/>
        <v>0.74256089662602687</v>
      </c>
      <c r="N111" s="60">
        <f t="shared" ca="1" si="5"/>
        <v>0.73651868705494872</v>
      </c>
      <c r="O111" s="60">
        <f t="shared" ca="1" si="5"/>
        <v>0.74405629842296594</v>
      </c>
      <c r="P111" s="60">
        <f t="shared" ca="1" si="5"/>
        <v>0.75619163575259429</v>
      </c>
      <c r="Q111" s="60">
        <f t="shared" ca="1" si="5"/>
        <v>0.76142617985171535</v>
      </c>
      <c r="R111" s="60">
        <f t="shared" ca="1" si="5"/>
        <v>0.76761280099673634</v>
      </c>
      <c r="S111" s="60">
        <f t="shared" ca="1" si="5"/>
        <v>0.76936829740607493</v>
      </c>
    </row>
    <row r="112" spans="1:19">
      <c r="A112" s="23" t="s">
        <v>1952</v>
      </c>
      <c r="B112" s="23"/>
      <c r="C112" s="23"/>
      <c r="D112" s="60">
        <f t="shared" ref="D112:S112" si="6">IF(D$12=0,"",D9/D$12)</f>
        <v>5.717485835642188E-2</v>
      </c>
      <c r="E112" s="60">
        <f t="shared" ca="1" si="6"/>
        <v>5.487925713303507E-2</v>
      </c>
      <c r="F112" s="60">
        <f t="shared" ca="1" si="6"/>
        <v>1.7510740153658871E-2</v>
      </c>
      <c r="G112" s="60">
        <f t="shared" ca="1" si="6"/>
        <v>1.1811772772155728E-2</v>
      </c>
      <c r="H112" s="60">
        <f t="shared" ca="1" si="6"/>
        <v>3.75346434498086E-2</v>
      </c>
      <c r="I112" s="60">
        <f t="shared" ca="1" si="6"/>
        <v>0.13926340715214988</v>
      </c>
      <c r="J112" s="60">
        <f t="shared" ca="1" si="6"/>
        <v>0.14307918706929781</v>
      </c>
      <c r="K112" s="60">
        <f t="shared" ca="1" si="6"/>
        <v>0.16185491071946931</v>
      </c>
      <c r="L112" s="60">
        <f t="shared" ca="1" si="6"/>
        <v>0.16662729057816425</v>
      </c>
      <c r="M112" s="60">
        <f t="shared" ca="1" si="6"/>
        <v>0.16929910247204899</v>
      </c>
      <c r="N112" s="60">
        <f t="shared" ca="1" si="6"/>
        <v>0.15827151101279707</v>
      </c>
      <c r="O112" s="60">
        <f t="shared" ca="1" si="6"/>
        <v>0.15123307545839348</v>
      </c>
      <c r="P112" s="60">
        <f t="shared" ca="1" si="6"/>
        <v>0.14951033776502307</v>
      </c>
      <c r="Q112" s="60">
        <f t="shared" ca="1" si="6"/>
        <v>0.14806543547440748</v>
      </c>
      <c r="R112" s="60">
        <f t="shared" ca="1" si="6"/>
        <v>0.14989825872317192</v>
      </c>
      <c r="S112" s="60">
        <f t="shared" ca="1" si="6"/>
        <v>0.15285949631748602</v>
      </c>
    </row>
    <row r="113" spans="1:19">
      <c r="A113" s="23" t="s">
        <v>1953</v>
      </c>
      <c r="B113" s="23"/>
      <c r="C113" s="23"/>
      <c r="D113" s="60">
        <f t="shared" ref="D113:S113" si="7">IF(D$12=0,"",D10/D$12)</f>
        <v>0.22793905439040266</v>
      </c>
      <c r="E113" s="60">
        <f t="shared" ca="1" si="7"/>
        <v>0.18801148896493031</v>
      </c>
      <c r="F113" s="60">
        <f t="shared" ca="1" si="7"/>
        <v>5.3113113649873346E-2</v>
      </c>
      <c r="G113" s="60">
        <f t="shared" ca="1" si="7"/>
        <v>2.9036229925741657E-2</v>
      </c>
      <c r="H113" s="60">
        <f t="shared" ca="1" si="7"/>
        <v>1.8005392712016066E-2</v>
      </c>
      <c r="I113" s="60">
        <f t="shared" ca="1" si="7"/>
        <v>1.5458752110964905E-2</v>
      </c>
      <c r="J113" s="60">
        <f t="shared" ca="1" si="7"/>
        <v>1.3944889577305011E-2</v>
      </c>
      <c r="K113" s="60">
        <f t="shared" ca="1" si="7"/>
        <v>1.4119611657242256E-2</v>
      </c>
      <c r="L113" s="60">
        <f t="shared" ca="1" si="7"/>
        <v>1.5282779727212831E-2</v>
      </c>
      <c r="M113" s="60">
        <f t="shared" ca="1" si="7"/>
        <v>1.6343318407771798E-2</v>
      </c>
      <c r="N113" s="60">
        <f t="shared" ca="1" si="7"/>
        <v>1.6098604269985134E-2</v>
      </c>
      <c r="O113" s="60">
        <f t="shared" ca="1" si="7"/>
        <v>1.6208101599577866E-2</v>
      </c>
      <c r="P113" s="60">
        <f t="shared" ca="1" si="7"/>
        <v>1.6883266627499408E-2</v>
      </c>
      <c r="Q113" s="60">
        <f t="shared" ca="1" si="7"/>
        <v>1.7617279106561291E-2</v>
      </c>
      <c r="R113" s="60">
        <f t="shared" ca="1" si="7"/>
        <v>1.8792373028307781E-2</v>
      </c>
      <c r="S113" s="60">
        <f t="shared" ca="1" si="7"/>
        <v>2.0191907635778227E-2</v>
      </c>
    </row>
    <row r="114" spans="1:19">
      <c r="A114" s="23" t="s">
        <v>1954</v>
      </c>
      <c r="B114" s="23"/>
      <c r="C114" s="23"/>
      <c r="D114" s="60">
        <f t="shared" ref="D114:S114" si="8">IF(D$12=0,"",D11/D$12)</f>
        <v>0.1069128029984152</v>
      </c>
      <c r="E114" s="60">
        <f t="shared" ca="1" si="8"/>
        <v>0.11134014473187324</v>
      </c>
      <c r="F114" s="60">
        <f t="shared" ca="1" si="8"/>
        <v>0.25072402248926323</v>
      </c>
      <c r="G114" s="60">
        <f t="shared" ca="1" si="8"/>
        <v>0.22264312263179048</v>
      </c>
      <c r="H114" s="60">
        <f t="shared" ca="1" si="8"/>
        <v>0.20390130283386543</v>
      </c>
      <c r="I114" s="60">
        <f t="shared" ca="1" si="8"/>
        <v>0.12598388649830869</v>
      </c>
      <c r="J114" s="60">
        <f t="shared" ca="1" si="8"/>
        <v>0.12646934145326474</v>
      </c>
      <c r="K114" s="60">
        <f t="shared" ca="1" si="8"/>
        <v>0.10066239428222737</v>
      </c>
      <c r="L114" s="60">
        <f t="shared" ca="1" si="8"/>
        <v>8.3901587129922961E-2</v>
      </c>
      <c r="M114" s="60">
        <f t="shared" ca="1" si="8"/>
        <v>7.1796682494152247E-2</v>
      </c>
      <c r="N114" s="60">
        <f t="shared" ca="1" si="8"/>
        <v>8.9111197662269159E-2</v>
      </c>
      <c r="O114" s="60">
        <f t="shared" ca="1" si="8"/>
        <v>8.8502524519062625E-2</v>
      </c>
      <c r="P114" s="60">
        <f t="shared" ca="1" si="8"/>
        <v>7.7414759854883344E-2</v>
      </c>
      <c r="Q114" s="60">
        <f t="shared" ca="1" si="8"/>
        <v>7.2891105567316039E-2</v>
      </c>
      <c r="R114" s="60">
        <f t="shared" ca="1" si="8"/>
        <v>6.3696567251784006E-2</v>
      </c>
      <c r="S114" s="60">
        <f t="shared" ca="1" si="8"/>
        <v>5.7580298640660797E-2</v>
      </c>
    </row>
    <row r="115" spans="1:19">
      <c r="A115" s="118" t="s">
        <v>1955</v>
      </c>
      <c r="B115" s="118"/>
      <c r="C115" s="118"/>
      <c r="D115" s="169">
        <f t="shared" ref="D115:S115" si="9">IF(D$12=0,"",D12/D$12)</f>
        <v>1</v>
      </c>
      <c r="E115" s="169">
        <f t="shared" ca="1" si="9"/>
        <v>1</v>
      </c>
      <c r="F115" s="169">
        <f t="shared" ca="1" si="9"/>
        <v>1</v>
      </c>
      <c r="G115" s="169">
        <f t="shared" ca="1" si="9"/>
        <v>1</v>
      </c>
      <c r="H115" s="169">
        <f t="shared" ca="1" si="9"/>
        <v>1</v>
      </c>
      <c r="I115" s="169">
        <f t="shared" ca="1" si="9"/>
        <v>1</v>
      </c>
      <c r="J115" s="169">
        <f t="shared" ca="1" si="9"/>
        <v>1</v>
      </c>
      <c r="K115" s="169">
        <f t="shared" ca="1" si="9"/>
        <v>1</v>
      </c>
      <c r="L115" s="169">
        <f t="shared" ca="1" si="9"/>
        <v>1</v>
      </c>
      <c r="M115" s="169">
        <f t="shared" ca="1" si="9"/>
        <v>1</v>
      </c>
      <c r="N115" s="169">
        <f t="shared" ca="1" si="9"/>
        <v>1</v>
      </c>
      <c r="O115" s="169">
        <f t="shared" ca="1" si="9"/>
        <v>1</v>
      </c>
      <c r="P115" s="169">
        <f t="shared" ca="1" si="9"/>
        <v>1</v>
      </c>
      <c r="Q115" s="169">
        <f t="shared" ca="1" si="9"/>
        <v>1</v>
      </c>
      <c r="R115" s="169">
        <f t="shared" ca="1" si="9"/>
        <v>1</v>
      </c>
      <c r="S115" s="169">
        <f t="shared" ca="1" si="9"/>
        <v>1</v>
      </c>
    </row>
    <row r="116" spans="1:19">
      <c r="A116" s="23" t="s">
        <v>1956</v>
      </c>
      <c r="B116" s="23"/>
      <c r="C116" s="23"/>
      <c r="D116" s="60">
        <f t="shared" ref="D116:S116" ca="1" si="10">IF(D$15=0,"",D13/D$15)</f>
        <v>0.51277749096541037</v>
      </c>
      <c r="E116" s="60">
        <f t="shared" ca="1" si="10"/>
        <v>0.7438072616219884</v>
      </c>
      <c r="F116" s="60">
        <f t="shared" ca="1" si="10"/>
        <v>0.86824707652027644</v>
      </c>
      <c r="G116" s="60">
        <f t="shared" ca="1" si="10"/>
        <v>0.87297592237781763</v>
      </c>
      <c r="H116" s="60">
        <f t="shared" ca="1" si="10"/>
        <v>0.87915543459238565</v>
      </c>
      <c r="I116" s="60">
        <f t="shared" ca="1" si="10"/>
        <v>0.88475968297853702</v>
      </c>
      <c r="J116" s="60">
        <f t="shared" ca="1" si="10"/>
        <v>0.87850334007091868</v>
      </c>
      <c r="K116" s="60">
        <f t="shared" ca="1" si="10"/>
        <v>0.91025608645064282</v>
      </c>
      <c r="L116" s="60">
        <f t="shared" ca="1" si="10"/>
        <v>0.9069847515609043</v>
      </c>
      <c r="M116" s="60">
        <f t="shared" ca="1" si="10"/>
        <v>0.90213535570155234</v>
      </c>
      <c r="N116" s="60">
        <f t="shared" ca="1" si="10"/>
        <v>0.89657690811277924</v>
      </c>
      <c r="O116" s="60">
        <f t="shared" ca="1" si="10"/>
        <v>0.89063877288410964</v>
      </c>
      <c r="P116" s="60">
        <f t="shared" ca="1" si="10"/>
        <v>0.88441670228617841</v>
      </c>
      <c r="Q116" s="60">
        <f t="shared" ca="1" si="10"/>
        <v>0.87792844725121655</v>
      </c>
      <c r="R116" s="60">
        <f t="shared" ca="1" si="10"/>
        <v>0.87117054286917228</v>
      </c>
      <c r="S116" s="60">
        <f t="shared" ca="1" si="10"/>
        <v>9.4810192953192651E-2</v>
      </c>
    </row>
    <row r="117" spans="1:19">
      <c r="A117" s="23" t="s">
        <v>1957</v>
      </c>
      <c r="B117" s="23"/>
      <c r="C117" s="23"/>
      <c r="D117" s="60">
        <f t="shared" ref="D117:S117" ca="1" si="11">IF(D$15=0,"",D14/D$15)</f>
        <v>0.48722250903458958</v>
      </c>
      <c r="E117" s="60">
        <f t="shared" ca="1" si="11"/>
        <v>0.25619273837801154</v>
      </c>
      <c r="F117" s="60">
        <f t="shared" ca="1" si="11"/>
        <v>0.13175292347972359</v>
      </c>
      <c r="G117" s="60">
        <f t="shared" ca="1" si="11"/>
        <v>0.12702407762218237</v>
      </c>
      <c r="H117" s="60">
        <f t="shared" ca="1" si="11"/>
        <v>0.12084456540761436</v>
      </c>
      <c r="I117" s="60">
        <f t="shared" ca="1" si="11"/>
        <v>0.11524031702146295</v>
      </c>
      <c r="J117" s="60">
        <f t="shared" ca="1" si="11"/>
        <v>0.12149665992908128</v>
      </c>
      <c r="K117" s="60">
        <f t="shared" ca="1" si="11"/>
        <v>8.9743913549357263E-2</v>
      </c>
      <c r="L117" s="60">
        <f t="shared" ca="1" si="11"/>
        <v>9.3015248439095657E-2</v>
      </c>
      <c r="M117" s="60">
        <f t="shared" ca="1" si="11"/>
        <v>9.7864644298447753E-2</v>
      </c>
      <c r="N117" s="60">
        <f t="shared" ca="1" si="11"/>
        <v>0.10342309188722074</v>
      </c>
      <c r="O117" s="60">
        <f t="shared" ca="1" si="11"/>
        <v>0.10936122711589034</v>
      </c>
      <c r="P117" s="60">
        <f t="shared" ca="1" si="11"/>
        <v>0.11558329771382153</v>
      </c>
      <c r="Q117" s="60">
        <f t="shared" ca="1" si="11"/>
        <v>0.12207155274878351</v>
      </c>
      <c r="R117" s="60">
        <f t="shared" ca="1" si="11"/>
        <v>0.12882945713082786</v>
      </c>
      <c r="S117" s="60">
        <f t="shared" ca="1" si="11"/>
        <v>0.90518980704680729</v>
      </c>
    </row>
    <row r="118" spans="1:19">
      <c r="A118" s="118" t="s">
        <v>1958</v>
      </c>
      <c r="B118" s="118"/>
      <c r="C118" s="118"/>
      <c r="D118" s="169">
        <f t="shared" ref="D118:S118" ca="1" si="12">IF(D$15=0,"",D15/D$15)</f>
        <v>1</v>
      </c>
      <c r="E118" s="169">
        <f t="shared" ca="1" si="12"/>
        <v>1</v>
      </c>
      <c r="F118" s="169">
        <f t="shared" ca="1" si="12"/>
        <v>1</v>
      </c>
      <c r="G118" s="169">
        <f t="shared" ca="1" si="12"/>
        <v>1</v>
      </c>
      <c r="H118" s="169">
        <f t="shared" ca="1" si="12"/>
        <v>1</v>
      </c>
      <c r="I118" s="169">
        <f t="shared" ca="1" si="12"/>
        <v>1</v>
      </c>
      <c r="J118" s="169">
        <f t="shared" ca="1" si="12"/>
        <v>1</v>
      </c>
      <c r="K118" s="169">
        <f t="shared" ca="1" si="12"/>
        <v>1</v>
      </c>
      <c r="L118" s="169">
        <f t="shared" ca="1" si="12"/>
        <v>1</v>
      </c>
      <c r="M118" s="169">
        <f t="shared" ca="1" si="12"/>
        <v>1</v>
      </c>
      <c r="N118" s="169">
        <f t="shared" ca="1" si="12"/>
        <v>1</v>
      </c>
      <c r="O118" s="169">
        <f t="shared" ca="1" si="12"/>
        <v>1</v>
      </c>
      <c r="P118" s="169">
        <f t="shared" ca="1" si="12"/>
        <v>1</v>
      </c>
      <c r="Q118" s="169">
        <f t="shared" ca="1" si="12"/>
        <v>1</v>
      </c>
      <c r="R118" s="169">
        <f t="shared" ca="1" si="12"/>
        <v>1</v>
      </c>
      <c r="S118" s="169">
        <f t="shared" ca="1" si="12"/>
        <v>1</v>
      </c>
    </row>
    <row r="119" spans="1:19">
      <c r="A119" s="23" t="s">
        <v>1959</v>
      </c>
      <c r="B119" s="23"/>
      <c r="C119" s="23"/>
      <c r="D119" s="60">
        <f t="shared" ref="D119:S119" ca="1" si="13">IF(D$19=0,"",D16/D$19)</f>
        <v>0</v>
      </c>
      <c r="E119" s="60">
        <f t="shared" ca="1" si="13"/>
        <v>0</v>
      </c>
      <c r="F119" s="60">
        <f t="shared" ca="1" si="13"/>
        <v>0</v>
      </c>
      <c r="G119" s="60">
        <f t="shared" ca="1" si="13"/>
        <v>0.20009890267114053</v>
      </c>
      <c r="H119" s="60">
        <f t="shared" ca="1" si="13"/>
        <v>0.51092567374176634</v>
      </c>
      <c r="I119" s="60">
        <f t="shared" ca="1" si="13"/>
        <v>0.72433052819779842</v>
      </c>
      <c r="J119" s="60">
        <f t="shared" ca="1" si="13"/>
        <v>0.86775853517445056</v>
      </c>
      <c r="K119" s="60">
        <f t="shared" ca="1" si="13"/>
        <v>0.83570123174406863</v>
      </c>
      <c r="L119" s="60">
        <f t="shared" ca="1" si="13"/>
        <v>0.843307042188704</v>
      </c>
      <c r="M119" s="60">
        <f t="shared" ca="1" si="13"/>
        <v>0.84138213402325412</v>
      </c>
      <c r="N119" s="60">
        <f t="shared" ca="1" si="13"/>
        <v>0.83995639842985625</v>
      </c>
      <c r="O119" s="60">
        <f t="shared" ca="1" si="13"/>
        <v>0.83072047313157005</v>
      </c>
      <c r="P119" s="60">
        <f t="shared" ca="1" si="13"/>
        <v>0.80297126157994181</v>
      </c>
      <c r="Q119" s="60">
        <f t="shared" ca="1" si="13"/>
        <v>0.77047058733789253</v>
      </c>
      <c r="R119" s="60">
        <f t="shared" ca="1" si="13"/>
        <v>0.73417958988149401</v>
      </c>
      <c r="S119" s="60">
        <f t="shared" ca="1" si="13"/>
        <v>0.70057463901962391</v>
      </c>
    </row>
    <row r="120" spans="1:19">
      <c r="A120" s="23" t="s">
        <v>1960</v>
      </c>
      <c r="B120" s="23"/>
      <c r="C120" s="23"/>
      <c r="D120" s="60">
        <f t="shared" ref="D120:S120" ca="1" si="14">IF(D$19=0,"",D17/D$19)</f>
        <v>0</v>
      </c>
      <c r="E120" s="60">
        <f t="shared" ca="1" si="14"/>
        <v>0.60023308894607019</v>
      </c>
      <c r="F120" s="60">
        <f t="shared" ca="1" si="14"/>
        <v>0.83307491261368949</v>
      </c>
      <c r="G120" s="60">
        <f t="shared" ca="1" si="14"/>
        <v>0.61248442304709283</v>
      </c>
      <c r="H120" s="60">
        <f t="shared" ca="1" si="14"/>
        <v>0.34910869297140157</v>
      </c>
      <c r="I120" s="60">
        <f t="shared" ca="1" si="14"/>
        <v>0.19567891452630526</v>
      </c>
      <c r="J120" s="60">
        <f t="shared" ca="1" si="14"/>
        <v>7.7140722227079919E-2</v>
      </c>
      <c r="K120" s="60">
        <f t="shared" ca="1" si="14"/>
        <v>0.1091539752632284</v>
      </c>
      <c r="L120" s="60">
        <f t="shared" ca="1" si="14"/>
        <v>8.3379615975185895E-2</v>
      </c>
      <c r="M120" s="60">
        <f t="shared" ca="1" si="14"/>
        <v>6.7851425001098045E-2</v>
      </c>
      <c r="N120" s="60">
        <f t="shared" ca="1" si="14"/>
        <v>5.5176510169773881E-2</v>
      </c>
      <c r="O120" s="60">
        <f t="shared" ca="1" si="14"/>
        <v>5.6418032798545195E-2</v>
      </c>
      <c r="P120" s="60">
        <f t="shared" ca="1" si="14"/>
        <v>6.8087895830724637E-2</v>
      </c>
      <c r="Q120" s="60">
        <f t="shared" ca="1" si="14"/>
        <v>7.0177440946496167E-2</v>
      </c>
      <c r="R120" s="60">
        <f t="shared" ca="1" si="14"/>
        <v>7.4118837454487177E-2</v>
      </c>
      <c r="S120" s="60">
        <f t="shared" ca="1" si="14"/>
        <v>6.863068706515979E-2</v>
      </c>
    </row>
    <row r="121" spans="1:19">
      <c r="A121" s="23" t="s">
        <v>1961</v>
      </c>
      <c r="B121" s="23"/>
      <c r="C121" s="23"/>
      <c r="D121" s="60">
        <f t="shared" ref="D121:S121" ca="1" si="15">IF(D$19=0,"",D18/D$19)</f>
        <v>1</v>
      </c>
      <c r="E121" s="60">
        <f t="shared" ca="1" si="15"/>
        <v>0.3997669110539297</v>
      </c>
      <c r="F121" s="60">
        <f t="shared" ca="1" si="15"/>
        <v>0.16692508738631046</v>
      </c>
      <c r="G121" s="60">
        <f t="shared" ca="1" si="15"/>
        <v>0.18741667428176664</v>
      </c>
      <c r="H121" s="60">
        <f t="shared" ca="1" si="15"/>
        <v>0.13996563328683212</v>
      </c>
      <c r="I121" s="60">
        <f t="shared" ca="1" si="15"/>
        <v>7.999055727589624E-2</v>
      </c>
      <c r="J121" s="60">
        <f t="shared" ca="1" si="15"/>
        <v>5.5100742598469497E-2</v>
      </c>
      <c r="K121" s="60">
        <f t="shared" ca="1" si="15"/>
        <v>5.5144792992702758E-2</v>
      </c>
      <c r="L121" s="60">
        <f t="shared" ca="1" si="15"/>
        <v>7.3313341836110213E-2</v>
      </c>
      <c r="M121" s="60">
        <f t="shared" ca="1" si="15"/>
        <v>9.0766440975647747E-2</v>
      </c>
      <c r="N121" s="60">
        <f t="shared" ca="1" si="15"/>
        <v>0.10486709140036983</v>
      </c>
      <c r="O121" s="60">
        <f t="shared" ca="1" si="15"/>
        <v>0.11286149406988484</v>
      </c>
      <c r="P121" s="60">
        <f t="shared" ca="1" si="15"/>
        <v>0.12894084258933358</v>
      </c>
      <c r="Q121" s="60">
        <f t="shared" ca="1" si="15"/>
        <v>0.1593519717156115</v>
      </c>
      <c r="R121" s="60">
        <f t="shared" ca="1" si="15"/>
        <v>0.19170157266401888</v>
      </c>
      <c r="S121" s="60">
        <f t="shared" ca="1" si="15"/>
        <v>0.23079467391521619</v>
      </c>
    </row>
    <row r="122" spans="1:19">
      <c r="A122" s="118" t="s">
        <v>1962</v>
      </c>
      <c r="B122" s="118"/>
      <c r="C122" s="118"/>
      <c r="D122" s="169">
        <f t="shared" ref="D122:S122" ca="1" si="16">IF(D$19=0,"",D19/D$19)</f>
        <v>1</v>
      </c>
      <c r="E122" s="169">
        <f t="shared" ca="1" si="16"/>
        <v>1</v>
      </c>
      <c r="F122" s="169">
        <f t="shared" ca="1" si="16"/>
        <v>1</v>
      </c>
      <c r="G122" s="169">
        <f t="shared" ca="1" si="16"/>
        <v>1</v>
      </c>
      <c r="H122" s="169">
        <f t="shared" ca="1" si="16"/>
        <v>1</v>
      </c>
      <c r="I122" s="169">
        <f t="shared" ca="1" si="16"/>
        <v>1</v>
      </c>
      <c r="J122" s="169">
        <f t="shared" ca="1" si="16"/>
        <v>1</v>
      </c>
      <c r="K122" s="169">
        <f t="shared" ca="1" si="16"/>
        <v>1</v>
      </c>
      <c r="L122" s="169">
        <f t="shared" ca="1" si="16"/>
        <v>1</v>
      </c>
      <c r="M122" s="169">
        <f t="shared" ca="1" si="16"/>
        <v>1</v>
      </c>
      <c r="N122" s="169">
        <f t="shared" ca="1" si="16"/>
        <v>1</v>
      </c>
      <c r="O122" s="169">
        <f t="shared" ca="1" si="16"/>
        <v>1</v>
      </c>
      <c r="P122" s="169">
        <f t="shared" ca="1" si="16"/>
        <v>1</v>
      </c>
      <c r="Q122" s="169">
        <f t="shared" ca="1" si="16"/>
        <v>1</v>
      </c>
      <c r="R122" s="169">
        <f t="shared" ca="1" si="16"/>
        <v>1</v>
      </c>
      <c r="S122" s="169">
        <f t="shared" ca="1" si="16"/>
        <v>1</v>
      </c>
    </row>
    <row r="123" spans="1:19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1:19">
      <c r="A124" s="13" t="s">
        <v>1963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>
      <c r="A125" s="23" t="s">
        <v>1964</v>
      </c>
      <c r="B125" s="23"/>
      <c r="C125" s="23"/>
      <c r="D125" s="60">
        <f t="shared" ref="D125:S125" ca="1" si="17">IF(D$23=0,"",D12/D$23)</f>
        <v>0.75526613409106524</v>
      </c>
      <c r="E125" s="60">
        <f t="shared" ca="1" si="17"/>
        <v>0.64401261591298198</v>
      </c>
      <c r="F125" s="60">
        <f t="shared" ca="1" si="17"/>
        <v>0.7427764091359994</v>
      </c>
      <c r="G125" s="60">
        <f t="shared" ca="1" si="17"/>
        <v>0.82913053086135613</v>
      </c>
      <c r="H125" s="60">
        <f t="shared" ca="1" si="17"/>
        <v>0.8524779405305084</v>
      </c>
      <c r="I125" s="60">
        <f t="shared" ca="1" si="17"/>
        <v>0.789397836653284</v>
      </c>
      <c r="J125" s="60">
        <f t="shared" ca="1" si="17"/>
        <v>0.70323724008635724</v>
      </c>
      <c r="K125" s="60">
        <f t="shared" ca="1" si="17"/>
        <v>0.62538632826084994</v>
      </c>
      <c r="L125" s="60">
        <f t="shared" ca="1" si="17"/>
        <v>0.59420148364818182</v>
      </c>
      <c r="M125" s="60">
        <f t="shared" ca="1" si="17"/>
        <v>0.54820146123832325</v>
      </c>
      <c r="N125" s="60">
        <f t="shared" ca="1" si="17"/>
        <v>0.50371971969266083</v>
      </c>
      <c r="O125" s="60">
        <f t="shared" ca="1" si="17"/>
        <v>0.43437553458491429</v>
      </c>
      <c r="P125" s="60">
        <f t="shared" ca="1" si="17"/>
        <v>0.37009056744727187</v>
      </c>
      <c r="Q125" s="60">
        <f t="shared" ca="1" si="17"/>
        <v>0.32418692600861104</v>
      </c>
      <c r="R125" s="60">
        <f t="shared" ca="1" si="17"/>
        <v>0.27021060085955401</v>
      </c>
      <c r="S125" s="60">
        <f t="shared" ca="1" si="17"/>
        <v>0.2221991524721168</v>
      </c>
    </row>
    <row r="126" spans="1:19">
      <c r="A126" s="23" t="s">
        <v>1965</v>
      </c>
      <c r="B126" s="23"/>
      <c r="C126" s="23"/>
      <c r="D126" s="60">
        <f t="shared" ref="D126:S126" ca="1" si="18">IF(D$23=0,"",D15/D$23)</f>
        <v>0.21173173878118179</v>
      </c>
      <c r="E126" s="60">
        <f t="shared" ca="1" si="18"/>
        <v>0.27534173578012122</v>
      </c>
      <c r="F126" s="60">
        <f t="shared" ca="1" si="18"/>
        <v>0.16959976435333884</v>
      </c>
      <c r="G126" s="60">
        <f t="shared" ca="1" si="18"/>
        <v>0.10436821817640939</v>
      </c>
      <c r="H126" s="60">
        <f t="shared" ca="1" si="18"/>
        <v>6.8001008256716108E-2</v>
      </c>
      <c r="I126" s="60">
        <f t="shared" ca="1" si="18"/>
        <v>5.5117332726767838E-2</v>
      </c>
      <c r="J126" s="60">
        <f t="shared" ca="1" si="18"/>
        <v>4.0845142663360645E-2</v>
      </c>
      <c r="K126" s="60">
        <f t="shared" ca="1" si="18"/>
        <v>4.8408261936055338E-2</v>
      </c>
      <c r="L126" s="60">
        <f t="shared" ca="1" si="18"/>
        <v>4.6698274956318196E-2</v>
      </c>
      <c r="M126" s="60">
        <f t="shared" ca="1" si="18"/>
        <v>4.2573470581816535E-2</v>
      </c>
      <c r="N126" s="60">
        <f t="shared" ca="1" si="18"/>
        <v>3.5449462188582741E-2</v>
      </c>
      <c r="O126" s="60">
        <f t="shared" ca="1" si="18"/>
        <v>2.8297604063773466E-2</v>
      </c>
      <c r="P126" s="60">
        <f t="shared" ca="1" si="18"/>
        <v>2.3102048506633988E-2</v>
      </c>
      <c r="Q126" s="60">
        <f t="shared" ca="1" si="18"/>
        <v>1.9438667140934274E-2</v>
      </c>
      <c r="R126" s="60">
        <f t="shared" ca="1" si="18"/>
        <v>1.5921390539998862E-2</v>
      </c>
      <c r="S126" s="60">
        <f t="shared" ca="1" si="18"/>
        <v>1.9465152120758875E-3</v>
      </c>
    </row>
    <row r="127" spans="1:19">
      <c r="A127" s="23" t="s">
        <v>1966</v>
      </c>
      <c r="B127" s="23"/>
      <c r="C127" s="23"/>
      <c r="D127" s="60">
        <f t="shared" ref="D127:S127" ca="1" si="19">IF(D$23=0,"",D19/D$23)</f>
        <v>3.3002127127752835E-2</v>
      </c>
      <c r="E127" s="60">
        <f t="shared" ca="1" si="19"/>
        <v>8.0645648306896758E-2</v>
      </c>
      <c r="F127" s="60">
        <f t="shared" ca="1" si="19"/>
        <v>8.762382651066189E-2</v>
      </c>
      <c r="G127" s="60">
        <f t="shared" ca="1" si="19"/>
        <v>6.6501250962234512E-2</v>
      </c>
      <c r="H127" s="60">
        <f t="shared" ca="1" si="19"/>
        <v>7.9521051212775487E-2</v>
      </c>
      <c r="I127" s="60">
        <f t="shared" ca="1" si="19"/>
        <v>0.15548483061994817</v>
      </c>
      <c r="J127" s="60">
        <f t="shared" ca="1" si="19"/>
        <v>0.25591761725028211</v>
      </c>
      <c r="K127" s="60">
        <f t="shared" ca="1" si="19"/>
        <v>0.32620540980309465</v>
      </c>
      <c r="L127" s="60">
        <f t="shared" ca="1" si="19"/>
        <v>0.3591002413954999</v>
      </c>
      <c r="M127" s="60">
        <f t="shared" ca="1" si="19"/>
        <v>0.40922506817986021</v>
      </c>
      <c r="N127" s="60">
        <f t="shared" ca="1" si="19"/>
        <v>0.46083081811875642</v>
      </c>
      <c r="O127" s="60">
        <f t="shared" ca="1" si="19"/>
        <v>0.53732686135131225</v>
      </c>
      <c r="P127" s="60">
        <f t="shared" ca="1" si="19"/>
        <v>0.60680738404609413</v>
      </c>
      <c r="Q127" s="60">
        <f t="shared" ca="1" si="19"/>
        <v>0.65637440685045467</v>
      </c>
      <c r="R127" s="60">
        <f t="shared" ca="1" si="19"/>
        <v>0.71386800860044708</v>
      </c>
      <c r="S127" s="60">
        <f t="shared" ca="1" si="19"/>
        <v>0.77585433231580736</v>
      </c>
    </row>
    <row r="128" spans="1:19">
      <c r="A128" s="23" t="s">
        <v>1967</v>
      </c>
      <c r="B128" s="23"/>
      <c r="C128" s="23"/>
      <c r="D128" s="60">
        <f t="shared" ref="D128:S128" ca="1" si="20">IF(D$23=0,"",D21/D$23)</f>
        <v>0</v>
      </c>
      <c r="E128" s="60">
        <f t="shared" ca="1" si="20"/>
        <v>0</v>
      </c>
      <c r="F128" s="60">
        <f t="shared" ca="1" si="20"/>
        <v>0</v>
      </c>
      <c r="G128" s="60">
        <f t="shared" ca="1" si="20"/>
        <v>0</v>
      </c>
      <c r="H128" s="60">
        <f t="shared" ca="1" si="20"/>
        <v>0</v>
      </c>
      <c r="I128" s="60">
        <f t="shared" ca="1" si="20"/>
        <v>0</v>
      </c>
      <c r="J128" s="60">
        <f t="shared" ca="1" si="20"/>
        <v>0</v>
      </c>
      <c r="K128" s="60">
        <f t="shared" ca="1" si="20"/>
        <v>0</v>
      </c>
      <c r="L128" s="60">
        <f t="shared" ca="1" si="20"/>
        <v>0</v>
      </c>
      <c r="M128" s="60">
        <f t="shared" ca="1" si="20"/>
        <v>0</v>
      </c>
      <c r="N128" s="60">
        <f t="shared" ca="1" si="20"/>
        <v>0</v>
      </c>
      <c r="O128" s="60">
        <f t="shared" ca="1" si="20"/>
        <v>0</v>
      </c>
      <c r="P128" s="60">
        <f t="shared" ca="1" si="20"/>
        <v>0</v>
      </c>
      <c r="Q128" s="60">
        <f t="shared" ca="1" si="20"/>
        <v>0</v>
      </c>
      <c r="R128" s="60">
        <f t="shared" ca="1" si="20"/>
        <v>0</v>
      </c>
      <c r="S128" s="60">
        <f t="shared" ca="1" si="20"/>
        <v>0</v>
      </c>
    </row>
    <row r="129" spans="1:19">
      <c r="A129" s="118" t="s">
        <v>1968</v>
      </c>
      <c r="B129" s="118"/>
      <c r="C129" s="118"/>
      <c r="D129" s="169">
        <f t="shared" ref="D129:S129" ca="1" si="21">IF(D$23=0,"",(D12+D15+D19+D21)/D$23)</f>
        <v>1</v>
      </c>
      <c r="E129" s="169">
        <f t="shared" ca="1" si="21"/>
        <v>1</v>
      </c>
      <c r="F129" s="169">
        <f t="shared" ca="1" si="21"/>
        <v>1</v>
      </c>
      <c r="G129" s="169">
        <f t="shared" ca="1" si="21"/>
        <v>1</v>
      </c>
      <c r="H129" s="169">
        <f t="shared" ca="1" si="21"/>
        <v>1</v>
      </c>
      <c r="I129" s="169">
        <f t="shared" ca="1" si="21"/>
        <v>1</v>
      </c>
      <c r="J129" s="169">
        <f t="shared" ca="1" si="21"/>
        <v>1</v>
      </c>
      <c r="K129" s="169">
        <f t="shared" ca="1" si="21"/>
        <v>1</v>
      </c>
      <c r="L129" s="169">
        <f t="shared" ca="1" si="21"/>
        <v>1</v>
      </c>
      <c r="M129" s="169">
        <f t="shared" ca="1" si="21"/>
        <v>1</v>
      </c>
      <c r="N129" s="169">
        <f t="shared" ca="1" si="21"/>
        <v>1</v>
      </c>
      <c r="O129" s="169">
        <f t="shared" ca="1" si="21"/>
        <v>1</v>
      </c>
      <c r="P129" s="169">
        <f t="shared" ca="1" si="21"/>
        <v>1</v>
      </c>
      <c r="Q129" s="169">
        <f t="shared" ca="1" si="21"/>
        <v>1</v>
      </c>
      <c r="R129" s="169">
        <f t="shared" ca="1" si="21"/>
        <v>1</v>
      </c>
      <c r="S129" s="169">
        <f t="shared" ca="1" si="21"/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showGridLines="0" zoomScaleNormal="100" workbookViewId="0">
      <selection activeCell="Q51" sqref="Q51"/>
    </sheetView>
  </sheetViews>
  <sheetFormatPr baseColWidth="10" defaultColWidth="10.6640625" defaultRowHeight="16"/>
  <cols>
    <col min="1" max="1" width="56.6640625" customWidth="1"/>
  </cols>
  <sheetData>
    <row r="1" spans="1:19" ht="1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4" spans="1:1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</row>
    <row r="5" spans="1:1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</row>
    <row r="6" spans="1:19" ht="21.75" customHeight="1">
      <c r="A6" s="74" t="s">
        <v>1969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5" t="s">
        <v>1970</v>
      </c>
      <c r="B8" s="3"/>
      <c r="C8" s="3"/>
      <c r="D8" s="77" t="str">
        <f ca="1">IF(ABS('Group P&amp;L'!D14-'Cash Allocation Engine'!E14)&lt;1,"OK","FAIL")</f>
        <v>FAIL</v>
      </c>
      <c r="E8" s="77" t="str">
        <f ca="1">IF(ABS('Group P&amp;L'!E14-'Cash Allocation Engine'!F14)&lt;1,"OK","FAIL")</f>
        <v>OK</v>
      </c>
      <c r="F8" s="77" t="str">
        <f ca="1">IF(ABS('Group P&amp;L'!F14-'Cash Allocation Engine'!G14)&lt;1,"OK","FAIL")</f>
        <v>OK</v>
      </c>
      <c r="G8" s="77" t="str">
        <f ca="1">IF(ABS('Group P&amp;L'!G14-'Cash Allocation Engine'!H14)&lt;1,"OK","FAIL")</f>
        <v>OK</v>
      </c>
      <c r="H8" s="77" t="str">
        <f ca="1">IF(ABS('Group P&amp;L'!H14-'Cash Allocation Engine'!I14)&lt;1,"OK","FAIL")</f>
        <v>OK</v>
      </c>
      <c r="I8" s="77" t="str">
        <f ca="1">IF(ABS('Group P&amp;L'!I14-'Cash Allocation Engine'!J14)&lt;1,"OK","FAIL")</f>
        <v>OK</v>
      </c>
      <c r="J8" s="77" t="str">
        <f ca="1">IF(ABS('Group P&amp;L'!J14-'Cash Allocation Engine'!K14)&lt;1,"OK","FAIL")</f>
        <v>OK</v>
      </c>
      <c r="K8" s="77" t="str">
        <f ca="1">IF(ABS('Group P&amp;L'!K14-'Cash Allocation Engine'!L14)&lt;1,"OK","FAIL")</f>
        <v>OK</v>
      </c>
      <c r="L8" s="77" t="str">
        <f ca="1">IF(ABS('Group P&amp;L'!L14-'Cash Allocation Engine'!M14)&lt;1,"OK","FAIL")</f>
        <v>OK</v>
      </c>
      <c r="M8" s="77" t="str">
        <f ca="1">IF(ABS('Group P&amp;L'!M14-'Cash Allocation Engine'!N14)&lt;1,"OK","FAIL")</f>
        <v>OK</v>
      </c>
      <c r="N8" s="77" t="str">
        <f ca="1">IF(ABS('Group P&amp;L'!N14-'Cash Allocation Engine'!O14)&lt;1,"OK","FAIL")</f>
        <v>OK</v>
      </c>
      <c r="O8" s="77" t="str">
        <f ca="1">IF(ABS('Group P&amp;L'!O14-'Cash Allocation Engine'!P14)&lt;1,"OK","FAIL")</f>
        <v>OK</v>
      </c>
      <c r="P8" s="77" t="str">
        <f ca="1">IF(ABS('Group P&amp;L'!P14-'Cash Allocation Engine'!Q14)&lt;1,"OK","FAIL")</f>
        <v>OK</v>
      </c>
      <c r="Q8" s="77" t="str">
        <f ca="1">IF(ABS('Group P&amp;L'!Q14-'Cash Allocation Engine'!R14)&lt;1,"OK","FAIL")</f>
        <v>OK</v>
      </c>
      <c r="R8" s="77" t="str">
        <f ca="1">IF(ABS('Group P&amp;L'!R14-'Cash Allocation Engine'!S14)&lt;1,"OK","FAIL")</f>
        <v>OK</v>
      </c>
      <c r="S8" s="3" t="s">
        <v>1971</v>
      </c>
    </row>
    <row r="9" spans="1:19">
      <c r="A9" s="78" t="s">
        <v>1972</v>
      </c>
      <c r="B9" s="78"/>
      <c r="C9" s="78"/>
      <c r="D9" s="79" t="str">
        <f ca="1">IF(ABS('Group P&amp;L'!D57-('Group P&amp;L'!D29-'Group P&amp;L'!D36-'Group P&amp;L'!D44-'Group P&amp;L'!D49))&lt;1,"OK","FAIL")</f>
        <v>FAIL</v>
      </c>
      <c r="E9" s="79" t="str">
        <f ca="1">IF(ABS('Group P&amp;L'!E57-('Group P&amp;L'!E29-'Group P&amp;L'!E36-'Group P&amp;L'!E44-'Group P&amp;L'!E49))&lt;1,"OK","FAIL")</f>
        <v>OK</v>
      </c>
      <c r="F9" s="79" t="str">
        <f ca="1">IF(ABS('Group P&amp;L'!F57-('Group P&amp;L'!F29-'Group P&amp;L'!F36-'Group P&amp;L'!F44-'Group P&amp;L'!F49))&lt;1,"OK","FAIL")</f>
        <v>OK</v>
      </c>
      <c r="G9" s="79" t="str">
        <f ca="1">IF(ABS('Group P&amp;L'!G57-('Group P&amp;L'!G29-'Group P&amp;L'!G36-'Group P&amp;L'!G44-'Group P&amp;L'!G49))&lt;1,"OK","FAIL")</f>
        <v>OK</v>
      </c>
      <c r="H9" s="79" t="str">
        <f ca="1">IF(ABS('Group P&amp;L'!H57-('Group P&amp;L'!H29-'Group P&amp;L'!H36-'Group P&amp;L'!H44-'Group P&amp;L'!H49))&lt;1,"OK","FAIL")</f>
        <v>OK</v>
      </c>
      <c r="I9" s="79" t="str">
        <f ca="1">IF(ABS('Group P&amp;L'!I57-('Group P&amp;L'!I29-'Group P&amp;L'!I36-'Group P&amp;L'!I44-'Group P&amp;L'!I49))&lt;1,"OK","FAIL")</f>
        <v>OK</v>
      </c>
      <c r="J9" s="79" t="str">
        <f ca="1">IF(ABS('Group P&amp;L'!J57-('Group P&amp;L'!J29-'Group P&amp;L'!J36-'Group P&amp;L'!J44-'Group P&amp;L'!J49))&lt;1,"OK","FAIL")</f>
        <v>OK</v>
      </c>
      <c r="K9" s="79" t="str">
        <f ca="1">IF(ABS('Group P&amp;L'!K57-('Group P&amp;L'!K29-'Group P&amp;L'!K36-'Group P&amp;L'!K44-'Group P&amp;L'!K49))&lt;1,"OK","FAIL")</f>
        <v>OK</v>
      </c>
      <c r="L9" s="79" t="str">
        <f ca="1">IF(ABS('Group P&amp;L'!L57-('Group P&amp;L'!L29-'Group P&amp;L'!L36-'Group P&amp;L'!L44-'Group P&amp;L'!L49))&lt;1,"OK","FAIL")</f>
        <v>OK</v>
      </c>
      <c r="M9" s="79" t="str">
        <f ca="1">IF(ABS('Group P&amp;L'!M57-('Group P&amp;L'!M29-'Group P&amp;L'!M36-'Group P&amp;L'!M44-'Group P&amp;L'!M49))&lt;1,"OK","FAIL")</f>
        <v>OK</v>
      </c>
      <c r="N9" s="79" t="str">
        <f ca="1">IF(ABS('Group P&amp;L'!N57-('Group P&amp;L'!N29-'Group P&amp;L'!N36-'Group P&amp;L'!N44-'Group P&amp;L'!N49))&lt;1,"OK","FAIL")</f>
        <v>OK</v>
      </c>
      <c r="O9" s="79" t="str">
        <f ca="1">IF(ABS('Group P&amp;L'!O57-('Group P&amp;L'!O29-'Group P&amp;L'!O36-'Group P&amp;L'!O44-'Group P&amp;L'!O49))&lt;1,"OK","FAIL")</f>
        <v>OK</v>
      </c>
      <c r="P9" s="79" t="str">
        <f ca="1">IF(ABS('Group P&amp;L'!P57-('Group P&amp;L'!P29-'Group P&amp;L'!P36-'Group P&amp;L'!P44-'Group P&amp;L'!P49))&lt;1,"OK","FAIL")</f>
        <v>OK</v>
      </c>
      <c r="Q9" s="79" t="str">
        <f ca="1">IF(ABS('Group P&amp;L'!Q57-('Group P&amp;L'!Q29-'Group P&amp;L'!Q36-'Group P&amp;L'!Q44-'Group P&amp;L'!Q49))&lt;1,"OK","FAIL")</f>
        <v>OK</v>
      </c>
      <c r="R9" s="79" t="str">
        <f ca="1">IF(ABS('Group P&amp;L'!R57-('Group P&amp;L'!R29-'Group P&amp;L'!R36-'Group P&amp;L'!R44-'Group P&amp;L'!R49))&lt;1,"OK","FAIL")</f>
        <v>OK</v>
      </c>
      <c r="S9" s="79" t="str">
        <f ca="1">IF(ABS('Group P&amp;L'!S57-('Group P&amp;L'!S29-'Group P&amp;L'!S36-'Group P&amp;L'!S44-'Group P&amp;L'!S49))&lt;1,"OK","FAIL")</f>
        <v>OK</v>
      </c>
    </row>
    <row r="10" spans="1:19">
      <c r="A10" s="5" t="s">
        <v>1973</v>
      </c>
      <c r="B10" s="3"/>
      <c r="C10" s="3"/>
      <c r="D10" s="77" t="str">
        <f ca="1">IF(ABS('Group P&amp;L'!D65-(Starlink!D151+'Customer Launch'!D107+'AI - Compute'!D11+'Lunar - Mars'!D109+'Group P&amp;L'!D64))&lt;1,"OK","FAIL: BV leak?")</f>
        <v>FAIL: BV leak?</v>
      </c>
      <c r="E10" s="77" t="str">
        <f ca="1">IF(ABS('Group P&amp;L'!E65-(Starlink!E151+'Customer Launch'!E107+'AI - Compute'!E11+'Lunar - Mars'!E109+'Group P&amp;L'!E64))&lt;1,"OK","FAIL: BV leak?")</f>
        <v>OK</v>
      </c>
      <c r="F10" s="77" t="str">
        <f ca="1">IF(ABS('Group P&amp;L'!F65-(Starlink!F151+'Customer Launch'!F107+'AI - Compute'!F11+'Lunar - Mars'!F109+'Group P&amp;L'!F64))&lt;1,"OK","FAIL: BV leak?")</f>
        <v>OK</v>
      </c>
      <c r="G10" s="77" t="str">
        <f ca="1">IF(ABS('Group P&amp;L'!G65-(Starlink!G151+'Customer Launch'!G107+'AI - Compute'!G11+'Lunar - Mars'!G109+'Group P&amp;L'!G64))&lt;1,"OK","FAIL: BV leak?")</f>
        <v>OK</v>
      </c>
      <c r="H10" s="77" t="str">
        <f ca="1">IF(ABS('Group P&amp;L'!H65-(Starlink!H151+'Customer Launch'!H107+'AI - Compute'!H11+'Lunar - Mars'!H109+'Group P&amp;L'!H64))&lt;1,"OK","FAIL: BV leak?")</f>
        <v>OK</v>
      </c>
      <c r="I10" s="77" t="str">
        <f ca="1">IF(ABS('Group P&amp;L'!I65-(Starlink!I151+'Customer Launch'!I107+'AI - Compute'!I11+'Lunar - Mars'!I109+'Group P&amp;L'!I64))&lt;1,"OK","FAIL: BV leak?")</f>
        <v>OK</v>
      </c>
      <c r="J10" s="77" t="str">
        <f ca="1">IF(ABS('Group P&amp;L'!J65-(Starlink!J151+'Customer Launch'!J107+'AI - Compute'!J11+'Lunar - Mars'!J109+'Group P&amp;L'!J64))&lt;1,"OK","FAIL: BV leak?")</f>
        <v>OK</v>
      </c>
      <c r="K10" s="77" t="str">
        <f ca="1">IF(ABS('Group P&amp;L'!K65-(Starlink!K151+'Customer Launch'!K107+'AI - Compute'!K11+'Lunar - Mars'!K109+'Group P&amp;L'!K64))&lt;1,"OK","FAIL: BV leak?")</f>
        <v>OK</v>
      </c>
      <c r="L10" s="77" t="str">
        <f ca="1">IF(ABS('Group P&amp;L'!L65-(Starlink!L151+'Customer Launch'!L107+'AI - Compute'!L11+'Lunar - Mars'!L109+'Group P&amp;L'!L64))&lt;1,"OK","FAIL: BV leak?")</f>
        <v>OK</v>
      </c>
      <c r="M10" s="77" t="str">
        <f ca="1">IF(ABS('Group P&amp;L'!M65-(Starlink!M151+'Customer Launch'!M107+'AI - Compute'!M11+'Lunar - Mars'!M109+'Group P&amp;L'!M64))&lt;1,"OK","FAIL: BV leak?")</f>
        <v>OK</v>
      </c>
      <c r="N10" s="77" t="str">
        <f ca="1">IF(ABS('Group P&amp;L'!N65-(Starlink!N151+'Customer Launch'!N107+'AI - Compute'!N11+'Lunar - Mars'!N109+'Group P&amp;L'!N64))&lt;1,"OK","FAIL: BV leak?")</f>
        <v>OK</v>
      </c>
      <c r="O10" s="77" t="str">
        <f ca="1">IF(ABS('Group P&amp;L'!O65-(Starlink!O151+'Customer Launch'!O107+'AI - Compute'!O11+'Lunar - Mars'!O109+'Group P&amp;L'!O64))&lt;1,"OK","FAIL: BV leak?")</f>
        <v>OK</v>
      </c>
      <c r="P10" s="77" t="str">
        <f ca="1">IF(ABS('Group P&amp;L'!P65-(Starlink!P151+'Customer Launch'!P107+'AI - Compute'!P11+'Lunar - Mars'!P109+'Group P&amp;L'!P64))&lt;1,"OK","FAIL: BV leak?")</f>
        <v>OK</v>
      </c>
      <c r="Q10" s="77" t="str">
        <f ca="1">IF(ABS('Group P&amp;L'!Q65-(Starlink!Q151+'Customer Launch'!Q107+'AI - Compute'!Q11+'Lunar - Mars'!Q109+'Group P&amp;L'!Q64))&lt;1,"OK","FAIL: BV leak?")</f>
        <v>OK</v>
      </c>
      <c r="R10" s="77" t="str">
        <f ca="1">IF(ABS('Group P&amp;L'!R65-(Starlink!R151+'Customer Launch'!R107+'AI - Compute'!R11+'Lunar - Mars'!R109+'Group P&amp;L'!R64))&lt;1,"OK","FAIL: BV leak?")</f>
        <v>OK</v>
      </c>
      <c r="S10" s="77" t="str">
        <f ca="1">IF(ABS('Group P&amp;L'!S65-(Starlink!S151+'Customer Launch'!S107+'AI - Compute'!S11+'Lunar - Mars'!S109+'Group P&amp;L'!S64))&lt;1,"OK","FAIL: BV leak?")</f>
        <v>OK</v>
      </c>
    </row>
    <row r="11" spans="1:19">
      <c r="A11" s="78" t="s">
        <v>1974</v>
      </c>
      <c r="B11" s="78"/>
      <c r="C11" s="78"/>
      <c r="D11" s="79" t="str">
        <f ca="1">IF(ABS('Group P&amp;L'!D73-('Group P&amp;L'!D57-'Group P&amp;L'!D65))&lt;1,"OK","FAIL")</f>
        <v>FAIL</v>
      </c>
      <c r="E11" s="79" t="str">
        <f ca="1">IF(ABS('Group P&amp;L'!E73-('Group P&amp;L'!E57-'Group P&amp;L'!E65))&lt;1,"OK","FAIL")</f>
        <v>OK</v>
      </c>
      <c r="F11" s="79" t="str">
        <f ca="1">IF(ABS('Group P&amp;L'!F73-('Group P&amp;L'!F57-'Group P&amp;L'!F65))&lt;1,"OK","FAIL")</f>
        <v>OK</v>
      </c>
      <c r="G11" s="79" t="str">
        <f ca="1">IF(ABS('Group P&amp;L'!G73-('Group P&amp;L'!G57-'Group P&amp;L'!G65))&lt;1,"OK","FAIL")</f>
        <v>OK</v>
      </c>
      <c r="H11" s="79" t="str">
        <f ca="1">IF(ABS('Group P&amp;L'!H73-('Group P&amp;L'!H57-'Group P&amp;L'!H65))&lt;1,"OK","FAIL")</f>
        <v>OK</v>
      </c>
      <c r="I11" s="79" t="str">
        <f ca="1">IF(ABS('Group P&amp;L'!I73-('Group P&amp;L'!I57-'Group P&amp;L'!I65))&lt;1,"OK","FAIL")</f>
        <v>OK</v>
      </c>
      <c r="J11" s="79" t="str">
        <f ca="1">IF(ABS('Group P&amp;L'!J73-('Group P&amp;L'!J57-'Group P&amp;L'!J65))&lt;1,"OK","FAIL")</f>
        <v>OK</v>
      </c>
      <c r="K11" s="79" t="str">
        <f ca="1">IF(ABS('Group P&amp;L'!K73-('Group P&amp;L'!K57-'Group P&amp;L'!K65))&lt;1,"OK","FAIL")</f>
        <v>OK</v>
      </c>
      <c r="L11" s="79" t="str">
        <f ca="1">IF(ABS('Group P&amp;L'!L73-('Group P&amp;L'!L57-'Group P&amp;L'!L65))&lt;1,"OK","FAIL")</f>
        <v>OK</v>
      </c>
      <c r="M11" s="79" t="str">
        <f ca="1">IF(ABS('Group P&amp;L'!M73-('Group P&amp;L'!M57-'Group P&amp;L'!M65))&lt;1,"OK","FAIL")</f>
        <v>OK</v>
      </c>
      <c r="N11" s="79" t="str">
        <f ca="1">IF(ABS('Group P&amp;L'!N73-('Group P&amp;L'!N57-'Group P&amp;L'!N65))&lt;1,"OK","FAIL")</f>
        <v>OK</v>
      </c>
      <c r="O11" s="79" t="str">
        <f ca="1">IF(ABS('Group P&amp;L'!O73-('Group P&amp;L'!O57-'Group P&amp;L'!O65))&lt;1,"OK","FAIL")</f>
        <v>OK</v>
      </c>
      <c r="P11" s="79" t="str">
        <f ca="1">IF(ABS('Group P&amp;L'!P73-('Group P&amp;L'!P57-'Group P&amp;L'!P65))&lt;1,"OK","FAIL")</f>
        <v>OK</v>
      </c>
      <c r="Q11" s="79" t="str">
        <f ca="1">IF(ABS('Group P&amp;L'!Q73-('Group P&amp;L'!Q57-'Group P&amp;L'!Q65))&lt;1,"OK","FAIL")</f>
        <v>OK</v>
      </c>
      <c r="R11" s="79" t="str">
        <f ca="1">IF(ABS('Group P&amp;L'!R73-('Group P&amp;L'!R57-'Group P&amp;L'!R65))&lt;1,"OK","FAIL")</f>
        <v>OK</v>
      </c>
      <c r="S11" s="79" t="str">
        <f ca="1">IF(ABS('Group P&amp;L'!S73-('Group P&amp;L'!S57-'Group P&amp;L'!S65))&lt;1,"OK","FAIL")</f>
        <v>OK</v>
      </c>
    </row>
    <row r="12" spans="1:19">
      <c r="A12" s="5" t="s">
        <v>1975</v>
      </c>
      <c r="B12" s="3"/>
      <c r="C12" s="3"/>
      <c r="D12" s="77" t="str">
        <f>IF('Cash Allocation Engine'!D55="","OK (seed)",IF(ABS('Group P&amp;L'!D93-'Group P&amp;L'!D94-'Group P&amp;L'!D95)&lt;1,"OK","FAIL"))</f>
        <v>OK (seed)</v>
      </c>
      <c r="E12" s="77" t="str">
        <f ca="1">IF(ABS('Group P&amp;L'!E93-'Group P&amp;L'!E94-'Group P&amp;L'!E95)&lt;1,"OK","FAIL")</f>
        <v>OK</v>
      </c>
      <c r="F12" s="77" t="str">
        <f ca="1">IF(ABS('Group P&amp;L'!F93-'Group P&amp;L'!F94-'Group P&amp;L'!F95)&lt;1,"OK","FAIL")</f>
        <v>OK</v>
      </c>
      <c r="G12" s="77" t="str">
        <f ca="1">IF(ABS('Group P&amp;L'!G93-'Group P&amp;L'!G94-'Group P&amp;L'!G95)&lt;1,"OK","FAIL")</f>
        <v>OK</v>
      </c>
      <c r="H12" s="77" t="str">
        <f ca="1">IF(ABS('Group P&amp;L'!H93-'Group P&amp;L'!H94-'Group P&amp;L'!H95)&lt;1,"OK","FAIL")</f>
        <v>OK</v>
      </c>
      <c r="I12" s="77" t="str">
        <f ca="1">IF(ABS('Group P&amp;L'!I93-'Group P&amp;L'!I94-'Group P&amp;L'!I95)&lt;1,"OK","FAIL")</f>
        <v>OK</v>
      </c>
      <c r="J12" s="77" t="str">
        <f ca="1">IF(ABS('Group P&amp;L'!J93-'Group P&amp;L'!J94-'Group P&amp;L'!J95)&lt;1,"OK","FAIL")</f>
        <v>OK</v>
      </c>
      <c r="K12" s="77" t="str">
        <f ca="1">IF(ABS('Group P&amp;L'!K93-'Group P&amp;L'!K94-'Group P&amp;L'!K95)&lt;1,"OK","FAIL")</f>
        <v>OK</v>
      </c>
      <c r="L12" s="77" t="str">
        <f ca="1">IF(ABS('Group P&amp;L'!L93-'Group P&amp;L'!L94-'Group P&amp;L'!L95)&lt;1,"OK","FAIL")</f>
        <v>OK</v>
      </c>
      <c r="M12" s="77" t="str">
        <f ca="1">IF(ABS('Group P&amp;L'!M93-'Group P&amp;L'!M94-'Group P&amp;L'!M95)&lt;1,"OK","FAIL")</f>
        <v>OK</v>
      </c>
      <c r="N12" s="77" t="str">
        <f ca="1">IF(ABS('Group P&amp;L'!N93-'Group P&amp;L'!N94-'Group P&amp;L'!N95)&lt;1,"OK","FAIL")</f>
        <v>OK</v>
      </c>
      <c r="O12" s="77" t="str">
        <f ca="1">IF(ABS('Group P&amp;L'!O93-'Group P&amp;L'!O94-'Group P&amp;L'!O95)&lt;1,"OK","FAIL")</f>
        <v>OK</v>
      </c>
      <c r="P12" s="77" t="str">
        <f ca="1">IF(ABS('Group P&amp;L'!P93-'Group P&amp;L'!P94-'Group P&amp;L'!P95)&lt;1,"OK","FAIL")</f>
        <v>OK</v>
      </c>
      <c r="Q12" s="77" t="str">
        <f ca="1">IF(ABS('Group P&amp;L'!Q93-'Group P&amp;L'!Q94-'Group P&amp;L'!Q95)&lt;1,"OK","FAIL")</f>
        <v>OK</v>
      </c>
      <c r="R12" s="77" t="str">
        <f ca="1">IF(ABS('Group P&amp;L'!R93-'Group P&amp;L'!R94-'Group P&amp;L'!R95)&lt;1,"OK","FAIL")</f>
        <v>OK</v>
      </c>
      <c r="S12" s="77" t="str">
        <f ca="1">IF(ABS('Group P&amp;L'!S93-'Group P&amp;L'!S94-'Group P&amp;L'!S95)&lt;1,"OK","FAIL")</f>
        <v>OK</v>
      </c>
    </row>
    <row r="13" spans="1:19">
      <c r="A13" s="78" t="s">
        <v>1976</v>
      </c>
      <c r="B13" s="78"/>
      <c r="C13" s="78"/>
      <c r="D13" s="79" t="str">
        <f>IF(ABS('Group P&amp;L'!D96-('Group P&amp;L'!D77+'Group P&amp;L'!D65-'Group P&amp;L'!D85))&lt;1,"OK","FAIL")</f>
        <v>OK</v>
      </c>
      <c r="E13" s="79" t="str">
        <f ca="1">IF(ABS('Group P&amp;L'!E96-('Group P&amp;L'!E77+'Group P&amp;L'!E65-'Group P&amp;L'!E85))&lt;1,"OK","FAIL")</f>
        <v>OK</v>
      </c>
      <c r="F13" s="79" t="str">
        <f ca="1">IF(ABS('Group P&amp;L'!F96-('Group P&amp;L'!F77+'Group P&amp;L'!F65-'Group P&amp;L'!F85))&lt;1,"OK","FAIL")</f>
        <v>OK</v>
      </c>
      <c r="G13" s="79" t="str">
        <f ca="1">IF(ABS('Group P&amp;L'!G96-('Group P&amp;L'!G77+'Group P&amp;L'!G65-'Group P&amp;L'!G85))&lt;1,"OK","FAIL")</f>
        <v>OK</v>
      </c>
      <c r="H13" s="79" t="str">
        <f ca="1">IF(ABS('Group P&amp;L'!H96-('Group P&amp;L'!H77+'Group P&amp;L'!H65-'Group P&amp;L'!H85))&lt;1,"OK","FAIL")</f>
        <v>OK</v>
      </c>
      <c r="I13" s="79" t="str">
        <f ca="1">IF(ABS('Group P&amp;L'!I96-('Group P&amp;L'!I77+'Group P&amp;L'!I65-'Group P&amp;L'!I85))&lt;1,"OK","FAIL")</f>
        <v>OK</v>
      </c>
      <c r="J13" s="79" t="str">
        <f ca="1">IF(ABS('Group P&amp;L'!J96-('Group P&amp;L'!J77+'Group P&amp;L'!J65-'Group P&amp;L'!J85))&lt;1,"OK","FAIL")</f>
        <v>OK</v>
      </c>
      <c r="K13" s="79" t="str">
        <f ca="1">IF(ABS('Group P&amp;L'!K96-('Group P&amp;L'!K77+'Group P&amp;L'!K65-'Group P&amp;L'!K85))&lt;1,"OK","FAIL")</f>
        <v>OK</v>
      </c>
      <c r="L13" s="79" t="str">
        <f ca="1">IF(ABS('Group P&amp;L'!L96-('Group P&amp;L'!L77+'Group P&amp;L'!L65-'Group P&amp;L'!L85))&lt;1,"OK","FAIL")</f>
        <v>OK</v>
      </c>
      <c r="M13" s="79" t="str">
        <f ca="1">IF(ABS('Group P&amp;L'!M96-('Group P&amp;L'!M77+'Group P&amp;L'!M65-'Group P&amp;L'!M85))&lt;1,"OK","FAIL")</f>
        <v>OK</v>
      </c>
      <c r="N13" s="79" t="str">
        <f ca="1">IF(ABS('Group P&amp;L'!N96-('Group P&amp;L'!N77+'Group P&amp;L'!N65-'Group P&amp;L'!N85))&lt;1,"OK","FAIL")</f>
        <v>OK</v>
      </c>
      <c r="O13" s="79" t="str">
        <f ca="1">IF(ABS('Group P&amp;L'!O96-('Group P&amp;L'!O77+'Group P&amp;L'!O65-'Group P&amp;L'!O85))&lt;1,"OK","FAIL")</f>
        <v>OK</v>
      </c>
      <c r="P13" s="79" t="str">
        <f ca="1">IF(ABS('Group P&amp;L'!P96-('Group P&amp;L'!P77+'Group P&amp;L'!P65-'Group P&amp;L'!P85))&lt;1,"OK","FAIL")</f>
        <v>OK</v>
      </c>
      <c r="Q13" s="79" t="str">
        <f ca="1">IF(ABS('Group P&amp;L'!Q96-('Group P&amp;L'!Q77+'Group P&amp;L'!Q65-'Group P&amp;L'!Q85))&lt;1,"OK","FAIL")</f>
        <v>OK</v>
      </c>
      <c r="R13" s="79" t="str">
        <f ca="1">IF(ABS('Group P&amp;L'!R96-('Group P&amp;L'!R77+'Group P&amp;L'!R65-'Group P&amp;L'!R85))&lt;1,"OK","FAIL")</f>
        <v>OK</v>
      </c>
      <c r="S13" s="79" t="str">
        <f ca="1">IF(ABS('Group P&amp;L'!S96-('Group P&amp;L'!S77+'Group P&amp;L'!S65-'Group P&amp;L'!S85))&lt;1,"OK","FAIL")</f>
        <v>OK</v>
      </c>
    </row>
    <row r="14" spans="1:19">
      <c r="A14" s="5" t="s">
        <v>1977</v>
      </c>
      <c r="B14" s="3"/>
      <c r="C14" s="3"/>
      <c r="D14" s="77" t="str">
        <f>IF('Cash Allocation Engine'!D55="","OK",IF(ABS('Cash Allocation Engine'!D56-'Cash Allocation Engine'!D11-'Cash Allocation Engine'!D55+'Cash Allocation Engine'!D106+'Cash Allocation Engine'!D107-'Cash Allocation Engine'!D10-'Cash Allocation Engine'!D134+'Cash Allocation Engine'!D135+'Cash Allocation Engine'!D136)&lt;1,"OK","FAIL"))</f>
        <v>OK</v>
      </c>
      <c r="E14" s="77" t="str">
        <f ca="1">IF('Cash Allocation Engine'!E55="","OK",IF(ABS('Cash Allocation Engine'!E56-'Cash Allocation Engine'!E11-'Cash Allocation Engine'!E55+'Cash Allocation Engine'!E106+'Cash Allocation Engine'!E107-'Cash Allocation Engine'!E10-'Cash Allocation Engine'!E134+'Cash Allocation Engine'!E135+'Cash Allocation Engine'!E136)&lt;1,"OK","FAIL"))</f>
        <v>OK</v>
      </c>
      <c r="F14" s="77" t="str">
        <f ca="1">IF('Cash Allocation Engine'!F55="","OK",IF(ABS('Cash Allocation Engine'!F56-'Cash Allocation Engine'!F11-'Cash Allocation Engine'!F55+'Cash Allocation Engine'!F106+'Cash Allocation Engine'!F107-'Cash Allocation Engine'!F10-'Cash Allocation Engine'!F134+'Cash Allocation Engine'!F135+'Cash Allocation Engine'!F136)&lt;1,"OK","FAIL"))</f>
        <v>OK</v>
      </c>
      <c r="G14" s="77" t="str">
        <f ca="1">IF('Cash Allocation Engine'!G55="","OK",IF(ABS('Cash Allocation Engine'!G56-'Cash Allocation Engine'!G11-'Cash Allocation Engine'!G55+'Cash Allocation Engine'!G106+'Cash Allocation Engine'!G107-'Cash Allocation Engine'!G10-'Cash Allocation Engine'!G134+'Cash Allocation Engine'!G135+'Cash Allocation Engine'!G136)&lt;1,"OK","FAIL"))</f>
        <v>OK</v>
      </c>
      <c r="H14" s="77" t="str">
        <f ca="1">IF('Cash Allocation Engine'!H55="","OK",IF(ABS('Cash Allocation Engine'!H56-'Cash Allocation Engine'!H11-'Cash Allocation Engine'!H55+'Cash Allocation Engine'!H106+'Cash Allocation Engine'!H107-'Cash Allocation Engine'!H10-'Cash Allocation Engine'!H134+'Cash Allocation Engine'!H135+'Cash Allocation Engine'!H136)&lt;1,"OK","FAIL"))</f>
        <v>OK</v>
      </c>
      <c r="I14" s="77" t="str">
        <f ca="1">IF('Cash Allocation Engine'!I55="","OK",IF(ABS('Cash Allocation Engine'!I56-'Cash Allocation Engine'!I11-'Cash Allocation Engine'!I55+'Cash Allocation Engine'!I106+'Cash Allocation Engine'!I107-'Cash Allocation Engine'!I10-'Cash Allocation Engine'!I134+'Cash Allocation Engine'!I135+'Cash Allocation Engine'!I136)&lt;1,"OK","FAIL"))</f>
        <v>OK</v>
      </c>
      <c r="J14" s="77" t="str">
        <f ca="1">IF('Cash Allocation Engine'!J55="","OK",IF(ABS('Cash Allocation Engine'!J56-'Cash Allocation Engine'!J11-'Cash Allocation Engine'!J55+'Cash Allocation Engine'!J106+'Cash Allocation Engine'!J107-'Cash Allocation Engine'!J10-'Cash Allocation Engine'!J134+'Cash Allocation Engine'!J135+'Cash Allocation Engine'!J136)&lt;1,"OK","FAIL"))</f>
        <v>OK</v>
      </c>
      <c r="K14" s="77" t="str">
        <f ca="1">IF('Cash Allocation Engine'!K55="","OK",IF(ABS('Cash Allocation Engine'!K56-'Cash Allocation Engine'!K11-'Cash Allocation Engine'!K55+'Cash Allocation Engine'!K106+'Cash Allocation Engine'!K107-'Cash Allocation Engine'!K10-'Cash Allocation Engine'!K134+'Cash Allocation Engine'!K135+'Cash Allocation Engine'!K136)&lt;1,"OK","FAIL"))</f>
        <v>OK</v>
      </c>
      <c r="L14" s="77" t="str">
        <f ca="1">IF('Cash Allocation Engine'!L55="","OK",IF(ABS('Cash Allocation Engine'!L56-'Cash Allocation Engine'!L11-'Cash Allocation Engine'!L55+'Cash Allocation Engine'!L106+'Cash Allocation Engine'!L107-'Cash Allocation Engine'!L10-'Cash Allocation Engine'!L134+'Cash Allocation Engine'!L135+'Cash Allocation Engine'!L136)&lt;1,"OK","FAIL"))</f>
        <v>OK</v>
      </c>
      <c r="M14" s="77" t="str">
        <f ca="1">IF('Cash Allocation Engine'!M55="","OK",IF(ABS('Cash Allocation Engine'!M56-'Cash Allocation Engine'!M11-'Cash Allocation Engine'!M55+'Cash Allocation Engine'!M106+'Cash Allocation Engine'!M107-'Cash Allocation Engine'!M10-'Cash Allocation Engine'!M134+'Cash Allocation Engine'!M135+'Cash Allocation Engine'!M136)&lt;1,"OK","FAIL"))</f>
        <v>OK</v>
      </c>
      <c r="N14" s="77" t="str">
        <f ca="1">IF('Cash Allocation Engine'!N55="","OK",IF(ABS('Cash Allocation Engine'!N56-'Cash Allocation Engine'!N11-'Cash Allocation Engine'!N55+'Cash Allocation Engine'!N106+'Cash Allocation Engine'!N107-'Cash Allocation Engine'!N10-'Cash Allocation Engine'!N134+'Cash Allocation Engine'!N135+'Cash Allocation Engine'!N136)&lt;1,"OK","FAIL"))</f>
        <v>OK</v>
      </c>
      <c r="O14" s="77" t="str">
        <f ca="1">IF('Cash Allocation Engine'!O55="","OK",IF(ABS('Cash Allocation Engine'!O56-'Cash Allocation Engine'!O11-'Cash Allocation Engine'!O55+'Cash Allocation Engine'!O106+'Cash Allocation Engine'!O107-'Cash Allocation Engine'!O10-'Cash Allocation Engine'!O134+'Cash Allocation Engine'!O135+'Cash Allocation Engine'!O136)&lt;1,"OK","FAIL"))</f>
        <v>OK</v>
      </c>
      <c r="P14" s="77" t="str">
        <f ca="1">IF('Cash Allocation Engine'!P55="","OK",IF(ABS('Cash Allocation Engine'!P56-'Cash Allocation Engine'!P11-'Cash Allocation Engine'!P55+'Cash Allocation Engine'!P106+'Cash Allocation Engine'!P107-'Cash Allocation Engine'!P10-'Cash Allocation Engine'!P134+'Cash Allocation Engine'!P135+'Cash Allocation Engine'!P136)&lt;1,"OK","FAIL"))</f>
        <v>OK</v>
      </c>
      <c r="Q14" s="77" t="str">
        <f ca="1">IF('Cash Allocation Engine'!Q55="","OK",IF(ABS('Cash Allocation Engine'!Q56-'Cash Allocation Engine'!Q11-'Cash Allocation Engine'!Q55+'Cash Allocation Engine'!Q106+'Cash Allocation Engine'!Q107-'Cash Allocation Engine'!Q10-'Cash Allocation Engine'!Q134+'Cash Allocation Engine'!Q135+'Cash Allocation Engine'!Q136)&lt;1,"OK","FAIL"))</f>
        <v>OK</v>
      </c>
      <c r="R14" s="77" t="str">
        <f ca="1">IF('Cash Allocation Engine'!R55="","OK",IF(ABS('Cash Allocation Engine'!R56-'Cash Allocation Engine'!R11-'Cash Allocation Engine'!R55+'Cash Allocation Engine'!R106+'Cash Allocation Engine'!R107-'Cash Allocation Engine'!R10-'Cash Allocation Engine'!R134+'Cash Allocation Engine'!R135+'Cash Allocation Engine'!R136)&lt;1,"OK","FAIL"))</f>
        <v>OK</v>
      </c>
      <c r="S14" s="77" t="str">
        <f ca="1">IF('Cash Allocation Engine'!S55="","OK",IF(ABS('Cash Allocation Engine'!S56-'Cash Allocation Engine'!S11-'Cash Allocation Engine'!S55+'Cash Allocation Engine'!S106+'Cash Allocation Engine'!S107-'Cash Allocation Engine'!S10-'Cash Allocation Engine'!S134+'Cash Allocation Engine'!S135+'Cash Allocation Engine'!S136)&lt;1,"OK","FAIL"))</f>
        <v>OK</v>
      </c>
    </row>
    <row r="15" spans="1:19">
      <c r="A15" s="5" t="s">
        <v>1978</v>
      </c>
      <c r="B15" s="3"/>
      <c r="C15" s="3"/>
      <c r="D15" s="77" t="str">
        <f>IF(ABS('Group P&amp;L'!D101)&lt;1,"OK","FAIL")</f>
        <v>OK</v>
      </c>
      <c r="E15" s="77" t="str">
        <f>IF(ABS('Group P&amp;L'!E101)&lt;1,"OK","FAIL")</f>
        <v>OK</v>
      </c>
      <c r="F15" s="77" t="str">
        <f>IF(ABS('Group P&amp;L'!F101)&lt;1,"OK","FAIL")</f>
        <v>OK</v>
      </c>
      <c r="G15" s="77" t="str">
        <f>IF(ABS('Group P&amp;L'!G101)&lt;1,"OK","FAIL")</f>
        <v>OK</v>
      </c>
      <c r="H15" s="77" t="str">
        <f>IF(ABS('Group P&amp;L'!H101)&lt;1,"OK","FAIL")</f>
        <v>OK</v>
      </c>
      <c r="I15" s="77" t="str">
        <f>IF(ABS('Group P&amp;L'!I101)&lt;1,"OK","FAIL")</f>
        <v>OK</v>
      </c>
      <c r="J15" s="77" t="str">
        <f>IF(ABS('Group P&amp;L'!J101)&lt;1,"OK","FAIL")</f>
        <v>OK</v>
      </c>
      <c r="K15" s="77" t="str">
        <f>IF(ABS('Group P&amp;L'!K101)&lt;1,"OK","FAIL")</f>
        <v>OK</v>
      </c>
      <c r="L15" s="77" t="str">
        <f>IF(ABS('Group P&amp;L'!L101)&lt;1,"OK","FAIL")</f>
        <v>OK</v>
      </c>
      <c r="M15" s="77" t="str">
        <f>IF(ABS('Group P&amp;L'!M101)&lt;1,"OK","FAIL")</f>
        <v>OK</v>
      </c>
      <c r="N15" s="77" t="str">
        <f>IF(ABS('Group P&amp;L'!N101)&lt;1,"OK","FAIL")</f>
        <v>OK</v>
      </c>
      <c r="O15" s="77" t="str">
        <f>IF(ABS('Group P&amp;L'!O101)&lt;1,"OK","FAIL")</f>
        <v>OK</v>
      </c>
      <c r="P15" s="77" t="str">
        <f>IF(ABS('Group P&amp;L'!P101)&lt;1,"OK","FAIL")</f>
        <v>OK</v>
      </c>
      <c r="Q15" s="77" t="str">
        <f>IF(ABS('Group P&amp;L'!Q101)&lt;1,"OK","FAIL")</f>
        <v>OK</v>
      </c>
      <c r="R15" s="77" t="str">
        <f>IF(ABS('Group P&amp;L'!R101)&lt;1,"OK","FAIL")</f>
        <v>OK</v>
      </c>
      <c r="S15" s="77" t="str">
        <f>IF(ABS('Group P&amp;L'!S101)&lt;1,"OK","FAIL")</f>
        <v>OK</v>
      </c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82" t="s">
        <v>1979</v>
      </c>
      <c r="B17" s="94"/>
      <c r="C17" s="94"/>
      <c r="D17" s="204" t="str">
        <f t="shared" ref="D17:S17" ca="1" si="0">IF(AND(LEFT(D8,2)="OK",LEFT(D9,2)="OK",LEFT(D10,2)="OK",LEFT(D11,2)="OK",LEFT(D12,2)="OK",LEFT(D13,2)="OK",LEFT(D14,2)="OK",LEFT(D15,2)="OK"),"OK","FAIL")</f>
        <v>FAIL</v>
      </c>
      <c r="E17" s="204" t="str">
        <f t="shared" ca="1" si="0"/>
        <v>OK</v>
      </c>
      <c r="F17" s="204" t="str">
        <f t="shared" ca="1" si="0"/>
        <v>OK</v>
      </c>
      <c r="G17" s="204" t="str">
        <f t="shared" ca="1" si="0"/>
        <v>OK</v>
      </c>
      <c r="H17" s="204" t="str">
        <f t="shared" ca="1" si="0"/>
        <v>OK</v>
      </c>
      <c r="I17" s="204" t="str">
        <f t="shared" ca="1" si="0"/>
        <v>OK</v>
      </c>
      <c r="J17" s="204" t="str">
        <f t="shared" ca="1" si="0"/>
        <v>OK</v>
      </c>
      <c r="K17" s="204" t="str">
        <f t="shared" ca="1" si="0"/>
        <v>OK</v>
      </c>
      <c r="L17" s="204" t="str">
        <f t="shared" ca="1" si="0"/>
        <v>OK</v>
      </c>
      <c r="M17" s="204" t="str">
        <f t="shared" ca="1" si="0"/>
        <v>OK</v>
      </c>
      <c r="N17" s="204" t="str">
        <f t="shared" ca="1" si="0"/>
        <v>OK</v>
      </c>
      <c r="O17" s="204" t="str">
        <f t="shared" ca="1" si="0"/>
        <v>OK</v>
      </c>
      <c r="P17" s="204" t="str">
        <f t="shared" ca="1" si="0"/>
        <v>OK</v>
      </c>
      <c r="Q17" s="204" t="str">
        <f t="shared" ca="1" si="0"/>
        <v>OK</v>
      </c>
      <c r="R17" s="204" t="str">
        <f t="shared" ca="1" si="0"/>
        <v>OK</v>
      </c>
      <c r="S17" s="204" t="str">
        <f t="shared" ca="1" si="0"/>
        <v>FAIL</v>
      </c>
    </row>
    <row r="18" spans="1:19">
      <c r="A18" s="78" t="s">
        <v>1980</v>
      </c>
      <c r="B18" s="78"/>
      <c r="C18" s="78"/>
      <c r="D18" s="125">
        <f>'Cash Allocation Engine'!D55</f>
        <v>0</v>
      </c>
      <c r="E18" s="125">
        <f ca="1">D18+'Cash Allocation Engine'!E55</f>
        <v>-15548.290093223237</v>
      </c>
      <c r="F18" s="125">
        <f ca="1">E18+'Cash Allocation Engine'!F55</f>
        <v>-20122.592728689444</v>
      </c>
      <c r="G18" s="125">
        <f ca="1">F18+'Cash Allocation Engine'!G55</f>
        <v>5429.3917158661789</v>
      </c>
      <c r="H18" s="125">
        <f ca="1">G18+'Cash Allocation Engine'!H55</f>
        <v>55590.465619052491</v>
      </c>
      <c r="I18" s="125">
        <f ca="1">H18+'Cash Allocation Engine'!I55</f>
        <v>94728.666768518888</v>
      </c>
      <c r="J18" s="125">
        <f ca="1">I18+'Cash Allocation Engine'!J55</f>
        <v>161415.79393957122</v>
      </c>
      <c r="K18" s="125">
        <f ca="1">J18+'Cash Allocation Engine'!K55</f>
        <v>222536.89240102912</v>
      </c>
      <c r="L18" s="125">
        <f ca="1">K18+'Cash Allocation Engine'!L55</f>
        <v>386702.99708078697</v>
      </c>
      <c r="M18" s="125">
        <f ca="1">L18+'Cash Allocation Engine'!M55</f>
        <v>515533.77208503557</v>
      </c>
      <c r="N18" s="125">
        <f ca="1">M18+'Cash Allocation Engine'!N55</f>
        <v>654342.29671237629</v>
      </c>
      <c r="O18" s="125">
        <f ca="1">N18+'Cash Allocation Engine'!O55</f>
        <v>774333.89017617307</v>
      </c>
      <c r="P18" s="125">
        <f ca="1">O18+'Cash Allocation Engine'!P55</f>
        <v>987310.83004140679</v>
      </c>
      <c r="Q18" s="125">
        <f ca="1">P18+'Cash Allocation Engine'!Q55</f>
        <v>1283317.7795403586</v>
      </c>
      <c r="R18" s="125">
        <f ca="1">Q18+'Cash Allocation Engine'!R55</f>
        <v>1647172.9797577823</v>
      </c>
      <c r="S18" s="125">
        <f ca="1">R18+'Cash Allocation Engine'!S55</f>
        <v>2075991.8615996824</v>
      </c>
    </row>
    <row r="19" spans="1:19">
      <c r="A19" s="5" t="s">
        <v>1981</v>
      </c>
      <c r="B19" s="3"/>
      <c r="C19" s="3"/>
      <c r="D19" s="70">
        <f ca="1">'Group P&amp;L'!D93-'Group P&amp;L'!D96</f>
        <v>14529.491444727109</v>
      </c>
      <c r="E19" s="70">
        <f ca="1">'Group P&amp;L'!E93-'Group P&amp;L'!E96</f>
        <v>0</v>
      </c>
      <c r="F19" s="70">
        <f ca="1">'Group P&amp;L'!F93-'Group P&amp;L'!F96</f>
        <v>0</v>
      </c>
      <c r="G19" s="70">
        <f ca="1">'Group P&amp;L'!G93-'Group P&amp;L'!G96</f>
        <v>0</v>
      </c>
      <c r="H19" s="70">
        <f ca="1">'Group P&amp;L'!H93-'Group P&amp;L'!H96</f>
        <v>0</v>
      </c>
      <c r="I19" s="70">
        <f ca="1">'Group P&amp;L'!I93-'Group P&amp;L'!I96</f>
        <v>0</v>
      </c>
      <c r="J19" s="70">
        <f ca="1">'Group P&amp;L'!J93-'Group P&amp;L'!J96</f>
        <v>0</v>
      </c>
      <c r="K19" s="70">
        <f ca="1">'Group P&amp;L'!K93-'Group P&amp;L'!K96</f>
        <v>0</v>
      </c>
      <c r="L19" s="70">
        <f ca="1">'Group P&amp;L'!L93-'Group P&amp;L'!L96</f>
        <v>0</v>
      </c>
      <c r="M19" s="70">
        <f ca="1">'Group P&amp;L'!M93-'Group P&amp;L'!M96</f>
        <v>0</v>
      </c>
      <c r="N19" s="70">
        <f ca="1">'Group P&amp;L'!N93-'Group P&amp;L'!N96</f>
        <v>0</v>
      </c>
      <c r="O19" s="70">
        <f ca="1">'Group P&amp;L'!O93-'Group P&amp;L'!O96</f>
        <v>0</v>
      </c>
      <c r="P19" s="70">
        <f ca="1">'Group P&amp;L'!P93-'Group P&amp;L'!P96</f>
        <v>0</v>
      </c>
      <c r="Q19" s="70">
        <f ca="1">'Group P&amp;L'!Q93-'Group P&amp;L'!Q96</f>
        <v>0</v>
      </c>
      <c r="R19" s="70">
        <f ca="1">'Group P&amp;L'!R93-'Group P&amp;L'!R96</f>
        <v>0</v>
      </c>
      <c r="S19" s="70">
        <f ca="1">'Group P&amp;L'!S93-'Group P&amp;L'!S96</f>
        <v>0</v>
      </c>
    </row>
    <row r="21" spans="1:19">
      <c r="A21" s="205" t="s">
        <v>1982</v>
      </c>
    </row>
    <row r="22" spans="1:19">
      <c r="A22" s="195" t="s">
        <v>1983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6"/>
  <sheetViews>
    <sheetView showGridLines="0" topLeftCell="A51" zoomScaleNormal="100" workbookViewId="0">
      <selection activeCell="A74" sqref="A74"/>
    </sheetView>
  </sheetViews>
  <sheetFormatPr baseColWidth="10" defaultColWidth="10.6640625" defaultRowHeight="16"/>
  <cols>
    <col min="1" max="1" width="72.83203125" customWidth="1"/>
    <col min="2" max="2" width="26.83203125" customWidth="1"/>
  </cols>
  <sheetData>
    <row r="1" spans="1:19" ht="1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4" spans="1:19">
      <c r="A4" s="64"/>
      <c r="B4" s="64"/>
      <c r="C4" s="64"/>
      <c r="D4" s="65">
        <v>2025</v>
      </c>
      <c r="E4" s="65">
        <v>2026</v>
      </c>
      <c r="F4" s="65">
        <v>2027</v>
      </c>
      <c r="G4" s="65">
        <v>2028</v>
      </c>
      <c r="H4" s="65">
        <v>2029</v>
      </c>
      <c r="I4" s="65">
        <v>2030</v>
      </c>
      <c r="J4" s="65">
        <v>2031</v>
      </c>
      <c r="K4" s="65">
        <v>2032</v>
      </c>
      <c r="L4" s="65">
        <v>2033</v>
      </c>
      <c r="M4" s="65">
        <v>2034</v>
      </c>
      <c r="N4" s="65">
        <v>2035</v>
      </c>
      <c r="O4" s="65">
        <v>2036</v>
      </c>
      <c r="P4" s="65">
        <v>2037</v>
      </c>
      <c r="Q4" s="65">
        <v>2038</v>
      </c>
      <c r="R4" s="65">
        <v>2039</v>
      </c>
      <c r="S4" s="65">
        <v>2040</v>
      </c>
    </row>
    <row r="5" spans="1:19">
      <c r="A5" s="66"/>
      <c r="B5" s="66"/>
      <c r="C5" s="66"/>
      <c r="D5" s="67">
        <v>0</v>
      </c>
      <c r="E5" s="67">
        <v>1</v>
      </c>
      <c r="F5" s="67">
        <v>2</v>
      </c>
      <c r="G5" s="67">
        <v>3</v>
      </c>
      <c r="H5" s="67">
        <v>4</v>
      </c>
      <c r="I5" s="67">
        <v>5</v>
      </c>
      <c r="J5" s="67">
        <v>6</v>
      </c>
      <c r="K5" s="67">
        <v>7</v>
      </c>
      <c r="L5" s="67">
        <v>8</v>
      </c>
      <c r="M5" s="67">
        <v>9</v>
      </c>
      <c r="N5" s="67">
        <v>10</v>
      </c>
      <c r="O5" s="67">
        <v>11</v>
      </c>
      <c r="P5" s="67">
        <v>12</v>
      </c>
      <c r="Q5" s="67">
        <v>13</v>
      </c>
      <c r="R5" s="67">
        <v>14</v>
      </c>
      <c r="S5" s="67">
        <v>15</v>
      </c>
    </row>
    <row r="6" spans="1:19" ht="21.75" customHeight="1">
      <c r="A6" s="74" t="s">
        <v>1984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5" t="s">
        <v>1985</v>
      </c>
      <c r="B7" s="3"/>
      <c r="C7" s="6">
        <v>2026</v>
      </c>
      <c r="D7" s="6">
        <v>2030</v>
      </c>
      <c r="E7" s="6">
        <v>2035</v>
      </c>
      <c r="F7" s="6">
        <v>2040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78" t="s">
        <v>1986</v>
      </c>
      <c r="B8" s="109">
        <f>Assumptions!B126</f>
        <v>0.1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</row>
    <row r="9" spans="1:19">
      <c r="A9" s="5" t="s">
        <v>1987</v>
      </c>
      <c r="B9" s="110">
        <f>Assumptions!B128</f>
        <v>2.5000000000000001E-2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5" t="s">
        <v>1988</v>
      </c>
      <c r="B10" s="108">
        <f>Assumptions!B130</f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5" t="s">
        <v>1989</v>
      </c>
      <c r="B11" s="206">
        <f>Assumptions!B129</f>
        <v>1.5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13" t="s">
        <v>1990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>
      <c r="A14" s="5" t="s">
        <v>1878</v>
      </c>
      <c r="B14" s="3"/>
      <c r="C14" s="3"/>
      <c r="D14" s="207">
        <f ca="1">'Group P&amp;L'!D88</f>
        <v>3055.8377464819987</v>
      </c>
      <c r="E14" s="207">
        <f ca="1">'Group P&amp;L'!E88</f>
        <v>6271.2669692377931</v>
      </c>
      <c r="F14" s="207">
        <f ca="1">'Group P&amp;L'!F88</f>
        <v>22456.979714622263</v>
      </c>
      <c r="G14" s="207">
        <f ca="1">'Group P&amp;L'!G88</f>
        <v>48047.289062681768</v>
      </c>
      <c r="H14" s="207">
        <f ca="1">'Group P&amp;L'!H88</f>
        <v>77985.412991830381</v>
      </c>
      <c r="I14" s="207">
        <f ca="1">'Group P&amp;L'!I88</f>
        <v>107213.16502039065</v>
      </c>
      <c r="J14" s="207">
        <f ca="1">'Group P&amp;L'!J88</f>
        <v>142231.7653114133</v>
      </c>
      <c r="K14" s="207">
        <f ca="1">'Group P&amp;L'!K88</f>
        <v>158484.41336394686</v>
      </c>
      <c r="L14" s="207">
        <f ca="1">'Group P&amp;L'!L88</f>
        <v>204831.37889469328</v>
      </c>
      <c r="M14" s="207">
        <f ca="1">'Group P&amp;L'!M88</f>
        <v>175811.46014796369</v>
      </c>
      <c r="N14" s="207">
        <f ca="1">'Group P&amp;L'!N88</f>
        <v>165473.62096925883</v>
      </c>
      <c r="O14" s="207">
        <f ca="1">'Group P&amp;L'!O88</f>
        <v>138628.46829031777</v>
      </c>
      <c r="P14" s="207">
        <f ca="1">'Group P&amp;L'!P88</f>
        <v>204368.15939335959</v>
      </c>
      <c r="Q14" s="207">
        <f ca="1">'Group P&amp;L'!Q88</f>
        <v>250245.61262814264</v>
      </c>
      <c r="R14" s="207">
        <f ca="1">'Group P&amp;L'!R88</f>
        <v>282056.10884966771</v>
      </c>
      <c r="S14" s="207">
        <f ca="1">'Group P&amp;L'!S88</f>
        <v>282305.93909847428</v>
      </c>
    </row>
    <row r="15" spans="1:19">
      <c r="A15" s="5" t="s">
        <v>1879</v>
      </c>
      <c r="B15" s="3"/>
      <c r="C15" s="3"/>
      <c r="D15" s="207">
        <f ca="1">'Group P&amp;L'!D89</f>
        <v>1118.8376923076924</v>
      </c>
      <c r="E15" s="207">
        <f ca="1">'Group P&amp;L'!E89</f>
        <v>2578.6319054054052</v>
      </c>
      <c r="F15" s="207">
        <f ca="1">'Group P&amp;L'!F89</f>
        <v>5906.2843939197965</v>
      </c>
      <c r="G15" s="207">
        <f ca="1">'Group P&amp;L'!G89</f>
        <v>6517.262350562075</v>
      </c>
      <c r="H15" s="207">
        <f ca="1">'Group P&amp;L'!H89</f>
        <v>6636.8997704715566</v>
      </c>
      <c r="I15" s="207">
        <f ca="1">'Group P&amp;L'!I89</f>
        <v>7433.2625009238582</v>
      </c>
      <c r="J15" s="207">
        <f ca="1">'Group P&amp;L'!J89</f>
        <v>8091.4248123511443</v>
      </c>
      <c r="K15" s="207">
        <f ca="1">'Group P&amp;L'!K89</f>
        <v>8620.9228395914815</v>
      </c>
      <c r="L15" s="207">
        <f ca="1">'Group P&amp;L'!L89</f>
        <v>9229.7124154939793</v>
      </c>
      <c r="M15" s="207">
        <f ca="1">'Group P&amp;L'!M89</f>
        <v>8258.2697418306034</v>
      </c>
      <c r="N15" s="207">
        <f ca="1">'Group P&amp;L'!N89</f>
        <v>7189.4619412410993</v>
      </c>
      <c r="O15" s="207">
        <f ca="1">'Group P&amp;L'!O89</f>
        <v>5474.3398232442469</v>
      </c>
      <c r="P15" s="207">
        <f ca="1">'Group P&amp;L'!P89</f>
        <v>6052.6135148149524</v>
      </c>
      <c r="Q15" s="207">
        <f ca="1">'Group P&amp;L'!Q89</f>
        <v>4997.4584376453149</v>
      </c>
      <c r="R15" s="207">
        <f ca="1">'Group P&amp;L'!R89</f>
        <v>3830.534177691944</v>
      </c>
      <c r="S15" s="207">
        <f ca="1">'Group P&amp;L'!S89</f>
        <v>2673.9181731684503</v>
      </c>
    </row>
    <row r="16" spans="1:19">
      <c r="A16" s="5" t="s">
        <v>1880</v>
      </c>
      <c r="B16" s="3"/>
      <c r="C16" s="3"/>
      <c r="D16" s="207">
        <f ca="1">'Group P&amp;L'!D90</f>
        <v>-1641.2673500000001</v>
      </c>
      <c r="E16" s="207">
        <f ca="1">'Group P&amp;L'!E90</f>
        <v>-18659.044694987791</v>
      </c>
      <c r="F16" s="207">
        <f ca="1">'Group P&amp;L'!F90</f>
        <v>-26250.361853032344</v>
      </c>
      <c r="G16" s="207">
        <f ca="1">'Group P&amp;L'!G90</f>
        <v>-11970.342880208042</v>
      </c>
      <c r="H16" s="207">
        <f ca="1">'Group P&amp;L'!H90</f>
        <v>-5398.7498957722055</v>
      </c>
      <c r="I16" s="207">
        <f ca="1">'Group P&amp;L'!I90</f>
        <v>-11620.80284154231</v>
      </c>
      <c r="J16" s="207">
        <f ca="1">'Group P&amp;L'!J90</f>
        <v>-4028.7701769486594</v>
      </c>
      <c r="K16" s="207">
        <f ca="1">'Group P&amp;L'!K90</f>
        <v>1094.124318604474</v>
      </c>
      <c r="L16" s="207">
        <f ca="1">'Group P&amp;L'!L90</f>
        <v>57421.665076871577</v>
      </c>
      <c r="M16" s="207">
        <f ca="1">'Group P&amp;L'!M90</f>
        <v>67954.591961753264</v>
      </c>
      <c r="N16" s="207">
        <f ca="1">'Group P&amp;L'!N90</f>
        <v>91146.030744726566</v>
      </c>
      <c r="O16" s="207">
        <f ca="1">'Group P&amp;L'!O90</f>
        <v>125960.19782167207</v>
      </c>
      <c r="P16" s="207">
        <f ca="1">'Group P&amp;L'!P90</f>
        <v>186688.83303945372</v>
      </c>
      <c r="Q16" s="207">
        <f ca="1">'Group P&amp;L'!Q90</f>
        <v>276873.11960594333</v>
      </c>
      <c r="R16" s="207">
        <f ca="1">'Group P&amp;L'!R90</f>
        <v>369517.89191298268</v>
      </c>
      <c r="S16" s="207">
        <f ca="1">'Group P&amp;L'!S90</f>
        <v>515158.52509780857</v>
      </c>
    </row>
    <row r="17" spans="1:19">
      <c r="A17" s="5" t="s">
        <v>1991</v>
      </c>
      <c r="B17" s="3"/>
      <c r="C17" s="3"/>
      <c r="D17" s="207">
        <f ca="1">'Group P&amp;L'!D92</f>
        <v>-3878.9166440625818</v>
      </c>
      <c r="E17" s="207">
        <f ca="1">'Group P&amp;L'!E92</f>
        <v>-4989.1442728786424</v>
      </c>
      <c r="F17" s="207">
        <f ca="1">'Group P&amp;L'!F92</f>
        <v>-5937.2048909759196</v>
      </c>
      <c r="G17" s="207">
        <f ca="1">'Group P&amp;L'!G92</f>
        <v>-16292.224088480179</v>
      </c>
      <c r="H17" s="207">
        <f ca="1">'Group P&amp;L'!H92</f>
        <v>-28312.488963343421</v>
      </c>
      <c r="I17" s="207">
        <f ca="1">'Group P&amp;L'!I92</f>
        <v>-48838.777544192155</v>
      </c>
      <c r="J17" s="207">
        <f ca="1">'Group P&amp;L'!J92</f>
        <v>-67323.161035473284</v>
      </c>
      <c r="K17" s="207">
        <f ca="1">'Group P&amp;L'!K92</f>
        <v>-82570.842825323198</v>
      </c>
      <c r="L17" s="207">
        <f ca="1">'Group P&amp;L'!L92</f>
        <v>-97690.078699621343</v>
      </c>
      <c r="M17" s="207">
        <f ca="1">'Group P&amp;L'!M92</f>
        <v>-96405.022466428694</v>
      </c>
      <c r="N17" s="207">
        <f ca="1">'Group P&amp;L'!N92</f>
        <v>-104108.3309341991</v>
      </c>
      <c r="O17" s="207">
        <f ca="1">'Group P&amp;L'!O92</f>
        <v>-125716.67176987813</v>
      </c>
      <c r="P17" s="207">
        <f ca="1">'Group P&amp;L'!P92</f>
        <v>-159746.90882301013</v>
      </c>
      <c r="Q17" s="207">
        <f ca="1">'Group P&amp;L'!Q92</f>
        <v>-185125.33456430808</v>
      </c>
      <c r="R17" s="207">
        <f ca="1">'Group P&amp;L'!R92</f>
        <v>-216591.60591230282</v>
      </c>
      <c r="S17" s="207">
        <f ca="1">'Group P&amp;L'!S92</f>
        <v>-272270.27154166653</v>
      </c>
    </row>
    <row r="18" spans="1:19">
      <c r="A18" s="78" t="s">
        <v>1992</v>
      </c>
      <c r="B18" s="78"/>
      <c r="C18" s="78"/>
      <c r="D18" s="208">
        <f t="shared" ref="D18:S18" ca="1" si="0">D14+D15+D16+D17</f>
        <v>-1345.508555272891</v>
      </c>
      <c r="E18" s="208">
        <f t="shared" ca="1" si="0"/>
        <v>-14798.290093223235</v>
      </c>
      <c r="F18" s="208">
        <f t="shared" ca="1" si="0"/>
        <v>-3824.3026354662052</v>
      </c>
      <c r="G18" s="208">
        <f t="shared" ca="1" si="0"/>
        <v>26301.984444555615</v>
      </c>
      <c r="H18" s="208">
        <f t="shared" ca="1" si="0"/>
        <v>50911.07390318632</v>
      </c>
      <c r="I18" s="208">
        <f t="shared" ca="1" si="0"/>
        <v>54186.847135580028</v>
      </c>
      <c r="J18" s="208">
        <f t="shared" ca="1" si="0"/>
        <v>78971.258911342506</v>
      </c>
      <c r="K18" s="208">
        <f t="shared" ca="1" si="0"/>
        <v>85628.617696819623</v>
      </c>
      <c r="L18" s="208">
        <f t="shared" ca="1" si="0"/>
        <v>173792.67768743748</v>
      </c>
      <c r="M18" s="208">
        <f t="shared" ca="1" si="0"/>
        <v>155619.29938511885</v>
      </c>
      <c r="N18" s="208">
        <f t="shared" ca="1" si="0"/>
        <v>159700.78272102744</v>
      </c>
      <c r="O18" s="208">
        <f t="shared" ca="1" si="0"/>
        <v>144346.33416535601</v>
      </c>
      <c r="P18" s="208">
        <f t="shared" ca="1" si="0"/>
        <v>237362.69712461813</v>
      </c>
      <c r="Q18" s="208">
        <f t="shared" ca="1" si="0"/>
        <v>346990.8561074232</v>
      </c>
      <c r="R18" s="208">
        <f t="shared" ca="1" si="0"/>
        <v>438812.92902803957</v>
      </c>
      <c r="S18" s="208">
        <f t="shared" ca="1" si="0"/>
        <v>527868.11082778475</v>
      </c>
    </row>
    <row r="19" spans="1: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13" t="s">
        <v>1993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>
      <c r="A21" s="5" t="s">
        <v>1994</v>
      </c>
      <c r="B21" s="3"/>
      <c r="C21" s="3"/>
      <c r="D21" s="31">
        <f t="shared" ref="D21:S21" si="1">IF(AND(D$4&gt;=$C$7,D$4&lt;=$S$4),1/(1+$B$8)^(D$4-$C$7),0)</f>
        <v>0</v>
      </c>
      <c r="E21" s="31">
        <f t="shared" si="1"/>
        <v>1</v>
      </c>
      <c r="F21" s="31">
        <f t="shared" si="1"/>
        <v>0.90909090909090906</v>
      </c>
      <c r="G21" s="31">
        <f t="shared" si="1"/>
        <v>0.82644628099173545</v>
      </c>
      <c r="H21" s="31">
        <f t="shared" si="1"/>
        <v>0.75131480090157754</v>
      </c>
      <c r="I21" s="31">
        <f t="shared" si="1"/>
        <v>0.68301345536507052</v>
      </c>
      <c r="J21" s="31">
        <f t="shared" si="1"/>
        <v>0.62092132305915493</v>
      </c>
      <c r="K21" s="31">
        <f t="shared" si="1"/>
        <v>0.56447393005377722</v>
      </c>
      <c r="L21" s="31">
        <f t="shared" si="1"/>
        <v>0.51315811823070645</v>
      </c>
      <c r="M21" s="31">
        <f t="shared" si="1"/>
        <v>0.46650738020973315</v>
      </c>
      <c r="N21" s="31">
        <f t="shared" si="1"/>
        <v>0.42409761837248466</v>
      </c>
      <c r="O21" s="31">
        <f t="shared" si="1"/>
        <v>0.38554328942953148</v>
      </c>
      <c r="P21" s="31">
        <f t="shared" si="1"/>
        <v>0.3504938994813922</v>
      </c>
      <c r="Q21" s="31">
        <f t="shared" si="1"/>
        <v>0.31863081771035656</v>
      </c>
      <c r="R21" s="31">
        <f t="shared" si="1"/>
        <v>0.28966437973668779</v>
      </c>
      <c r="S21" s="31">
        <f t="shared" si="1"/>
        <v>0.26333125430607973</v>
      </c>
    </row>
    <row r="22" spans="1:19">
      <c r="A22" s="5" t="s">
        <v>1995</v>
      </c>
      <c r="B22" s="3"/>
      <c r="C22" s="3"/>
      <c r="D22" s="31">
        <f t="shared" ref="D22:S22" si="2">IF(AND(D$4&gt;=$D$7,D$4&lt;=$S$4),1/(1+$B$8)^(D$4-$D$7),0)</f>
        <v>0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1</v>
      </c>
      <c r="J22" s="31">
        <f t="shared" si="2"/>
        <v>0.90909090909090906</v>
      </c>
      <c r="K22" s="31">
        <f t="shared" si="2"/>
        <v>0.82644628099173545</v>
      </c>
      <c r="L22" s="31">
        <f t="shared" si="2"/>
        <v>0.75131480090157754</v>
      </c>
      <c r="M22" s="31">
        <f t="shared" si="2"/>
        <v>0.68301345536507052</v>
      </c>
      <c r="N22" s="31">
        <f t="shared" si="2"/>
        <v>0.62092132305915493</v>
      </c>
      <c r="O22" s="31">
        <f t="shared" si="2"/>
        <v>0.56447393005377722</v>
      </c>
      <c r="P22" s="31">
        <f t="shared" si="2"/>
        <v>0.51315811823070645</v>
      </c>
      <c r="Q22" s="31">
        <f t="shared" si="2"/>
        <v>0.46650738020973315</v>
      </c>
      <c r="R22" s="31">
        <f t="shared" si="2"/>
        <v>0.42409761837248466</v>
      </c>
      <c r="S22" s="31">
        <f t="shared" si="2"/>
        <v>0.38554328942953148</v>
      </c>
    </row>
    <row r="23" spans="1:19">
      <c r="A23" s="5" t="s">
        <v>1996</v>
      </c>
      <c r="B23" s="3"/>
      <c r="C23" s="3"/>
      <c r="D23" s="31">
        <f t="shared" ref="D23:S23" si="3">IF(AND(D$4&gt;=$E$7,D$4&lt;=$S$4),1/(1+$B$8)^(D$4-$E$7),0)</f>
        <v>0</v>
      </c>
      <c r="E23" s="31">
        <f t="shared" si="3"/>
        <v>0</v>
      </c>
      <c r="F23" s="31">
        <f t="shared" si="3"/>
        <v>0</v>
      </c>
      <c r="G23" s="31">
        <f t="shared" si="3"/>
        <v>0</v>
      </c>
      <c r="H23" s="31">
        <f t="shared" si="3"/>
        <v>0</v>
      </c>
      <c r="I23" s="31">
        <f t="shared" si="3"/>
        <v>0</v>
      </c>
      <c r="J23" s="31">
        <f t="shared" si="3"/>
        <v>0</v>
      </c>
      <c r="K23" s="31">
        <f t="shared" si="3"/>
        <v>0</v>
      </c>
      <c r="L23" s="31">
        <f t="shared" si="3"/>
        <v>0</v>
      </c>
      <c r="M23" s="31">
        <f t="shared" si="3"/>
        <v>0</v>
      </c>
      <c r="N23" s="31">
        <f t="shared" si="3"/>
        <v>1</v>
      </c>
      <c r="O23" s="31">
        <f t="shared" si="3"/>
        <v>0.90909090909090906</v>
      </c>
      <c r="P23" s="31">
        <f t="shared" si="3"/>
        <v>0.82644628099173545</v>
      </c>
      <c r="Q23" s="31">
        <f t="shared" si="3"/>
        <v>0.75131480090157754</v>
      </c>
      <c r="R23" s="31">
        <f t="shared" si="3"/>
        <v>0.68301345536507052</v>
      </c>
      <c r="S23" s="31">
        <f t="shared" si="3"/>
        <v>0.62092132305915493</v>
      </c>
    </row>
    <row r="24" spans="1:19">
      <c r="A24" s="5" t="s">
        <v>1997</v>
      </c>
      <c r="B24" s="3"/>
      <c r="C24" s="3"/>
      <c r="D24" s="31">
        <f t="shared" ref="D24:S24" si="4">IF(AND(D$4&gt;=$F$7,D$4&lt;=$S$4),1/(1+$B$8)^(D$4-$F$7),0)</f>
        <v>0</v>
      </c>
      <c r="E24" s="31">
        <f t="shared" si="4"/>
        <v>0</v>
      </c>
      <c r="F24" s="31">
        <f t="shared" si="4"/>
        <v>0</v>
      </c>
      <c r="G24" s="31">
        <f t="shared" si="4"/>
        <v>0</v>
      </c>
      <c r="H24" s="31">
        <f t="shared" si="4"/>
        <v>0</v>
      </c>
      <c r="I24" s="31">
        <f t="shared" si="4"/>
        <v>0</v>
      </c>
      <c r="J24" s="31">
        <f t="shared" si="4"/>
        <v>0</v>
      </c>
      <c r="K24" s="31">
        <f t="shared" si="4"/>
        <v>0</v>
      </c>
      <c r="L24" s="31">
        <f t="shared" si="4"/>
        <v>0</v>
      </c>
      <c r="M24" s="31">
        <f t="shared" si="4"/>
        <v>0</v>
      </c>
      <c r="N24" s="31">
        <f t="shared" si="4"/>
        <v>0</v>
      </c>
      <c r="O24" s="31">
        <f t="shared" si="4"/>
        <v>0</v>
      </c>
      <c r="P24" s="31">
        <f t="shared" si="4"/>
        <v>0</v>
      </c>
      <c r="Q24" s="31">
        <f t="shared" si="4"/>
        <v>0</v>
      </c>
      <c r="R24" s="31">
        <f t="shared" si="4"/>
        <v>0</v>
      </c>
      <c r="S24" s="31">
        <f t="shared" si="4"/>
        <v>1</v>
      </c>
    </row>
    <row r="25" spans="1:1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13" t="s">
        <v>1998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>
      <c r="A27" s="82" t="s">
        <v>1999</v>
      </c>
      <c r="B27" s="94" t="s">
        <v>2000</v>
      </c>
      <c r="C27" s="94" t="s">
        <v>2001</v>
      </c>
      <c r="D27" s="94" t="s">
        <v>2002</v>
      </c>
      <c r="E27" s="94" t="s">
        <v>2003</v>
      </c>
      <c r="F27" s="204" t="s">
        <v>2004</v>
      </c>
      <c r="G27" s="204" t="s">
        <v>2005</v>
      </c>
      <c r="H27" s="204" t="s">
        <v>2006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5" t="s">
        <v>1964</v>
      </c>
      <c r="B28" s="209">
        <f ca="1">AVERAGE(O14:S14)</f>
        <v>231520.85765199241</v>
      </c>
      <c r="C28" s="209">
        <f ca="1">B28*(1+$B$9)/($B$8-$B$9)</f>
        <v>3164118.3879105621</v>
      </c>
      <c r="D28" s="206">
        <f>Assumptions!B138</f>
        <v>10</v>
      </c>
      <c r="E28" s="207">
        <f ca="1">'Group P&amp;L'!S9*D28</f>
        <v>3958780.0630625435</v>
      </c>
      <c r="F28" s="206">
        <f>Assumptions!B387</f>
        <v>13</v>
      </c>
      <c r="G28" s="207">
        <f ca="1">'Group P&amp;L'!S52</f>
        <v>312800.87510108756</v>
      </c>
      <c r="H28" s="209">
        <f ca="1">G28*F28</f>
        <v>4066411.3763141381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5" t="s">
        <v>1965</v>
      </c>
      <c r="B29" s="209">
        <f ca="1">AVERAGE(O15:S15)</f>
        <v>4605.7728253129826</v>
      </c>
      <c r="C29" s="209">
        <f ca="1">B29*(1+$B$9)/($B$8-$B$9)</f>
        <v>62945.561945944079</v>
      </c>
      <c r="D29" s="206">
        <f>Assumptions!B137</f>
        <v>5</v>
      </c>
      <c r="E29" s="207">
        <f ca="1">'Group P&amp;L'!S10*D29</f>
        <v>17339.907754555828</v>
      </c>
      <c r="F29" s="206">
        <f>Assumptions!B388</f>
        <v>11</v>
      </c>
      <c r="G29" s="207">
        <f ca="1">'Group P&amp;L'!S53</f>
        <v>2654.1453329743767</v>
      </c>
      <c r="H29" s="209">
        <f ca="1">G29*F29</f>
        <v>29195.598662718145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5" t="s">
        <v>1966</v>
      </c>
      <c r="B30" s="209">
        <f ca="1">AVERAGE(O16:S16)</f>
        <v>294839.7134955721</v>
      </c>
      <c r="C30" s="209">
        <f ca="1">B30*(1+$B$9)/($B$8-$B$9)</f>
        <v>4029476.0844394844</v>
      </c>
      <c r="D30" s="206">
        <f>Assumptions!B139</f>
        <v>6</v>
      </c>
      <c r="E30" s="207">
        <f ca="1">'Group P&amp;L'!S11*D30</f>
        <v>8293739.9943447933</v>
      </c>
      <c r="F30" s="206">
        <f>Assumptions!B389</f>
        <v>13</v>
      </c>
      <c r="G30" s="207">
        <f ca="1">'Group P&amp;L'!S54</f>
        <v>1134395.9925806765</v>
      </c>
      <c r="H30" s="209">
        <f ca="1">G30*F30</f>
        <v>14747147.903548794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5" t="s">
        <v>2007</v>
      </c>
      <c r="B31" s="209">
        <f ca="1">AVERAGE(O17:S17)</f>
        <v>-191890.15852223313</v>
      </c>
      <c r="C31" s="209">
        <f ca="1">B31*(1+$B$9)/($B$8-$B$9)</f>
        <v>-2622498.8331371858</v>
      </c>
      <c r="D31" s="3" t="s">
        <v>2008</v>
      </c>
      <c r="E31" s="209">
        <f ca="1">C31</f>
        <v>-2622498.8331371858</v>
      </c>
      <c r="F31" s="23" t="s">
        <v>2008</v>
      </c>
      <c r="G31" s="23" t="s">
        <v>2009</v>
      </c>
      <c r="H31" s="209">
        <f ca="1">C31</f>
        <v>-2622498.8331371858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13" t="s">
        <v>2010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>
      <c r="A34" s="5" t="s">
        <v>2011</v>
      </c>
      <c r="B34" s="3"/>
      <c r="C34" s="210">
        <v>2026</v>
      </c>
      <c r="D34" s="210">
        <v>2030</v>
      </c>
      <c r="E34" s="210">
        <v>2035</v>
      </c>
      <c r="F34" s="210">
        <v>2040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5" t="s">
        <v>1964</v>
      </c>
      <c r="B35" s="3"/>
      <c r="C35" s="209">
        <f ca="1">SUMPRODUCT($D14:$AC14,$D$21:$AC$21)+$C$28/(1+$B$8)^($S$4-C$34)</f>
        <v>1827360.9702107743</v>
      </c>
      <c r="D35" s="209">
        <f ca="1">SUMPRODUCT($D14:$AC14,$D$22:$AC$22)+$C$28/(1+$B$8)^($S$4-D$34)</f>
        <v>2492446.0204589143</v>
      </c>
      <c r="E35" s="209">
        <f ca="1">SUMPRODUCT($D14:$AC14,$D$23:$AC$23)+$C$28/(1+$B$8)^($S$4-E$34)</f>
        <v>2981018.5096071051</v>
      </c>
      <c r="F35" s="209">
        <f ca="1">SUMPRODUCT($D14:$AC14,$D$24:$AC$24)+$C$28/(1+$B$8)^($S$4-F$34)</f>
        <v>3446424.3270090362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5" t="s">
        <v>1965</v>
      </c>
      <c r="B36" s="3"/>
      <c r="C36" s="209">
        <f ca="1">SUMPRODUCT($D15:$AC15,$D$21:$AC$21)+$C$29/(1+$B$8)^($S$4-C$34)</f>
        <v>69139.444318695998</v>
      </c>
      <c r="D36" s="209">
        <f ca="1">SUMPRODUCT($D15:$AC15,$D$22:$AC$22)+$C$29/(1+$B$8)^($S$4-D$34)</f>
        <v>74403.943734292712</v>
      </c>
      <c r="E36" s="209">
        <f ca="1">SUMPRODUCT($D15:$AC15,$D$23:$AC$23)+$C$29/(1+$B$8)^($S$4-E$34)</f>
        <v>64283.799727131947</v>
      </c>
      <c r="F36" s="209">
        <f ca="1">SUMPRODUCT($D15:$AC15,$D$24:$AC$24)+$C$29/(1+$B$8)^($S$4-F$34)</f>
        <v>65619.48011911253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5" t="s">
        <v>1966</v>
      </c>
      <c r="B37" s="3"/>
      <c r="C37" s="209">
        <f ca="1">SUMPRODUCT($D16:$AC16,$D$21:$AC$21)+$C$30/(1+$B$8)^($S$4-C$34)</f>
        <v>1539526.6190407427</v>
      </c>
      <c r="D37" s="209">
        <f ca="1">SUMPRODUCT($D16:$AC16,$D$22:$AC$22)+$C$30/(1+$B$8)^($S$4-D$34)</f>
        <v>2336701.6016722713</v>
      </c>
      <c r="E37" s="209">
        <f ca="1">SUMPRODUCT($D16:$AC16,$D$23:$AC$23)+$C$30/(1+$B$8)^($S$4-E$34)</f>
        <v>3642208.6927406075</v>
      </c>
      <c r="F37" s="209">
        <f ca="1">SUMPRODUCT($D16:$AC16,$D$24:$AC$24)+$C$30/(1+$B$8)^($S$4-F$34)</f>
        <v>4544634.6095372932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5" t="s">
        <v>2007</v>
      </c>
      <c r="B38" s="3"/>
      <c r="C38" s="209">
        <f ca="1">SUMPRODUCT($D17:$AC17,$D$21:$AC$21)+$C$31/(1+$B$8)^($S$4-C$34)</f>
        <v>-1294616.2918429393</v>
      </c>
      <c r="D38" s="209">
        <f ca="1">SUMPRODUCT($D17:$AC17,$D$22:$AC$22)+$C$31/(1+$B$8)^($S$4-D$34)</f>
        <v>-1829383.3580406988</v>
      </c>
      <c r="E38" s="209">
        <f ca="1">SUMPRODUCT($D17:$AC17,$D$23:$AC$23)+$C$31/(1+$B$8)^($S$4-E$34)</f>
        <v>-2434864.700523275</v>
      </c>
      <c r="F38" s="209">
        <f ca="1">SUMPRODUCT($D17:$AC17,$D$24:$AC$24)+$C$31/(1+$B$8)^($S$4-F$34)</f>
        <v>-2894769.1046788525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5" t="s">
        <v>2012</v>
      </c>
      <c r="B39" s="3"/>
      <c r="C39" s="207">
        <f ca="1">$B$11*('Group P&amp;L'!$S$104+'Group P&amp;L'!$S$105)/(1+$B$8)^($S$4-C$34)</f>
        <v>86851.429369344245</v>
      </c>
      <c r="D39" s="207">
        <f ca="1">$B$11*('Group P&amp;L'!$S$104+'Group P&amp;L'!$S$105)/(1+$B$8)^($S$4-D$34)</f>
        <v>127159.17773965695</v>
      </c>
      <c r="E39" s="207">
        <f ca="1">$B$11*('Group P&amp;L'!$S$104+'Group P&amp;L'!$S$105)/(1+$B$8)^($S$4-E$34)</f>
        <v>204791.12734149498</v>
      </c>
      <c r="F39" s="207">
        <f ca="1">$B$11*('Group P&amp;L'!$S$104+'Group P&amp;L'!$S$105)/(1+$B$8)^($S$4-F$34)</f>
        <v>329818.1584947512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92" t="s">
        <v>2013</v>
      </c>
      <c r="B40" s="92"/>
      <c r="C40" s="211">
        <f ca="1">SUM(C35:C39)</f>
        <v>2228262.1710966183</v>
      </c>
      <c r="D40" s="211">
        <f ca="1">SUM(D35:D39)</f>
        <v>3201327.3855644367</v>
      </c>
      <c r="E40" s="211">
        <f ca="1">SUM(E35:E39)</f>
        <v>4457437.4288930651</v>
      </c>
      <c r="F40" s="211">
        <f ca="1">SUM(F35:F39)</f>
        <v>5491727.4704813408</v>
      </c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</row>
    <row r="41" spans="1:19">
      <c r="A41" s="94" t="s">
        <v>2014</v>
      </c>
      <c r="B41" s="94"/>
      <c r="C41" s="212">
        <f ca="1">C40/1000</f>
        <v>2228.2621710966182</v>
      </c>
      <c r="D41" s="212">
        <f ca="1">D40/1000</f>
        <v>3201.3273855644366</v>
      </c>
      <c r="E41" s="212">
        <f ca="1">E40/1000</f>
        <v>4457.4374288930649</v>
      </c>
      <c r="F41" s="212">
        <f ca="1">F40/1000</f>
        <v>5491.7274704813408</v>
      </c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13" t="s">
        <v>2015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>
      <c r="A44" s="5" t="s">
        <v>2011</v>
      </c>
      <c r="B44" s="3"/>
      <c r="C44" s="210">
        <v>2026</v>
      </c>
      <c r="D44" s="210">
        <v>2030</v>
      </c>
      <c r="E44" s="210">
        <v>2035</v>
      </c>
      <c r="F44" s="210">
        <v>2040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5" t="s">
        <v>1964</v>
      </c>
      <c r="B45" s="3"/>
      <c r="C45" s="209">
        <f ca="1">SUMPRODUCT($D14:$AC14,$D$21:$AC$21)+$E$28/(1+$B$8)^($S$4-C$44)</f>
        <v>2036620.2258775162</v>
      </c>
      <c r="D45" s="209">
        <f ca="1">SUMPRODUCT($D14:$AC14,$D$22:$AC$22)+$E$28/(1+$B$8)^($S$4-D$44)</f>
        <v>2798822.4966805908</v>
      </c>
      <c r="E45" s="209">
        <f ca="1">SUMPRODUCT($D14:$AC14,$D$23:$AC$23)+$E$28/(1+$B$8)^($S$4-E$44)</f>
        <v>3474440.8883268777</v>
      </c>
      <c r="F45" s="209">
        <f ca="1">SUMPRODUCT($D14:$AC14,$D$24:$AC$24)+$E$28/(1+$B$8)^($S$4-F$44)</f>
        <v>4241086.0021610176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5" t="s">
        <v>1965</v>
      </c>
      <c r="B46" s="3"/>
      <c r="C46" s="209">
        <f ca="1">SUMPRODUCT($D15:$AC15,$D$21:$AC$21)+$E$29/(1+$B$8)^($S$4-C$44)</f>
        <v>57130.050197028402</v>
      </c>
      <c r="D46" s="209">
        <f ca="1">SUMPRODUCT($D15:$AC15,$D$22:$AC$22)+$E$29/(1+$B$8)^($S$4-D$44)</f>
        <v>56820.989800759184</v>
      </c>
      <c r="E46" s="209">
        <f ca="1">SUMPRODUCT($D15:$AC15,$D$23:$AC$23)+$E$29/(1+$B$8)^($S$4-E$44)</f>
        <v>35966.276587636858</v>
      </c>
      <c r="F46" s="209">
        <f ca="1">SUMPRODUCT($D15:$AC15,$D$24:$AC$24)+$E$29/(1+$B$8)^($S$4-F$44)</f>
        <v>20013.82592772428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5" t="s">
        <v>1966</v>
      </c>
      <c r="B47" s="3"/>
      <c r="C47" s="209">
        <f ca="1">SUMPRODUCT($D16:$AC16,$D$21:$AC$21)+$E$30/(1+$B$8)^($S$4-C$44)</f>
        <v>2662440.5831282558</v>
      </c>
      <c r="D47" s="209">
        <f ca="1">SUMPRODUCT($D16:$AC16,$D$22:$AC$22)+$E$30/(1+$B$8)^($S$4-D$44)</f>
        <v>3980759.9364927988</v>
      </c>
      <c r="E47" s="209">
        <f ca="1">SUMPRODUCT($D16:$AC16,$D$23:$AC$23)+$E$30/(1+$B$8)^($S$4-E$44)</f>
        <v>6289981.0815524179</v>
      </c>
      <c r="F47" s="209">
        <f ca="1">SUMPRODUCT($D16:$AC16,$D$24:$AC$24)+$E$30/(1+$B$8)^($S$4-F$44)</f>
        <v>8808898.5194426011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5" t="s">
        <v>2007</v>
      </c>
      <c r="B48" s="3"/>
      <c r="C48" s="209">
        <f ca="1">SUMPRODUCT($D17:$AC17,$D$21:$AC$21)+$E$31/(1+$B$8)^($S$4-C$44)</f>
        <v>-1294616.2918429393</v>
      </c>
      <c r="D48" s="209">
        <f ca="1">SUMPRODUCT($D17:$AC17,$D$22:$AC$22)+$E$31/(1+$B$8)^($S$4-D$44)</f>
        <v>-1829383.3580406988</v>
      </c>
      <c r="E48" s="209">
        <f ca="1">SUMPRODUCT($D17:$AC17,$D$23:$AC$23)+$E$31/(1+$B$8)^($S$4-E$44)</f>
        <v>-2434864.700523275</v>
      </c>
      <c r="F48" s="209">
        <f ca="1">SUMPRODUCT($D17:$AC17,$D$24:$AC$24)+$E$31/(1+$B$8)^($S$4-F$44)</f>
        <v>-2894769.1046788525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5" t="s">
        <v>2012</v>
      </c>
      <c r="B49" s="3"/>
      <c r="C49" s="209">
        <f ca="1">C39</f>
        <v>86851.429369344245</v>
      </c>
      <c r="D49" s="209">
        <f ca="1">D39</f>
        <v>127159.17773965695</v>
      </c>
      <c r="E49" s="209">
        <f ca="1">E39</f>
        <v>204791.12734149498</v>
      </c>
      <c r="F49" s="209">
        <f ca="1">F39</f>
        <v>329818.1584947512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92" t="s">
        <v>2016</v>
      </c>
      <c r="B50" s="92"/>
      <c r="C50" s="211">
        <f ca="1">SUM(C45:C49)</f>
        <v>3548425.9967292054</v>
      </c>
      <c r="D50" s="211">
        <f ca="1">SUM(D45:D49)</f>
        <v>5134179.2426731065</v>
      </c>
      <c r="E50" s="211">
        <f ca="1">SUM(E45:E49)</f>
        <v>7570314.6732851528</v>
      </c>
      <c r="F50" s="211">
        <f ca="1">SUM(F45:F49)</f>
        <v>10505047.401347242</v>
      </c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</row>
    <row r="51" spans="1:19">
      <c r="A51" s="94" t="s">
        <v>2017</v>
      </c>
      <c r="B51" s="94"/>
      <c r="C51" s="212">
        <f ca="1">C50/1000</f>
        <v>3548.4259967292055</v>
      </c>
      <c r="D51" s="212">
        <f ca="1">D50/1000</f>
        <v>5134.1792426731063</v>
      </c>
      <c r="E51" s="212">
        <f ca="1">E50/1000</f>
        <v>7570.3146732851528</v>
      </c>
      <c r="F51" s="212">
        <f ca="1">F50/1000</f>
        <v>10505.047401347243</v>
      </c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</row>
    <row r="52" spans="1:1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13" t="s">
        <v>2018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>
      <c r="A54" s="3"/>
      <c r="B54" s="3"/>
      <c r="C54" s="94">
        <v>2026</v>
      </c>
      <c r="D54" s="94">
        <v>2030</v>
      </c>
      <c r="E54" s="94">
        <v>2035</v>
      </c>
      <c r="F54" s="94">
        <v>2040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92" t="s">
        <v>2019</v>
      </c>
      <c r="B55" s="92"/>
      <c r="C55" s="213">
        <f ca="1">C41</f>
        <v>2228.2621710966182</v>
      </c>
      <c r="D55" s="213">
        <f ca="1">D41</f>
        <v>3201.3273855644366</v>
      </c>
      <c r="E55" s="213">
        <f ca="1">E41</f>
        <v>4457.4374288930649</v>
      </c>
      <c r="F55" s="213">
        <f ca="1">F41</f>
        <v>5491.7274704813408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</row>
    <row r="56" spans="1:19">
      <c r="A56" s="94" t="s">
        <v>2020</v>
      </c>
      <c r="B56" s="94"/>
      <c r="C56" s="212">
        <f ca="1">C51</f>
        <v>3548.4259967292055</v>
      </c>
      <c r="D56" s="212">
        <f ca="1">D51</f>
        <v>5134.1792426731063</v>
      </c>
      <c r="E56" s="212">
        <f ca="1">E51</f>
        <v>7570.3146732851528</v>
      </c>
      <c r="F56" s="212">
        <f ca="1">F51</f>
        <v>10505.047401347243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</row>
    <row r="57" spans="1:19">
      <c r="A57" s="5" t="s">
        <v>2021</v>
      </c>
      <c r="B57" s="3"/>
      <c r="C57" s="102">
        <f ca="1">C56-C55</f>
        <v>1320.1638256325873</v>
      </c>
      <c r="D57" s="102">
        <f ca="1">D56-D55</f>
        <v>1932.8518571086697</v>
      </c>
      <c r="E57" s="102">
        <f ca="1">E56-E55</f>
        <v>3112.877244392088</v>
      </c>
      <c r="F57" s="102">
        <f ca="1">F56-F55</f>
        <v>5013.3199308659023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5" t="s">
        <v>2022</v>
      </c>
      <c r="B58" s="3"/>
      <c r="C58" s="60">
        <f ca="1">IFERROR(C57/C55,0)</f>
        <v>0.59246341959073923</v>
      </c>
      <c r="D58" s="60">
        <f ca="1">IFERROR(D57/D55,0)</f>
        <v>0.603765758486423</v>
      </c>
      <c r="E58" s="60">
        <f ca="1">IFERROR(E57/E55,0)</f>
        <v>0.69835579165159978</v>
      </c>
      <c r="F58" s="60">
        <f ca="1">IFERROR(F57/F55,0)</f>
        <v>0.91288578280933763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13" t="s">
        <v>2023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>
      <c r="A61" s="78" t="s">
        <v>2024</v>
      </c>
      <c r="B61" s="214">
        <f ca="1">SUMPRODUCT('Group P&amp;L'!$D93:$AC93,$D$21:$AC$21)</f>
        <v>778493.35110467812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</row>
    <row r="62" spans="1:19">
      <c r="A62" s="78" t="s">
        <v>2025</v>
      </c>
      <c r="B62" s="208">
        <f ca="1">SUMPRODUCT($D18:$AC18,$D$21:$AC$21)</f>
        <v>921122.85972007364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</row>
    <row r="63" spans="1:19">
      <c r="A63" s="78" t="s">
        <v>2026</v>
      </c>
      <c r="B63" s="208">
        <f ca="1">B61-B62</f>
        <v>-142629.50861539552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</row>
    <row r="64" spans="1:19">
      <c r="A64" s="78" t="s">
        <v>2027</v>
      </c>
      <c r="B64" s="208">
        <f ca="1">C39</f>
        <v>86851.429369344245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</row>
    <row r="65" spans="1:19">
      <c r="A65" s="5" t="s">
        <v>2028</v>
      </c>
      <c r="B65" s="209">
        <f ca="1">B64-B63</f>
        <v>229480.93798473978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13" t="s">
        <v>2029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>
      <c r="A69" s="5" t="s">
        <v>2030</v>
      </c>
      <c r="B69" s="209">
        <f ca="1">B28+B29+B30+B31</f>
        <v>339076.18545064435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5" t="s">
        <v>2031</v>
      </c>
      <c r="B70" s="207">
        <f ca="1">$B$11*('Group P&amp;L'!$S$104+'Group P&amp;L'!$S$105)</f>
        <v>329818.1584947512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5" t="s">
        <v>2032</v>
      </c>
      <c r="B71" s="3"/>
      <c r="C71" s="215">
        <v>0.08</v>
      </c>
      <c r="D71" s="215">
        <v>0.09</v>
      </c>
      <c r="E71" s="215">
        <v>0.1</v>
      </c>
      <c r="F71" s="215">
        <v>0.11</v>
      </c>
      <c r="G71" s="215">
        <v>0.12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216">
        <v>1.4999999999999999E-2</v>
      </c>
      <c r="B72" s="3"/>
      <c r="C72" s="102">
        <f t="array" aca="1" ref="C72" ca="1">(SUMPRODUCT($D$18:$S$18,1/(1+C$71)^($D$4:$S$4-$C$7))+$B$69*(1+$A72)/(C$71-$A72)/(1+C$71)^($S$4-$C$7)+$B$70/(1+C$71)^($S$4-$C$7))/1000</f>
        <v>3018.5710173311795</v>
      </c>
      <c r="D72" s="102">
        <f t="array" aca="1" ref="D72" ca="1">(SUMPRODUCT($D$18:$S$18,1/(1+D$71)^($D$4:$S$4-$C$7))+$B$69*(1+$A72)/(D$71-$A72)/(1+D$71)^($S$4-$C$7)+$B$70/(1+D$71)^($S$4-$C$7))/1000</f>
        <v>2478.4582451572478</v>
      </c>
      <c r="E72" s="102">
        <f t="array" aca="1" ref="E72" ca="1">(SUMPRODUCT($D$18:$S$18,1/(1+E$71)^($D$4:$S$4-$C$7))+$B$69*(1+$A72)/(E$71-$A72)/(1+E$71)^($S$4-$C$7)+$B$70/(1+E$71)^($S$4-$C$7))/1000</f>
        <v>2072.7142011884957</v>
      </c>
      <c r="F72" s="102">
        <f t="array" aca="1" ref="F72" ca="1">(SUMPRODUCT($D$18:$S$18,1/(1+F$71)^($D$4:$S$4-$C$7))+$B$69*(1+$A72)/(F$71-$A72)/(1+F$71)^($S$4-$C$7)+$B$70/(1+F$71)^($S$4-$C$7))/1000</f>
        <v>1758.6167987478664</v>
      </c>
      <c r="G72" s="102">
        <f t="array" aca="1" ref="G72" ca="1">(SUMPRODUCT($D$18:$S$18,1/(1+G$71)^($D$4:$S$4-$C$7))+$B$69*(1+$A72)/(G$71-$A72)/(1+G$71)^($S$4-$C$7)+$B$70/(1+G$71)^($S$4-$C$7))/1000</f>
        <v>1509.7011199886992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216">
        <v>0.02</v>
      </c>
      <c r="B73" s="3"/>
      <c r="C73" s="102">
        <f t="array" aca="1" ref="C73" ca="1">(SUMPRODUCT($D$18:$S$18,1/(1+C$71)^($D$4:$S$4-$C$7))+$B$69*(1+$A73)/(C$71-$A73)/(1+C$71)^($S$4-$C$7)+$B$70/(1+C$71)^($S$4-$C$7))/1000</f>
        <v>3178.4141066849907</v>
      </c>
      <c r="D73" s="102">
        <f t="array" aca="1" ref="D73" ca="1">(SUMPRODUCT($D$18:$S$18,1/(1+D$71)^($D$4:$S$4-$C$7))+$B$69*(1+$A73)/(D$71-$A73)/(1+D$71)^($S$4-$C$7)+$B$70/(1+D$71)^($S$4-$C$7))/1000</f>
        <v>2583.791017881932</v>
      </c>
      <c r="E73" s="102">
        <f t="array" aca="1" ref="E73" ca="1">(SUMPRODUCT($D$18:$S$18,1/(1+E$71)^($D$4:$S$4-$C$7))+$B$69*(1+$A73)/(E$71-$A73)/(1+E$71)^($S$4-$C$7)+$B$70/(1+E$71)^($S$4-$C$7))/1000</f>
        <v>2144.933534234116</v>
      </c>
      <c r="F73" s="102">
        <f t="array" aca="1" ref="F73" ca="1">(SUMPRODUCT($D$18:$S$18,1/(1+F$71)^($D$4:$S$4-$C$7))+$B$69*(1+$A73)/(F$71-$A73)/(1+F$71)^($S$4-$C$7)+$B$70/(1+F$71)^($S$4-$C$7))/1000</f>
        <v>1809.6793434594263</v>
      </c>
      <c r="G73" s="102">
        <f t="array" aca="1" ref="G73" ca="1">(SUMPRODUCT($D$18:$S$18,1/(1+G$71)^($D$4:$S$4-$C$7))+$B$69*(1+$A73)/(G$71-$A73)/(1+G$71)^($S$4-$C$7)+$B$70/(1+G$71)^($S$4-$C$7))/1000</f>
        <v>1546.7046962710601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216">
        <v>2.5000000000000001E-2</v>
      </c>
      <c r="B74" s="3"/>
      <c r="C74" s="102">
        <f t="array" aca="1" ref="C74" ca="1">(SUMPRODUCT($D$18:$S$18,1/(1+C$71)^($D$4:$S$4-$C$7))+$B$69*(1+$A74)/(C$71-$A74)/(1+C$71)^($S$4-$C$7)+$B$70/(1+C$71)^($S$4-$C$7))/1000</f>
        <v>3367.3195759213131</v>
      </c>
      <c r="D74" s="102">
        <f t="array" aca="1" ref="D74" ca="1">(SUMPRODUCT($D$18:$S$18,1/(1+D$71)^($D$4:$S$4-$C$7))+$B$69*(1+$A74)/(D$71-$A74)/(1+D$71)^($S$4-$C$7)+$B$70/(1+D$71)^($S$4-$C$7))/1000</f>
        <v>2705.3288325642602</v>
      </c>
      <c r="E74" s="102">
        <f t="array" aca="1" ref="E74" ca="1">(SUMPRODUCT($D$18:$S$18,1/(1+E$71)^($D$4:$S$4-$C$7))+$B$69*(1+$A74)/(E$71-$A74)/(1+E$71)^($S$4-$C$7)+$B$70/(1+E$71)^($S$4-$C$7))/1000</f>
        <v>2226.7821116858181</v>
      </c>
      <c r="F74" s="102">
        <f t="array" aca="1" ref="F74" ca="1">(SUMPRODUCT($D$18:$S$18,1/(1+F$71)^($D$4:$S$4-$C$7))+$B$69*(1+$A74)/(F$71-$A74)/(1+F$71)^($S$4-$C$7)+$B$70/(1+F$71)^($S$4-$C$7))/1000</f>
        <v>1866.7492463723456</v>
      </c>
      <c r="G74" s="102">
        <f t="array" aca="1" ref="G74" ca="1">(SUMPRODUCT($D$18:$S$18,1/(1+G$71)^($D$4:$S$4-$C$7))+$B$69*(1+$A74)/(G$71-$A74)/(1+G$71)^($S$4-$C$7)+$B$70/(1+G$71)^($S$4-$C$7))/1000</f>
        <v>1587.6033858463006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216">
        <v>0.03</v>
      </c>
      <c r="B75" s="3"/>
      <c r="C75" s="102">
        <f t="array" aca="1" ref="C75" ca="1">(SUMPRODUCT($D$18:$S$18,1/(1+C$71)^($D$4:$S$4-$C$7))+$B$69*(1+$A75)/(C$71-$A75)/(1+C$71)^($S$4-$C$7)+$B$70/(1+C$71)^($S$4-$C$7))/1000</f>
        <v>3594.0061390049</v>
      </c>
      <c r="D75" s="102">
        <f t="array" aca="1" ref="D75" ca="1">(SUMPRODUCT($D$18:$S$18,1/(1+D$71)^($D$4:$S$4-$C$7))+$B$69*(1+$A75)/(D$71-$A75)/(1+D$71)^($S$4-$C$7)+$B$70/(1+D$71)^($S$4-$C$7))/1000</f>
        <v>2847.122949693643</v>
      </c>
      <c r="E75" s="102">
        <f t="array" aca="1" ref="E75" ca="1">(SUMPRODUCT($D$18:$S$18,1/(1+E$71)^($D$4:$S$4-$C$7))+$B$69*(1+$A75)/(E$71-$A75)/(1+E$71)^($S$4-$C$7)+$B$70/(1+E$71)^($S$4-$C$7))/1000</f>
        <v>2320.3233430591922</v>
      </c>
      <c r="F75" s="102">
        <f t="array" aca="1" ref="F75" ca="1">(SUMPRODUCT($D$18:$S$18,1/(1+F$71)^($D$4:$S$4-$C$7))+$B$69*(1+$A75)/(F$71-$A75)/(1+F$71)^($S$4-$C$7)+$B$70/(1+F$71)^($S$4-$C$7))/1000</f>
        <v>1930.9528871493803</v>
      </c>
      <c r="G75" s="102">
        <f t="array" aca="1" ref="G75" ca="1">(SUMPRODUCT($D$18:$S$18,1/(1+G$71)^($D$4:$S$4-$C$7))+$B$69*(1+$A75)/(G$71-$A75)/(1+G$71)^($S$4-$C$7)+$B$70/(1+G$71)^($S$4-$C$7))/1000</f>
        <v>1633.0463742632346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216">
        <v>3.5000000000000003E-2</v>
      </c>
      <c r="B76" s="3"/>
      <c r="C76" s="102">
        <f t="array" aca="1" ref="C76" ca="1">(SUMPRODUCT($D$18:$S$18,1/(1+C$71)^($D$4:$S$4-$C$7))+$B$69*(1+$A76)/(C$71-$A76)/(1+C$71)^($S$4-$C$7)+$B$70/(1+C$71)^($S$4-$C$7))/1000</f>
        <v>3871.0674938848392</v>
      </c>
      <c r="D76" s="102">
        <f t="array" aca="1" ref="D76" ca="1">(SUMPRODUCT($D$18:$S$18,1/(1+D$71)^($D$4:$S$4-$C$7))+$B$69*(1+$A76)/(D$71-$A76)/(1+D$71)^($S$4-$C$7)+$B$70/(1+D$71)^($S$4-$C$7))/1000</f>
        <v>3014.6978153920045</v>
      </c>
      <c r="E76" s="102">
        <f t="array" aca="1" ref="E76" ca="1">(SUMPRODUCT($D$18:$S$18,1/(1+E$71)^($D$4:$S$4-$C$7))+$B$69*(1+$A76)/(E$71-$A76)/(1+E$71)^($S$4-$C$7)+$B$70/(1+E$71)^($S$4-$C$7))/1000</f>
        <v>2428.2555331053941</v>
      </c>
      <c r="F76" s="102">
        <f t="array" aca="1" ref="F76" ca="1">(SUMPRODUCT($D$18:$S$18,1/(1+F$71)^($D$4:$S$4-$C$7))+$B$69*(1+$A76)/(F$71-$A76)/(1+F$71)^($S$4-$C$7)+$B$70/(1+F$71)^($S$4-$C$7))/1000</f>
        <v>2003.7170133633526</v>
      </c>
      <c r="G76" s="102">
        <f t="array" aca="1" ref="G76" ca="1">(SUMPRODUCT($D$18:$S$18,1/(1+G$71)^($D$4:$S$4-$C$7))+$B$69*(1+$A76)/(G$71-$A76)/(1+G$71)^($S$4-$C$7)+$B$70/(1+G$71)^($S$4-$C$7))/1000</f>
        <v>1683.8355966115726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13" t="s">
        <v>2033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>
      <c r="A79" s="5" t="s">
        <v>2034</v>
      </c>
      <c r="B79" s="35">
        <f>IF($B$8&gt;$B$9,1,0)</f>
        <v>1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5" t="s">
        <v>2035</v>
      </c>
      <c r="B80" s="31">
        <f>E21</f>
        <v>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5" t="s">
        <v>2036</v>
      </c>
      <c r="B81" s="31">
        <f>S24</f>
        <v>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92" t="s">
        <v>2037</v>
      </c>
      <c r="B82" s="211">
        <f ca="1">B62-SUMPRODUCT($D14:$AC14,$D$21:$AC$21)-SUMPRODUCT($D15:$AC15,$D$21:$AC$21)-SUMPRODUCT($D16:$AC16,$D$21:$AC$21)-SUMPRODUCT($D17:$AC17,$D$21:$AC$21)</f>
        <v>0</v>
      </c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</row>
    <row r="83" spans="1:19">
      <c r="A83" s="94" t="s">
        <v>2038</v>
      </c>
      <c r="B83" s="217">
        <f t="array" aca="1" ref="B83" ca="1">SUMPRODUCT(--(C35:C37&lt;0))</f>
        <v>0</v>
      </c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</row>
    <row r="84" spans="1:19">
      <c r="A84" s="78" t="s">
        <v>2039</v>
      </c>
      <c r="B84" s="218">
        <f t="array" aca="1" ref="B84" ca="1">SUMPRODUCT(--(C45:C47&lt;0))</f>
        <v>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</row>
    <row r="85" spans="1:19">
      <c r="A85" s="78" t="s">
        <v>2040</v>
      </c>
      <c r="B85" s="111">
        <f ca="1">C41</f>
        <v>2228.2621710966182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</row>
    <row r="86" spans="1:19">
      <c r="A86" s="78" t="s">
        <v>2041</v>
      </c>
      <c r="B86" s="111">
        <f ca="1">C51</f>
        <v>3548.4259967292055</v>
      </c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</row>
    <row r="87" spans="1:1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13" t="s">
        <v>2042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>
      <c r="A89" s="25" t="s">
        <v>2011</v>
      </c>
      <c r="B89" s="3"/>
      <c r="C89" s="204">
        <f>C7</f>
        <v>2026</v>
      </c>
      <c r="D89" s="204">
        <f>D7</f>
        <v>2030</v>
      </c>
      <c r="E89" s="204">
        <f>E7</f>
        <v>2035</v>
      </c>
      <c r="F89" s="204">
        <f>F7</f>
        <v>2040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25" t="s">
        <v>1964</v>
      </c>
      <c r="B90" s="3"/>
      <c r="C90" s="209">
        <f ca="1">SUMPRODUCT($D14:$AC14,$D$21:$AC$21)+$H$28/(1+$B$8)^($S$4-C$89)</f>
        <v>2064962.9145986692</v>
      </c>
      <c r="D90" s="209">
        <f ca="1">SUMPRODUCT($D14:$AC14,$D$22:$AC$22)+$H$28/(1+$B$8)^($S$4-D$89)</f>
        <v>2840319.0272372309</v>
      </c>
      <c r="E90" s="209">
        <f ca="1">SUMPRODUCT($D14:$AC14,$D$23:$AC$23)+$H$28/(1+$B$8)^($S$4-E$89)</f>
        <v>3541271.4657536522</v>
      </c>
      <c r="F90" s="209">
        <f ca="1">SUMPRODUCT($D14:$AC14,$D$24:$AC$24)+$H$28/(1+$B$8)^($S$4-F$89)</f>
        <v>4348717.3154126126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25" t="s">
        <v>1965</v>
      </c>
      <c r="B91" s="3"/>
      <c r="C91" s="209">
        <f ca="1">SUMPRODUCT($D15:$AC15,$D$21:$AC$21)+$H$29/(1+$B$8)^($S$4-C$89)</f>
        <v>60252.024154539977</v>
      </c>
      <c r="D91" s="209">
        <f ca="1">SUMPRODUCT($D15:$AC15,$D$22:$AC$22)+$H$29/(1+$B$8)^($S$4-D$89)</f>
        <v>61391.871871951873</v>
      </c>
      <c r="E91" s="209">
        <f ca="1">SUMPRODUCT($D15:$AC15,$D$23:$AC$23)+$H$29/(1+$B$8)^($S$4-E$89)</f>
        <v>43327.727872113399</v>
      </c>
      <c r="F91" s="209">
        <f ca="1">SUMPRODUCT($D15:$AC15,$D$24:$AC$24)+$H$29/(1+$B$8)^($S$4-F$89)</f>
        <v>31869.516835886596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25" t="s">
        <v>1966</v>
      </c>
      <c r="B92" s="3"/>
      <c r="C92" s="209">
        <f ca="1">SUMPRODUCT($D16:$AC16,$D$21:$AC$21)+$H$30/(1+$B$8)^($S$4-C$89)</f>
        <v>4361824.5824077204</v>
      </c>
      <c r="D92" s="209">
        <f ca="1">SUMPRODUCT($D16:$AC16,$D$22:$AC$22)+$H$30/(1+$B$8)^($S$4-D$89)</f>
        <v>6468828.0498378649</v>
      </c>
      <c r="E92" s="209">
        <f ca="1">SUMPRODUCT($D16:$AC16,$D$23:$AC$23)+$H$30/(1+$B$8)^($S$4-E$89)</f>
        <v>10297039.65877578</v>
      </c>
      <c r="F92" s="209">
        <f ca="1">SUMPRODUCT($D16:$AC16,$D$24:$AC$24)+$H$30/(1+$B$8)^($S$4-F$89)</f>
        <v>15262306.428646602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25" t="s">
        <v>2007</v>
      </c>
      <c r="B93" s="3"/>
      <c r="C93" s="209">
        <f ca="1">SUMPRODUCT($D17:$AC17,$D$21:$AC$21)+$H$31/(1+$B$8)^($S$4-C$89)</f>
        <v>-1294616.2918429393</v>
      </c>
      <c r="D93" s="209">
        <f ca="1">SUMPRODUCT($D17:$AC17,$D$22:$AC$22)+$H$31/(1+$B$8)^($S$4-D$89)</f>
        <v>-1829383.3580406988</v>
      </c>
      <c r="E93" s="209">
        <f ca="1">SUMPRODUCT($D17:$AC17,$D$23:$AC$23)+$H$31/(1+$B$8)^($S$4-E$89)</f>
        <v>-2434864.700523275</v>
      </c>
      <c r="F93" s="209">
        <f ca="1">SUMPRODUCT($D17:$AC17,$D$24:$AC$24)+$H$31/(1+$B$8)^($S$4-F$89)</f>
        <v>-2894769.1046788525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25" t="s">
        <v>2012</v>
      </c>
      <c r="B94" s="3"/>
      <c r="C94" s="209">
        <f ca="1">C39</f>
        <v>86851.429369344245</v>
      </c>
      <c r="D94" s="209">
        <f ca="1">D39</f>
        <v>127159.17773965695</v>
      </c>
      <c r="E94" s="209">
        <f ca="1">E39</f>
        <v>204791.12734149498</v>
      </c>
      <c r="F94" s="209">
        <f ca="1">F39</f>
        <v>329818.1584947512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219" t="s">
        <v>2043</v>
      </c>
      <c r="B95" s="92"/>
      <c r="C95" s="211">
        <f ca="1">SUM(C90:C94)</f>
        <v>5279274.6586873345</v>
      </c>
      <c r="D95" s="211">
        <f ca="1">SUM(D90:D94)</f>
        <v>7668314.7686460055</v>
      </c>
      <c r="E95" s="211">
        <f ca="1">SUM(E90:E94)</f>
        <v>11651565.279219767</v>
      </c>
      <c r="F95" s="211">
        <f ca="1">SUM(F90:F94)</f>
        <v>17077942.314711001</v>
      </c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</row>
    <row r="96" spans="1:19">
      <c r="A96" s="204" t="s">
        <v>2044</v>
      </c>
      <c r="B96" s="94"/>
      <c r="C96" s="212">
        <f ca="1">C95/1000</f>
        <v>5279.2746586873345</v>
      </c>
      <c r="D96" s="212">
        <f ca="1">D95/1000</f>
        <v>7668.3147686460052</v>
      </c>
      <c r="E96" s="212">
        <f ca="1">E95/1000</f>
        <v>11651.565279219767</v>
      </c>
      <c r="F96" s="212">
        <f ca="1">F95/1000</f>
        <v>17077.942314710999</v>
      </c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</row>
    <row r="97" spans="1:1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13" t="s">
        <v>2045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>
      <c r="A99" s="3"/>
      <c r="B99" s="3"/>
      <c r="C99" s="204">
        <f>C7</f>
        <v>2026</v>
      </c>
      <c r="D99" s="204">
        <f>D7</f>
        <v>2030</v>
      </c>
      <c r="E99" s="204">
        <f>E7</f>
        <v>2035</v>
      </c>
      <c r="F99" s="204">
        <f>F7</f>
        <v>2040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219" t="s">
        <v>2046</v>
      </c>
      <c r="B100" s="92"/>
      <c r="C100" s="213">
        <f ca="1">C41</f>
        <v>2228.2621710966182</v>
      </c>
      <c r="D100" s="213">
        <f ca="1">D41</f>
        <v>3201.3273855644366</v>
      </c>
      <c r="E100" s="213">
        <f ca="1">E41</f>
        <v>4457.4374288930649</v>
      </c>
      <c r="F100" s="213">
        <f ca="1">F41</f>
        <v>5491.7274704813408</v>
      </c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</row>
    <row r="101" spans="1:19">
      <c r="A101" s="204" t="s">
        <v>2047</v>
      </c>
      <c r="B101" s="94"/>
      <c r="C101" s="212">
        <f ca="1">C51</f>
        <v>3548.4259967292055</v>
      </c>
      <c r="D101" s="212">
        <f ca="1">D51</f>
        <v>5134.1792426731063</v>
      </c>
      <c r="E101" s="212">
        <f ca="1">E51</f>
        <v>7570.3146732851528</v>
      </c>
      <c r="F101" s="212">
        <f ca="1">F51</f>
        <v>10505.047401347243</v>
      </c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</row>
    <row r="102" spans="1:19">
      <c r="A102" s="118" t="s">
        <v>2048</v>
      </c>
      <c r="B102" s="78"/>
      <c r="C102" s="111">
        <f ca="1">C96</f>
        <v>5279.2746586873345</v>
      </c>
      <c r="D102" s="111">
        <f ca="1">D96</f>
        <v>7668.3147686460052</v>
      </c>
      <c r="E102" s="111">
        <f ca="1">E96</f>
        <v>11651.565279219767</v>
      </c>
      <c r="F102" s="111">
        <f ca="1">F96</f>
        <v>17077.942314710999</v>
      </c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</row>
    <row r="103" spans="1:19">
      <c r="A103" s="25" t="s">
        <v>2049</v>
      </c>
      <c r="B103" s="3"/>
      <c r="C103" s="102">
        <f ca="1">MAX(C100:C102)-MIN(C100:C102)</f>
        <v>3051.0124875907163</v>
      </c>
      <c r="D103" s="102">
        <f ca="1">MAX(D100:D102)-MIN(D100:D102)</f>
        <v>4466.9873830815686</v>
      </c>
      <c r="E103" s="102">
        <f ca="1">MAX(E100:E102)-MIN(E100:E102)</f>
        <v>7194.1278503267022</v>
      </c>
      <c r="F103" s="102">
        <f ca="1">MAX(F100:F102)-MIN(F100:F102)</f>
        <v>11586.214844229658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25" t="s">
        <v>2050</v>
      </c>
      <c r="B104" s="3"/>
      <c r="C104" s="212">
        <f ca="1">AVERAGE(C100:C102)</f>
        <v>3685.3209421710526</v>
      </c>
      <c r="D104" s="212">
        <f ca="1">AVERAGE(D100:D102)</f>
        <v>5334.6071322945163</v>
      </c>
      <c r="E104" s="212">
        <f ca="1">AVERAGE(E100:E102)</f>
        <v>7893.1057937993282</v>
      </c>
      <c r="F104" s="212">
        <f ca="1">AVERAGE(F100:F102)</f>
        <v>11024.905728846526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118"/>
      <c r="B106" s="21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28"/>
  <sheetViews>
    <sheetView showGridLines="0" zoomScale="137" zoomScaleNormal="137" workbookViewId="0">
      <selection activeCell="J33" sqref="J33"/>
    </sheetView>
  </sheetViews>
  <sheetFormatPr baseColWidth="10" defaultColWidth="10.6640625" defaultRowHeight="16" outlineLevelCol="1"/>
  <cols>
    <col min="1" max="1" width="38.33203125" customWidth="1"/>
    <col min="20" max="29" width="10.6640625" outlineLevel="1"/>
  </cols>
  <sheetData>
    <row r="1" spans="1:29" ht="21.75" customHeight="1">
      <c r="A1" s="1" t="s">
        <v>2051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>
      <c r="A2" s="220" t="s">
        <v>2052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>
      <c r="A4" s="198"/>
      <c r="B4" s="198"/>
      <c r="C4" s="198"/>
      <c r="D4" s="199">
        <f>Starlink!D4</f>
        <v>2025</v>
      </c>
      <c r="E4" s="199">
        <f>Starlink!E4</f>
        <v>2026</v>
      </c>
      <c r="F4" s="199">
        <f>Starlink!F4</f>
        <v>2027</v>
      </c>
      <c r="G4" s="199">
        <f>Starlink!G4</f>
        <v>2028</v>
      </c>
      <c r="H4" s="199">
        <f>Starlink!H4</f>
        <v>2029</v>
      </c>
      <c r="I4" s="199">
        <f>Starlink!I4</f>
        <v>2030</v>
      </c>
      <c r="J4" s="199">
        <f>Starlink!J4</f>
        <v>2031</v>
      </c>
      <c r="K4" s="199">
        <f>Starlink!K4</f>
        <v>2032</v>
      </c>
      <c r="L4" s="199">
        <f>Starlink!L4</f>
        <v>2033</v>
      </c>
      <c r="M4" s="199">
        <f>Starlink!M4</f>
        <v>2034</v>
      </c>
      <c r="N4" s="199">
        <f>Starlink!N4</f>
        <v>2035</v>
      </c>
      <c r="O4" s="199">
        <f>Starlink!O4</f>
        <v>2036</v>
      </c>
      <c r="P4" s="199">
        <f>Starlink!P4</f>
        <v>2037</v>
      </c>
      <c r="Q4" s="199">
        <f>Starlink!Q4</f>
        <v>2038</v>
      </c>
      <c r="R4" s="199">
        <f>Starlink!R4</f>
        <v>2039</v>
      </c>
      <c r="S4" s="199">
        <f>Starlink!S4</f>
        <v>2040</v>
      </c>
      <c r="T4" s="35">
        <f>Starlink!T4</f>
        <v>0</v>
      </c>
      <c r="U4" s="35">
        <f>Starlink!U4</f>
        <v>0</v>
      </c>
      <c r="V4" s="35">
        <f>Starlink!V4</f>
        <v>0</v>
      </c>
      <c r="W4" s="35">
        <f>Starlink!W4</f>
        <v>0</v>
      </c>
      <c r="X4" s="35">
        <f>Starlink!X4</f>
        <v>0</v>
      </c>
      <c r="Y4" s="35">
        <f>Starlink!Y4</f>
        <v>0</v>
      </c>
      <c r="Z4" s="35">
        <f>Starlink!Z4</f>
        <v>0</v>
      </c>
      <c r="AA4" s="35">
        <f>Starlink!AA4</f>
        <v>0</v>
      </c>
      <c r="AB4" s="35">
        <f>Starlink!AB4</f>
        <v>0</v>
      </c>
      <c r="AC4" s="35">
        <f>Starlink!AC4</f>
        <v>0</v>
      </c>
    </row>
    <row r="5" spans="1:29">
      <c r="A5" s="200"/>
      <c r="B5" s="200"/>
      <c r="C5" s="200"/>
      <c r="D5" s="201">
        <f>Starlink!D5</f>
        <v>0</v>
      </c>
      <c r="E5" s="201">
        <f>Starlink!E5</f>
        <v>1</v>
      </c>
      <c r="F5" s="201">
        <f>Starlink!F5</f>
        <v>2</v>
      </c>
      <c r="G5" s="201">
        <f>Starlink!G5</f>
        <v>3</v>
      </c>
      <c r="H5" s="201">
        <f>Starlink!H5</f>
        <v>4</v>
      </c>
      <c r="I5" s="201">
        <f>Starlink!I5</f>
        <v>5</v>
      </c>
      <c r="J5" s="201">
        <f>Starlink!J5</f>
        <v>6</v>
      </c>
      <c r="K5" s="201">
        <f>Starlink!K5</f>
        <v>7</v>
      </c>
      <c r="L5" s="201">
        <f>Starlink!L5</f>
        <v>8</v>
      </c>
      <c r="M5" s="201">
        <f>Starlink!M5</f>
        <v>9</v>
      </c>
      <c r="N5" s="201">
        <f>Starlink!N5</f>
        <v>10</v>
      </c>
      <c r="O5" s="201">
        <f>Starlink!O5</f>
        <v>11</v>
      </c>
      <c r="P5" s="201">
        <f>Starlink!P5</f>
        <v>12</v>
      </c>
      <c r="Q5" s="201">
        <f>Starlink!Q5</f>
        <v>13</v>
      </c>
      <c r="R5" s="201">
        <f>Starlink!R5</f>
        <v>14</v>
      </c>
      <c r="S5" s="201">
        <f>Starlink!S5</f>
        <v>15</v>
      </c>
      <c r="T5" s="35">
        <f>Starlink!T5</f>
        <v>0</v>
      </c>
      <c r="U5" s="35">
        <f>Starlink!U5</f>
        <v>0</v>
      </c>
      <c r="V5" s="35">
        <f>Starlink!V5</f>
        <v>0</v>
      </c>
      <c r="W5" s="35">
        <f>Starlink!W5</f>
        <v>0</v>
      </c>
      <c r="X5" s="35">
        <f>Starlink!X5</f>
        <v>0</v>
      </c>
      <c r="Y5" s="35">
        <f>Starlink!Y5</f>
        <v>0</v>
      </c>
      <c r="Z5" s="35">
        <f>Starlink!Z5</f>
        <v>0</v>
      </c>
      <c r="AA5" s="35">
        <f>Starlink!AA5</f>
        <v>0</v>
      </c>
      <c r="AB5" s="35">
        <f>Starlink!AB5</f>
        <v>0</v>
      </c>
      <c r="AC5" s="35">
        <f>Starlink!AC5</f>
        <v>0</v>
      </c>
    </row>
    <row r="6" spans="1:29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>
      <c r="A7" s="13" t="s">
        <v>2053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23" t="s">
        <v>2054</v>
      </c>
      <c r="B8" s="23"/>
      <c r="C8" s="23"/>
      <c r="D8" s="188">
        <f>Starlink!D70</f>
        <v>0</v>
      </c>
      <c r="E8" s="188">
        <f>Starlink!E70</f>
        <v>0</v>
      </c>
      <c r="F8" s="188">
        <f ca="1">Starlink!F70</f>
        <v>61</v>
      </c>
      <c r="G8" s="188">
        <f ca="1">Starlink!G70</f>
        <v>127</v>
      </c>
      <c r="H8" s="188">
        <f ca="1">Starlink!H70</f>
        <v>311</v>
      </c>
      <c r="I8" s="188">
        <f ca="1">Starlink!I70</f>
        <v>504</v>
      </c>
      <c r="J8" s="188">
        <f ca="1">Starlink!J70</f>
        <v>537</v>
      </c>
      <c r="K8" s="188">
        <f ca="1">Starlink!K70</f>
        <v>634</v>
      </c>
      <c r="L8" s="188">
        <f ca="1">Starlink!L70</f>
        <v>263</v>
      </c>
      <c r="M8" s="188">
        <f ca="1">Starlink!M70</f>
        <v>628</v>
      </c>
      <c r="N8" s="188">
        <f ca="1">Starlink!N70</f>
        <v>879</v>
      </c>
      <c r="O8" s="188">
        <f ca="1">Starlink!O70</f>
        <v>1347</v>
      </c>
      <c r="P8" s="188">
        <f ca="1">Starlink!P70</f>
        <v>899</v>
      </c>
      <c r="Q8" s="188">
        <f ca="1">Starlink!Q70</f>
        <v>545</v>
      </c>
      <c r="R8" s="188">
        <f ca="1">Starlink!R70</f>
        <v>290</v>
      </c>
      <c r="S8" s="188">
        <f ca="1">Starlink!S70</f>
        <v>336</v>
      </c>
      <c r="T8" s="29">
        <f>Starlink!T70</f>
        <v>0</v>
      </c>
      <c r="U8" s="29">
        <f>Starlink!U70</f>
        <v>0</v>
      </c>
      <c r="V8" s="29">
        <f>Starlink!V70</f>
        <v>0</v>
      </c>
      <c r="W8" s="29">
        <f>Starlink!W70</f>
        <v>0</v>
      </c>
      <c r="X8" s="29">
        <f>Starlink!X70</f>
        <v>0</v>
      </c>
      <c r="Y8" s="29">
        <f>Starlink!Y70</f>
        <v>0</v>
      </c>
      <c r="Z8" s="29">
        <f>Starlink!Z70</f>
        <v>0</v>
      </c>
      <c r="AA8" s="29">
        <f>Starlink!AA70</f>
        <v>0</v>
      </c>
      <c r="AB8" s="29">
        <f>Starlink!AB70</f>
        <v>0</v>
      </c>
      <c r="AC8" s="29">
        <f>Starlink!AC70</f>
        <v>0</v>
      </c>
    </row>
    <row r="9" spans="1:29">
      <c r="A9" s="23" t="s">
        <v>2055</v>
      </c>
      <c r="B9" s="23"/>
      <c r="C9" s="23"/>
      <c r="D9" s="188">
        <f ca="1">'Customer Launch'!D47</f>
        <v>0</v>
      </c>
      <c r="E9" s="188">
        <f ca="1">'Customer Launch'!E47</f>
        <v>0</v>
      </c>
      <c r="F9" s="188">
        <f ca="1">'Customer Launch'!F47</f>
        <v>0</v>
      </c>
      <c r="G9" s="188">
        <f ca="1">'Customer Launch'!G47</f>
        <v>0</v>
      </c>
      <c r="H9" s="188">
        <f ca="1">'Customer Launch'!H47</f>
        <v>3.7443304830134121E-14</v>
      </c>
      <c r="I9" s="188">
        <f ca="1">'Customer Launch'!I47</f>
        <v>7.4505805969238287E-14</v>
      </c>
      <c r="J9" s="188">
        <f ca="1">'Customer Launch'!J47</f>
        <v>0</v>
      </c>
      <c r="K9" s="188">
        <f ca="1">'Customer Launch'!K47</f>
        <v>275.81075912414838</v>
      </c>
      <c r="L9" s="188">
        <f ca="1">'Customer Launch'!L47</f>
        <v>333.9881348618556</v>
      </c>
      <c r="M9" s="188">
        <f ca="1">'Customer Launch'!M47</f>
        <v>375.93784340188353</v>
      </c>
      <c r="N9" s="188">
        <f ca="1">'Customer Launch'!N47</f>
        <v>410.59733397920508</v>
      </c>
      <c r="O9" s="188">
        <f ca="1">'Customer Launch'!O47</f>
        <v>443.35533922214557</v>
      </c>
      <c r="P9" s="188">
        <f ca="1">'Customer Launch'!P47</f>
        <v>476.7702970402658</v>
      </c>
      <c r="Q9" s="188">
        <f ca="1">'Customer Launch'!Q47</f>
        <v>512.02025001972186</v>
      </c>
      <c r="R9" s="188">
        <f ca="1">'Customer Launch'!R47</f>
        <v>549.7047943189649</v>
      </c>
      <c r="S9" s="188">
        <f ca="1">'Customer Launch'!S47</f>
        <v>0</v>
      </c>
      <c r="T9" s="29" t="e">
        <f>'Customer Launch'!#REF!</f>
        <v>#REF!</v>
      </c>
      <c r="U9" s="29" t="e">
        <f>'Customer Launch'!#REF!</f>
        <v>#REF!</v>
      </c>
      <c r="V9" s="29" t="e">
        <f>'Customer Launch'!#REF!</f>
        <v>#REF!</v>
      </c>
      <c r="W9" s="29" t="e">
        <f>'Customer Launch'!#REF!</f>
        <v>#REF!</v>
      </c>
      <c r="X9" s="29" t="e">
        <f>'Customer Launch'!#REF!</f>
        <v>#REF!</v>
      </c>
      <c r="Y9" s="29" t="e">
        <f>'Customer Launch'!#REF!</f>
        <v>#REF!</v>
      </c>
      <c r="Z9" s="29" t="e">
        <f>'Customer Launch'!#REF!</f>
        <v>#REF!</v>
      </c>
      <c r="AA9" s="29" t="e">
        <f>'Customer Launch'!#REF!</f>
        <v>#REF!</v>
      </c>
      <c r="AB9" s="29" t="e">
        <f>'Customer Launch'!#REF!</f>
        <v>#REF!</v>
      </c>
      <c r="AC9" s="29" t="e">
        <f>'Customer Launch'!#REF!</f>
        <v>#REF!</v>
      </c>
    </row>
    <row r="10" spans="1:29">
      <c r="A10" s="23" t="s">
        <v>2056</v>
      </c>
      <c r="B10" s="23"/>
      <c r="C10" s="23"/>
      <c r="D10" s="188">
        <f ca="1">'AI - Compute'!D81</f>
        <v>0</v>
      </c>
      <c r="E10" s="188">
        <f ca="1">'AI - Compute'!E81</f>
        <v>0</v>
      </c>
      <c r="F10" s="188">
        <f ca="1">'AI - Compute'!F81</f>
        <v>0</v>
      </c>
      <c r="G10" s="188">
        <f ca="1">'AI - Compute'!G81</f>
        <v>12</v>
      </c>
      <c r="H10" s="188">
        <f ca="1">'AI - Compute'!H81</f>
        <v>34.700000000000003</v>
      </c>
      <c r="I10" s="188">
        <f ca="1">'AI - Compute'!I81</f>
        <v>83.471698113207552</v>
      </c>
      <c r="J10" s="188">
        <f ca="1">'AI - Compute'!J81</f>
        <v>173.4</v>
      </c>
      <c r="K10" s="188">
        <f ca="1">'AI - Compute'!K81</f>
        <v>162.01769911504425</v>
      </c>
      <c r="L10" s="188">
        <f ca="1">'AI - Compute'!L81</f>
        <v>99.188034188034194</v>
      </c>
      <c r="M10" s="188">
        <f ca="1">'AI - Compute'!M81</f>
        <v>138.31666666666666</v>
      </c>
      <c r="N10" s="188">
        <f ca="1">'AI - Compute'!N81</f>
        <v>203</v>
      </c>
      <c r="O10" s="188">
        <f ca="1">'AI - Compute'!O81</f>
        <v>308.046875</v>
      </c>
      <c r="P10" s="188">
        <f ca="1">'AI - Compute'!P81</f>
        <v>340.18320610687022</v>
      </c>
      <c r="Q10" s="188">
        <f ca="1">'AI - Compute'!Q81</f>
        <v>330.8</v>
      </c>
      <c r="R10" s="188">
        <f ca="1">'AI - Compute'!R81</f>
        <v>430.64028776978415</v>
      </c>
      <c r="S10" s="188">
        <f ca="1">'AI - Compute'!S81</f>
        <v>547.15384615384619</v>
      </c>
      <c r="T10" s="29">
        <f>'AI - Compute'!T81</f>
        <v>0</v>
      </c>
      <c r="U10" s="29">
        <f>'AI - Compute'!U81</f>
        <v>0</v>
      </c>
      <c r="V10" s="29">
        <f>'AI - Compute'!V81</f>
        <v>0</v>
      </c>
      <c r="W10" s="29">
        <f>'AI - Compute'!W81</f>
        <v>0</v>
      </c>
      <c r="X10" s="29">
        <f>'AI - Compute'!X81</f>
        <v>0</v>
      </c>
      <c r="Y10" s="29">
        <f>'AI - Compute'!Y81</f>
        <v>0</v>
      </c>
      <c r="Z10" s="29">
        <f>'AI - Compute'!Z81</f>
        <v>0</v>
      </c>
      <c r="AA10" s="29">
        <f>'AI - Compute'!AA81</f>
        <v>0</v>
      </c>
      <c r="AB10" s="29">
        <f>'AI - Compute'!AB81</f>
        <v>0</v>
      </c>
      <c r="AC10" s="29">
        <f>'AI - Compute'!AC81</f>
        <v>0</v>
      </c>
    </row>
    <row r="11" spans="1:29">
      <c r="A11" s="23" t="s">
        <v>2057</v>
      </c>
      <c r="B11" s="23"/>
      <c r="C11" s="23"/>
      <c r="D11" s="188">
        <f>'Lunar - Mars'!D120</f>
        <v>0</v>
      </c>
      <c r="E11" s="188">
        <f>'Lunar - Mars'!E120</f>
        <v>0</v>
      </c>
      <c r="F11" s="188">
        <f>'Lunar - Mars'!F120</f>
        <v>0</v>
      </c>
      <c r="G11" s="188">
        <f>'Lunar - Mars'!G120</f>
        <v>0</v>
      </c>
      <c r="H11" s="188">
        <f>'Lunar - Mars'!H120</f>
        <v>0</v>
      </c>
      <c r="I11" s="188">
        <f ca="1">'Lunar - Mars'!I120</f>
        <v>80.366600726908615</v>
      </c>
      <c r="J11" s="188">
        <f ca="1">'Lunar - Mars'!J120</f>
        <v>65.602839734526981</v>
      </c>
      <c r="K11" s="188">
        <f ca="1">'Lunar - Mars'!K120</f>
        <v>130.88127762542979</v>
      </c>
      <c r="L11" s="188">
        <f ca="1">'Lunar - Mars'!L120</f>
        <v>51.410269733936552</v>
      </c>
      <c r="M11" s="188">
        <f ca="1">'Lunar - Mars'!M120</f>
        <v>143.06288053869287</v>
      </c>
      <c r="N11" s="188">
        <f ca="1">'Lunar - Mars'!N120</f>
        <v>111.5741420223589</v>
      </c>
      <c r="O11" s="188">
        <f ca="1">'Lunar - Mars'!O120</f>
        <v>130.06537090285337</v>
      </c>
      <c r="P11" s="188">
        <f ca="1">'Lunar - Mars'!P120</f>
        <v>130.23101340125166</v>
      </c>
      <c r="Q11" s="188">
        <f ca="1">'Lunar - Mars'!Q120</f>
        <v>272.27720485164986</v>
      </c>
      <c r="R11" s="188">
        <f ca="1">'Lunar - Mars'!R120</f>
        <v>400.30829805402345</v>
      </c>
      <c r="S11" s="188">
        <f ca="1">'Lunar - Mars'!S120</f>
        <v>528.96784505145433</v>
      </c>
      <c r="T11" s="29">
        <f>'Lunar - Mars'!T120</f>
        <v>0</v>
      </c>
      <c r="U11" s="29">
        <f>'Lunar - Mars'!U120</f>
        <v>0</v>
      </c>
      <c r="V11" s="29">
        <f>'Lunar - Mars'!V120</f>
        <v>0</v>
      </c>
      <c r="W11" s="29">
        <f>'Lunar - Mars'!W120</f>
        <v>0</v>
      </c>
      <c r="X11" s="29">
        <f>'Lunar - Mars'!X120</f>
        <v>0</v>
      </c>
      <c r="Y11" s="29">
        <f>'Lunar - Mars'!Y120</f>
        <v>0</v>
      </c>
      <c r="Z11" s="29">
        <f>'Lunar - Mars'!Z120</f>
        <v>0</v>
      </c>
      <c r="AA11" s="29">
        <f>'Lunar - Mars'!AA120</f>
        <v>0</v>
      </c>
      <c r="AB11" s="29">
        <f>'Lunar - Mars'!AB120</f>
        <v>0</v>
      </c>
      <c r="AC11" s="29">
        <f>'Lunar - Mars'!AC120</f>
        <v>0</v>
      </c>
    </row>
    <row r="12" spans="1:29">
      <c r="A12" s="118" t="s">
        <v>2058</v>
      </c>
      <c r="B12" s="118"/>
      <c r="C12" s="118"/>
      <c r="D12" s="190">
        <f t="shared" ref="D12:AC12" ca="1" si="0">SUM(D8:D11)</f>
        <v>0</v>
      </c>
      <c r="E12" s="190">
        <f t="shared" ca="1" si="0"/>
        <v>0</v>
      </c>
      <c r="F12" s="190">
        <f t="shared" ca="1" si="0"/>
        <v>61</v>
      </c>
      <c r="G12" s="190">
        <f t="shared" ca="1" si="0"/>
        <v>139</v>
      </c>
      <c r="H12" s="190">
        <f t="shared" ca="1" si="0"/>
        <v>345.70000000000005</v>
      </c>
      <c r="I12" s="190">
        <f t="shared" ca="1" si="0"/>
        <v>667.83829884011618</v>
      </c>
      <c r="J12" s="190">
        <f t="shared" ca="1" si="0"/>
        <v>776.00283973452702</v>
      </c>
      <c r="K12" s="190">
        <f t="shared" ca="1" si="0"/>
        <v>1202.7097358646224</v>
      </c>
      <c r="L12" s="190">
        <f t="shared" ca="1" si="0"/>
        <v>747.58643878382622</v>
      </c>
      <c r="M12" s="190">
        <f t="shared" ca="1" si="0"/>
        <v>1285.3173906072429</v>
      </c>
      <c r="N12" s="190">
        <f t="shared" ca="1" si="0"/>
        <v>1604.1714760015641</v>
      </c>
      <c r="O12" s="190">
        <f t="shared" ca="1" si="0"/>
        <v>2228.467585124999</v>
      </c>
      <c r="P12" s="190">
        <f t="shared" ca="1" si="0"/>
        <v>1846.1845165483876</v>
      </c>
      <c r="Q12" s="190">
        <f t="shared" ca="1" si="0"/>
        <v>1660.0974548713718</v>
      </c>
      <c r="R12" s="190">
        <f t="shared" ca="1" si="0"/>
        <v>1670.6533801427724</v>
      </c>
      <c r="S12" s="190">
        <f t="shared" ca="1" si="0"/>
        <v>1412.1216912053005</v>
      </c>
      <c r="T12" s="29" t="e">
        <f t="shared" si="0"/>
        <v>#REF!</v>
      </c>
      <c r="U12" s="29" t="e">
        <f t="shared" si="0"/>
        <v>#REF!</v>
      </c>
      <c r="V12" s="29" t="e">
        <f t="shared" si="0"/>
        <v>#REF!</v>
      </c>
      <c r="W12" s="29" t="e">
        <f t="shared" si="0"/>
        <v>#REF!</v>
      </c>
      <c r="X12" s="29" t="e">
        <f t="shared" si="0"/>
        <v>#REF!</v>
      </c>
      <c r="Y12" s="29" t="e">
        <f t="shared" si="0"/>
        <v>#REF!</v>
      </c>
      <c r="Z12" s="29" t="e">
        <f t="shared" si="0"/>
        <v>#REF!</v>
      </c>
      <c r="AA12" s="29" t="e">
        <f t="shared" si="0"/>
        <v>#REF!</v>
      </c>
      <c r="AB12" s="29" t="e">
        <f t="shared" si="0"/>
        <v>#REF!</v>
      </c>
      <c r="AC12" s="29" t="e">
        <f t="shared" si="0"/>
        <v>#REF!</v>
      </c>
    </row>
    <row r="13" spans="1:29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13" t="s">
        <v>2059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23" t="s">
        <v>1964</v>
      </c>
      <c r="B15" s="23"/>
      <c r="C15" s="23"/>
      <c r="D15" s="60">
        <f t="shared" ref="D15:AC15" ca="1" si="1">IFERROR(D8/D$12,0)</f>
        <v>0</v>
      </c>
      <c r="E15" s="60">
        <f t="shared" ca="1" si="1"/>
        <v>0</v>
      </c>
      <c r="F15" s="60">
        <f t="shared" ca="1" si="1"/>
        <v>1</v>
      </c>
      <c r="G15" s="60">
        <f t="shared" ca="1" si="1"/>
        <v>0.91366906474820142</v>
      </c>
      <c r="H15" s="60">
        <f t="shared" ca="1" si="1"/>
        <v>0.89962395140295037</v>
      </c>
      <c r="I15" s="60">
        <f t="shared" ca="1" si="1"/>
        <v>0.75467370001890255</v>
      </c>
      <c r="J15" s="60">
        <f t="shared" ca="1" si="1"/>
        <v>0.69200777690930793</v>
      </c>
      <c r="K15" s="60">
        <f t="shared" ca="1" si="1"/>
        <v>0.52714298479027477</v>
      </c>
      <c r="L15" s="60">
        <f t="shared" ca="1" si="1"/>
        <v>0.35179878386751967</v>
      </c>
      <c r="M15" s="60">
        <f t="shared" ca="1" si="1"/>
        <v>0.48859527194547953</v>
      </c>
      <c r="N15" s="60">
        <f t="shared" ca="1" si="1"/>
        <v>0.54794640918995052</v>
      </c>
      <c r="O15" s="60">
        <f t="shared" ca="1" si="1"/>
        <v>0.60445124218598145</v>
      </c>
      <c r="P15" s="60">
        <f t="shared" ca="1" si="1"/>
        <v>0.48695024356545008</v>
      </c>
      <c r="Q15" s="60">
        <f t="shared" ca="1" si="1"/>
        <v>0.32829397960990658</v>
      </c>
      <c r="R15" s="60">
        <f t="shared" ca="1" si="1"/>
        <v>0.17358478033020641</v>
      </c>
      <c r="S15" s="60">
        <f t="shared" ca="1" si="1"/>
        <v>0.23793983343830019</v>
      </c>
      <c r="T15" s="60">
        <f t="shared" si="1"/>
        <v>0</v>
      </c>
      <c r="U15" s="60">
        <f t="shared" si="1"/>
        <v>0</v>
      </c>
      <c r="V15" s="60">
        <f t="shared" si="1"/>
        <v>0</v>
      </c>
      <c r="W15" s="60">
        <f t="shared" si="1"/>
        <v>0</v>
      </c>
      <c r="X15" s="60">
        <f t="shared" si="1"/>
        <v>0</v>
      </c>
      <c r="Y15" s="60">
        <f t="shared" si="1"/>
        <v>0</v>
      </c>
      <c r="Z15" s="60">
        <f t="shared" si="1"/>
        <v>0</v>
      </c>
      <c r="AA15" s="60">
        <f t="shared" si="1"/>
        <v>0</v>
      </c>
      <c r="AB15" s="60">
        <f t="shared" si="1"/>
        <v>0</v>
      </c>
      <c r="AC15" s="60">
        <f t="shared" si="1"/>
        <v>0</v>
      </c>
    </row>
    <row r="16" spans="1:29">
      <c r="A16" s="23" t="s">
        <v>1965</v>
      </c>
      <c r="B16" s="23"/>
      <c r="C16" s="23"/>
      <c r="D16" s="60">
        <f t="shared" ref="D16:AC16" ca="1" si="2">IFERROR(D9/D$12,0)</f>
        <v>0</v>
      </c>
      <c r="E16" s="60">
        <f t="shared" ca="1" si="2"/>
        <v>0</v>
      </c>
      <c r="F16" s="60">
        <f t="shared" ca="1" si="2"/>
        <v>0</v>
      </c>
      <c r="G16" s="60">
        <f t="shared" ca="1" si="2"/>
        <v>0</v>
      </c>
      <c r="H16" s="60">
        <f t="shared" ca="1" si="2"/>
        <v>1.0831155577128758E-16</v>
      </c>
      <c r="I16" s="60">
        <f t="shared" ca="1" si="2"/>
        <v>1.1156264338034819E-16</v>
      </c>
      <c r="J16" s="60">
        <f t="shared" ca="1" si="2"/>
        <v>0</v>
      </c>
      <c r="K16" s="60">
        <f t="shared" ca="1" si="2"/>
        <v>0.22932445867819412</v>
      </c>
      <c r="L16" s="60">
        <f t="shared" ca="1" si="2"/>
        <v>0.44675520787293516</v>
      </c>
      <c r="M16" s="60">
        <f t="shared" ca="1" si="2"/>
        <v>0.29248638985914072</v>
      </c>
      <c r="N16" s="60">
        <f t="shared" ca="1" si="2"/>
        <v>0.25595601226037806</v>
      </c>
      <c r="O16" s="60">
        <f t="shared" ca="1" si="2"/>
        <v>0.19895076876214779</v>
      </c>
      <c r="P16" s="60">
        <f t="shared" ca="1" si="2"/>
        <v>0.25824628728423737</v>
      </c>
      <c r="Q16" s="60">
        <f t="shared" ca="1" si="2"/>
        <v>0.308427826641897</v>
      </c>
      <c r="R16" s="60">
        <f t="shared" ca="1" si="2"/>
        <v>0.32903581368385804</v>
      </c>
      <c r="S16" s="60">
        <f t="shared" ca="1" si="2"/>
        <v>0</v>
      </c>
      <c r="T16" s="60">
        <f t="shared" si="2"/>
        <v>0</v>
      </c>
      <c r="U16" s="60">
        <f t="shared" si="2"/>
        <v>0</v>
      </c>
      <c r="V16" s="60">
        <f t="shared" si="2"/>
        <v>0</v>
      </c>
      <c r="W16" s="60">
        <f t="shared" si="2"/>
        <v>0</v>
      </c>
      <c r="X16" s="60">
        <f t="shared" si="2"/>
        <v>0</v>
      </c>
      <c r="Y16" s="60">
        <f t="shared" si="2"/>
        <v>0</v>
      </c>
      <c r="Z16" s="60">
        <f t="shared" si="2"/>
        <v>0</v>
      </c>
      <c r="AA16" s="60">
        <f t="shared" si="2"/>
        <v>0</v>
      </c>
      <c r="AB16" s="60">
        <f t="shared" si="2"/>
        <v>0</v>
      </c>
      <c r="AC16" s="60">
        <f t="shared" si="2"/>
        <v>0</v>
      </c>
    </row>
    <row r="17" spans="1:29">
      <c r="A17" s="23" t="s">
        <v>2056</v>
      </c>
      <c r="B17" s="23"/>
      <c r="C17" s="23"/>
      <c r="D17" s="60">
        <f t="shared" ref="D17:AC17" ca="1" si="3">IFERROR(D10/D$12,0)</f>
        <v>0</v>
      </c>
      <c r="E17" s="60">
        <f t="shared" ca="1" si="3"/>
        <v>0</v>
      </c>
      <c r="F17" s="60">
        <f t="shared" ca="1" si="3"/>
        <v>0</v>
      </c>
      <c r="G17" s="60">
        <f t="shared" ca="1" si="3"/>
        <v>8.6330935251798566E-2</v>
      </c>
      <c r="H17" s="60">
        <f t="shared" ca="1" si="3"/>
        <v>0.10037604859704946</v>
      </c>
      <c r="I17" s="60">
        <f t="shared" ca="1" si="3"/>
        <v>0.12498788742451426</v>
      </c>
      <c r="J17" s="60">
        <f t="shared" ca="1" si="3"/>
        <v>0.22345279053272626</v>
      </c>
      <c r="K17" s="60">
        <f t="shared" ca="1" si="3"/>
        <v>0.13471055757154113</v>
      </c>
      <c r="L17" s="60">
        <f t="shared" ca="1" si="3"/>
        <v>0.1326776798538418</v>
      </c>
      <c r="M17" s="60">
        <f t="shared" ca="1" si="3"/>
        <v>0.10761284930667554</v>
      </c>
      <c r="N17" s="60">
        <f t="shared" ca="1" si="3"/>
        <v>0.12654507515990895</v>
      </c>
      <c r="O17" s="60">
        <f t="shared" ca="1" si="3"/>
        <v>0.1382326030031624</v>
      </c>
      <c r="P17" s="60">
        <f t="shared" ca="1" si="3"/>
        <v>0.18426284212526825</v>
      </c>
      <c r="Q17" s="60">
        <f t="shared" ca="1" si="3"/>
        <v>0.19926541000909562</v>
      </c>
      <c r="R17" s="60">
        <f t="shared" ca="1" si="3"/>
        <v>0.25776758535812022</v>
      </c>
      <c r="S17" s="60">
        <f t="shared" ca="1" si="3"/>
        <v>0.38746933041360565</v>
      </c>
      <c r="T17" s="60">
        <f t="shared" si="3"/>
        <v>0</v>
      </c>
      <c r="U17" s="60">
        <f t="shared" si="3"/>
        <v>0</v>
      </c>
      <c r="V17" s="60">
        <f t="shared" si="3"/>
        <v>0</v>
      </c>
      <c r="W17" s="60">
        <f t="shared" si="3"/>
        <v>0</v>
      </c>
      <c r="X17" s="60">
        <f t="shared" si="3"/>
        <v>0</v>
      </c>
      <c r="Y17" s="60">
        <f t="shared" si="3"/>
        <v>0</v>
      </c>
      <c r="Z17" s="60">
        <f t="shared" si="3"/>
        <v>0</v>
      </c>
      <c r="AA17" s="60">
        <f t="shared" si="3"/>
        <v>0</v>
      </c>
      <c r="AB17" s="60">
        <f t="shared" si="3"/>
        <v>0</v>
      </c>
      <c r="AC17" s="60">
        <f t="shared" si="3"/>
        <v>0</v>
      </c>
    </row>
    <row r="18" spans="1:29">
      <c r="A18" s="23" t="s">
        <v>2057</v>
      </c>
      <c r="B18" s="23"/>
      <c r="C18" s="23"/>
      <c r="D18" s="60">
        <f t="shared" ref="D18:AC18" ca="1" si="4">IFERROR(D11/D$12,0)</f>
        <v>0</v>
      </c>
      <c r="E18" s="60">
        <f t="shared" ca="1" si="4"/>
        <v>0</v>
      </c>
      <c r="F18" s="60">
        <f t="shared" ca="1" si="4"/>
        <v>0</v>
      </c>
      <c r="G18" s="60">
        <f t="shared" ca="1" si="4"/>
        <v>0</v>
      </c>
      <c r="H18" s="60">
        <f t="shared" ca="1" si="4"/>
        <v>0</v>
      </c>
      <c r="I18" s="60">
        <f t="shared" ca="1" si="4"/>
        <v>0.12033841255658322</v>
      </c>
      <c r="J18" s="60">
        <f t="shared" ca="1" si="4"/>
        <v>8.4539432557965782E-2</v>
      </c>
      <c r="K18" s="60">
        <f t="shared" ca="1" si="4"/>
        <v>0.10882199895999001</v>
      </c>
      <c r="L18" s="60">
        <f t="shared" ca="1" si="4"/>
        <v>6.8768328405703544E-2</v>
      </c>
      <c r="M18" s="60">
        <f t="shared" ca="1" si="4"/>
        <v>0.11130548888870428</v>
      </c>
      <c r="N18" s="60">
        <f t="shared" ca="1" si="4"/>
        <v>6.9552503389762377E-2</v>
      </c>
      <c r="O18" s="60">
        <f t="shared" ca="1" si="4"/>
        <v>5.8365386048708334E-2</v>
      </c>
      <c r="P18" s="60">
        <f t="shared" ca="1" si="4"/>
        <v>7.0540627025044364E-2</v>
      </c>
      <c r="Q18" s="60">
        <f t="shared" ca="1" si="4"/>
        <v>0.16401278373910075</v>
      </c>
      <c r="R18" s="60">
        <f t="shared" ca="1" si="4"/>
        <v>0.23961182062781539</v>
      </c>
      <c r="S18" s="60">
        <f t="shared" ca="1" si="4"/>
        <v>0.37459083614809413</v>
      </c>
      <c r="T18" s="60">
        <f t="shared" si="4"/>
        <v>0</v>
      </c>
      <c r="U18" s="60">
        <f t="shared" si="4"/>
        <v>0</v>
      </c>
      <c r="V18" s="60">
        <f t="shared" si="4"/>
        <v>0</v>
      </c>
      <c r="W18" s="60">
        <f t="shared" si="4"/>
        <v>0</v>
      </c>
      <c r="X18" s="60">
        <f t="shared" si="4"/>
        <v>0</v>
      </c>
      <c r="Y18" s="60">
        <f t="shared" si="4"/>
        <v>0</v>
      </c>
      <c r="Z18" s="60">
        <f t="shared" si="4"/>
        <v>0</v>
      </c>
      <c r="AA18" s="60">
        <f t="shared" si="4"/>
        <v>0</v>
      </c>
      <c r="AB18" s="60">
        <f t="shared" si="4"/>
        <v>0</v>
      </c>
      <c r="AC18" s="60">
        <f t="shared" si="4"/>
        <v>0</v>
      </c>
    </row>
    <row r="19" spans="1:2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13" t="s">
        <v>2060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>
      <c r="A21" s="23" t="s">
        <v>2061</v>
      </c>
      <c r="B21" s="23"/>
      <c r="C21" s="23"/>
      <c r="D21" s="188">
        <f>Starlink!D69</f>
        <v>166</v>
      </c>
      <c r="E21" s="188">
        <f ca="1">Starlink!E69</f>
        <v>138</v>
      </c>
      <c r="F21" s="188">
        <f>Starlink!F69</f>
        <v>0</v>
      </c>
      <c r="G21" s="188">
        <f>Starlink!G69</f>
        <v>0</v>
      </c>
      <c r="H21" s="188">
        <f>Starlink!H69</f>
        <v>0</v>
      </c>
      <c r="I21" s="188">
        <f>Starlink!I69</f>
        <v>0</v>
      </c>
      <c r="J21" s="188">
        <f>Starlink!J69</f>
        <v>0</v>
      </c>
      <c r="K21" s="188">
        <f>Starlink!K69</f>
        <v>0</v>
      </c>
      <c r="L21" s="188">
        <f>Starlink!L69</f>
        <v>0</v>
      </c>
      <c r="M21" s="188">
        <f>Starlink!M69</f>
        <v>0</v>
      </c>
      <c r="N21" s="188">
        <f>Starlink!N69</f>
        <v>0</v>
      </c>
      <c r="O21" s="188">
        <f>Starlink!O69</f>
        <v>0</v>
      </c>
      <c r="P21" s="188">
        <f>Starlink!P69</f>
        <v>0</v>
      </c>
      <c r="Q21" s="188">
        <f>Starlink!Q69</f>
        <v>0</v>
      </c>
      <c r="R21" s="188">
        <f>Starlink!R69</f>
        <v>0</v>
      </c>
      <c r="S21" s="188">
        <f>Starlink!S69</f>
        <v>0</v>
      </c>
      <c r="T21" s="29">
        <f>Starlink!T69</f>
        <v>0</v>
      </c>
      <c r="U21" s="29">
        <f>Starlink!U69</f>
        <v>0</v>
      </c>
      <c r="V21" s="29">
        <f>Starlink!V69</f>
        <v>0</v>
      </c>
      <c r="W21" s="29">
        <f>Starlink!W69</f>
        <v>0</v>
      </c>
      <c r="X21" s="29">
        <f>Starlink!X69</f>
        <v>0</v>
      </c>
      <c r="Y21" s="29">
        <f>Starlink!Y69</f>
        <v>0</v>
      </c>
      <c r="Z21" s="29">
        <f>Starlink!Z69</f>
        <v>0</v>
      </c>
      <c r="AA21" s="29">
        <f>Starlink!AA69</f>
        <v>0</v>
      </c>
      <c r="AB21" s="29">
        <f>Starlink!AB69</f>
        <v>0</v>
      </c>
      <c r="AC21" s="29">
        <f>Starlink!AC69</f>
        <v>0</v>
      </c>
    </row>
    <row r="22" spans="1:29">
      <c r="A22" s="23" t="s">
        <v>2062</v>
      </c>
      <c r="B22" s="23"/>
      <c r="C22" s="23"/>
      <c r="D22" s="188">
        <f ca="1">'Customer Launch'!D131</f>
        <v>29</v>
      </c>
      <c r="E22" s="188">
        <f ca="1">'Customer Launch'!E131</f>
        <v>84</v>
      </c>
      <c r="F22" s="188">
        <f ca="1">'Customer Launch'!F131</f>
        <v>200.1972262606555</v>
      </c>
      <c r="G22" s="188">
        <f ca="1">'Customer Launch'!G131</f>
        <v>219.22016565285918</v>
      </c>
      <c r="H22" s="188">
        <f ca="1">'Customer Launch'!H131</f>
        <v>243.66442452028124</v>
      </c>
      <c r="I22" s="188">
        <f ca="1">'Customer Launch'!I131</f>
        <v>270</v>
      </c>
      <c r="J22" s="188">
        <f ca="1">'Customer Launch'!J131</f>
        <v>267</v>
      </c>
      <c r="K22" s="188">
        <f ca="1">'Customer Launch'!K131</f>
        <v>61.54169885403121</v>
      </c>
      <c r="L22" s="188">
        <f ca="1">'Customer Launch'!L131</f>
        <v>27.415415590533883</v>
      </c>
      <c r="M22" s="188">
        <f ca="1">'Customer Launch'!M131</f>
        <v>11.352339200166227</v>
      </c>
      <c r="N22" s="188">
        <f ca="1">'Customer Launch'!N131</f>
        <v>4.5613243617864896</v>
      </c>
      <c r="O22" s="188">
        <f ca="1">'Customer Launch'!O131</f>
        <v>1.8118919374235816</v>
      </c>
      <c r="P22" s="188">
        <f ca="1">'Customer Launch'!P131</f>
        <v>0.71679515061788379</v>
      </c>
      <c r="Q22" s="188">
        <f ca="1">'Customer Launch'!Q131</f>
        <v>0.28319039748510022</v>
      </c>
      <c r="R22" s="188">
        <f ca="1">'Customer Launch'!R131</f>
        <v>0.1118475379373649</v>
      </c>
      <c r="S22" s="188">
        <f ca="1">'Customer Launch'!S131</f>
        <v>6</v>
      </c>
      <c r="T22" s="29" t="e">
        <f>'Customer Launch'!#REF!</f>
        <v>#REF!</v>
      </c>
      <c r="U22" s="29" t="e">
        <f>'Customer Launch'!#REF!</f>
        <v>#REF!</v>
      </c>
      <c r="V22" s="29" t="e">
        <f>'Customer Launch'!#REF!</f>
        <v>#REF!</v>
      </c>
      <c r="W22" s="29" t="e">
        <f>'Customer Launch'!#REF!</f>
        <v>#REF!</v>
      </c>
      <c r="X22" s="29" t="e">
        <f>'Customer Launch'!#REF!</f>
        <v>#REF!</v>
      </c>
      <c r="Y22" s="29" t="e">
        <f>'Customer Launch'!#REF!</f>
        <v>#REF!</v>
      </c>
      <c r="Z22" s="29" t="e">
        <f>'Customer Launch'!#REF!</f>
        <v>#REF!</v>
      </c>
      <c r="AA22" s="29" t="e">
        <f>'Customer Launch'!#REF!</f>
        <v>#REF!</v>
      </c>
      <c r="AB22" s="29" t="e">
        <f>'Customer Launch'!#REF!</f>
        <v>#REF!</v>
      </c>
      <c r="AC22" s="29" t="e">
        <f>'Customer Launch'!#REF!</f>
        <v>#REF!</v>
      </c>
    </row>
    <row r="23" spans="1:29">
      <c r="A23" s="118" t="s">
        <v>2063</v>
      </c>
      <c r="B23" s="118"/>
      <c r="C23" s="118"/>
      <c r="D23" s="190">
        <f t="shared" ref="D23:AC23" ca="1" si="5">SUM(D21:D22)</f>
        <v>195</v>
      </c>
      <c r="E23" s="190">
        <f t="shared" ca="1" si="5"/>
        <v>222</v>
      </c>
      <c r="F23" s="190">
        <f t="shared" ca="1" si="5"/>
        <v>200.1972262606555</v>
      </c>
      <c r="G23" s="190">
        <f t="shared" ca="1" si="5"/>
        <v>219.22016565285918</v>
      </c>
      <c r="H23" s="190">
        <f t="shared" ca="1" si="5"/>
        <v>243.66442452028124</v>
      </c>
      <c r="I23" s="190">
        <f t="shared" ca="1" si="5"/>
        <v>270</v>
      </c>
      <c r="J23" s="190">
        <f t="shared" ca="1" si="5"/>
        <v>267</v>
      </c>
      <c r="K23" s="190">
        <f t="shared" ca="1" si="5"/>
        <v>61.54169885403121</v>
      </c>
      <c r="L23" s="190">
        <f t="shared" ca="1" si="5"/>
        <v>27.415415590533883</v>
      </c>
      <c r="M23" s="190">
        <f t="shared" ca="1" si="5"/>
        <v>11.352339200166227</v>
      </c>
      <c r="N23" s="190">
        <f t="shared" ca="1" si="5"/>
        <v>4.5613243617864896</v>
      </c>
      <c r="O23" s="190">
        <f t="shared" ca="1" si="5"/>
        <v>1.8118919374235816</v>
      </c>
      <c r="P23" s="190">
        <f t="shared" ca="1" si="5"/>
        <v>0.71679515061788379</v>
      </c>
      <c r="Q23" s="190">
        <f t="shared" ca="1" si="5"/>
        <v>0.28319039748510022</v>
      </c>
      <c r="R23" s="190">
        <f t="shared" ca="1" si="5"/>
        <v>0.1118475379373649</v>
      </c>
      <c r="S23" s="190">
        <f t="shared" ca="1" si="5"/>
        <v>6</v>
      </c>
      <c r="T23" s="29" t="e">
        <f t="shared" si="5"/>
        <v>#REF!</v>
      </c>
      <c r="U23" s="29" t="e">
        <f t="shared" si="5"/>
        <v>#REF!</v>
      </c>
      <c r="V23" s="29" t="e">
        <f t="shared" si="5"/>
        <v>#REF!</v>
      </c>
      <c r="W23" s="29" t="e">
        <f t="shared" si="5"/>
        <v>#REF!</v>
      </c>
      <c r="X23" s="29" t="e">
        <f t="shared" si="5"/>
        <v>#REF!</v>
      </c>
      <c r="Y23" s="29" t="e">
        <f t="shared" si="5"/>
        <v>#REF!</v>
      </c>
      <c r="Z23" s="29" t="e">
        <f t="shared" si="5"/>
        <v>#REF!</v>
      </c>
      <c r="AA23" s="29" t="e">
        <f t="shared" si="5"/>
        <v>#REF!</v>
      </c>
      <c r="AB23" s="29" t="e">
        <f t="shared" si="5"/>
        <v>#REF!</v>
      </c>
      <c r="AC23" s="29" t="e">
        <f t="shared" si="5"/>
        <v>#REF!</v>
      </c>
    </row>
    <row r="24" spans="1:29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>
      <c r="A25" s="13" t="s">
        <v>2064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>
      <c r="A26" s="204" t="s">
        <v>2065</v>
      </c>
      <c r="B26" s="204"/>
      <c r="C26" s="204"/>
      <c r="D26" s="221">
        <f t="shared" ref="D26:AC26" ca="1" si="6">D12</f>
        <v>0</v>
      </c>
      <c r="E26" s="221">
        <f t="shared" ca="1" si="6"/>
        <v>0</v>
      </c>
      <c r="F26" s="221">
        <f t="shared" ca="1" si="6"/>
        <v>61</v>
      </c>
      <c r="G26" s="221">
        <f t="shared" ca="1" si="6"/>
        <v>139</v>
      </c>
      <c r="H26" s="221">
        <f t="shared" ca="1" si="6"/>
        <v>345.70000000000005</v>
      </c>
      <c r="I26" s="221">
        <f t="shared" ca="1" si="6"/>
        <v>667.83829884011618</v>
      </c>
      <c r="J26" s="221">
        <f t="shared" ca="1" si="6"/>
        <v>776.00283973452702</v>
      </c>
      <c r="K26" s="221">
        <f t="shared" ca="1" si="6"/>
        <v>1202.7097358646224</v>
      </c>
      <c r="L26" s="221">
        <f t="shared" ca="1" si="6"/>
        <v>747.58643878382622</v>
      </c>
      <c r="M26" s="221">
        <f t="shared" ca="1" si="6"/>
        <v>1285.3173906072429</v>
      </c>
      <c r="N26" s="221">
        <f t="shared" ca="1" si="6"/>
        <v>1604.1714760015641</v>
      </c>
      <c r="O26" s="221">
        <f t="shared" ca="1" si="6"/>
        <v>2228.467585124999</v>
      </c>
      <c r="P26" s="221">
        <f t="shared" ca="1" si="6"/>
        <v>1846.1845165483876</v>
      </c>
      <c r="Q26" s="221">
        <f t="shared" ca="1" si="6"/>
        <v>1660.0974548713718</v>
      </c>
      <c r="R26" s="221">
        <f t="shared" ca="1" si="6"/>
        <v>1670.6533801427724</v>
      </c>
      <c r="S26" s="221">
        <f t="shared" ca="1" si="6"/>
        <v>1412.1216912053005</v>
      </c>
      <c r="T26" s="29" t="e">
        <f t="shared" si="6"/>
        <v>#REF!</v>
      </c>
      <c r="U26" s="29" t="e">
        <f t="shared" si="6"/>
        <v>#REF!</v>
      </c>
      <c r="V26" s="29" t="e">
        <f t="shared" si="6"/>
        <v>#REF!</v>
      </c>
      <c r="W26" s="29" t="e">
        <f t="shared" si="6"/>
        <v>#REF!</v>
      </c>
      <c r="X26" s="29" t="e">
        <f t="shared" si="6"/>
        <v>#REF!</v>
      </c>
      <c r="Y26" s="29" t="e">
        <f t="shared" si="6"/>
        <v>#REF!</v>
      </c>
      <c r="Z26" s="29" t="e">
        <f t="shared" si="6"/>
        <v>#REF!</v>
      </c>
      <c r="AA26" s="29" t="e">
        <f t="shared" si="6"/>
        <v>#REF!</v>
      </c>
      <c r="AB26" s="29" t="e">
        <f t="shared" si="6"/>
        <v>#REF!</v>
      </c>
      <c r="AC26" s="29" t="e">
        <f t="shared" si="6"/>
        <v>#REF!</v>
      </c>
    </row>
    <row r="27" spans="1:29">
      <c r="A27" s="204" t="s">
        <v>2066</v>
      </c>
      <c r="B27" s="204"/>
      <c r="C27" s="204"/>
      <c r="D27" s="221">
        <f t="shared" ref="D27:AC27" ca="1" si="7">D23</f>
        <v>195</v>
      </c>
      <c r="E27" s="221">
        <f t="shared" ca="1" si="7"/>
        <v>222</v>
      </c>
      <c r="F27" s="221">
        <f t="shared" ca="1" si="7"/>
        <v>200.1972262606555</v>
      </c>
      <c r="G27" s="221">
        <f t="shared" ca="1" si="7"/>
        <v>219.22016565285918</v>
      </c>
      <c r="H27" s="221">
        <f t="shared" ca="1" si="7"/>
        <v>243.66442452028124</v>
      </c>
      <c r="I27" s="221">
        <f t="shared" ca="1" si="7"/>
        <v>270</v>
      </c>
      <c r="J27" s="221">
        <f t="shared" ca="1" si="7"/>
        <v>267</v>
      </c>
      <c r="K27" s="221">
        <f t="shared" ca="1" si="7"/>
        <v>61.54169885403121</v>
      </c>
      <c r="L27" s="221">
        <f t="shared" ca="1" si="7"/>
        <v>27.415415590533883</v>
      </c>
      <c r="M27" s="221">
        <f t="shared" ca="1" si="7"/>
        <v>11.352339200166227</v>
      </c>
      <c r="N27" s="221">
        <f t="shared" ca="1" si="7"/>
        <v>4.5613243617864896</v>
      </c>
      <c r="O27" s="221">
        <f t="shared" ca="1" si="7"/>
        <v>1.8118919374235816</v>
      </c>
      <c r="P27" s="221">
        <f t="shared" ca="1" si="7"/>
        <v>0.71679515061788379</v>
      </c>
      <c r="Q27" s="221">
        <f t="shared" ca="1" si="7"/>
        <v>0.28319039748510022</v>
      </c>
      <c r="R27" s="221">
        <f t="shared" ca="1" si="7"/>
        <v>0.1118475379373649</v>
      </c>
      <c r="S27" s="221">
        <f t="shared" ca="1" si="7"/>
        <v>6</v>
      </c>
      <c r="T27" s="29" t="e">
        <f t="shared" si="7"/>
        <v>#REF!</v>
      </c>
      <c r="U27" s="29" t="e">
        <f t="shared" si="7"/>
        <v>#REF!</v>
      </c>
      <c r="V27" s="29" t="e">
        <f t="shared" si="7"/>
        <v>#REF!</v>
      </c>
      <c r="W27" s="29" t="e">
        <f t="shared" si="7"/>
        <v>#REF!</v>
      </c>
      <c r="X27" s="29" t="e">
        <f t="shared" si="7"/>
        <v>#REF!</v>
      </c>
      <c r="Y27" s="29" t="e">
        <f t="shared" si="7"/>
        <v>#REF!</v>
      </c>
      <c r="Z27" s="29" t="e">
        <f t="shared" si="7"/>
        <v>#REF!</v>
      </c>
      <c r="AA27" s="29" t="e">
        <f t="shared" si="7"/>
        <v>#REF!</v>
      </c>
      <c r="AB27" s="29" t="e">
        <f t="shared" si="7"/>
        <v>#REF!</v>
      </c>
      <c r="AC27" s="29" t="e">
        <f t="shared" si="7"/>
        <v>#REF!</v>
      </c>
    </row>
    <row r="28" spans="1:29">
      <c r="A28" s="118" t="s">
        <v>2067</v>
      </c>
      <c r="B28" s="118"/>
      <c r="C28" s="118"/>
      <c r="D28" s="190">
        <f t="shared" ref="D28:AC28" ca="1" si="8">D26+D27</f>
        <v>195</v>
      </c>
      <c r="E28" s="190">
        <f t="shared" ca="1" si="8"/>
        <v>222</v>
      </c>
      <c r="F28" s="190">
        <f t="shared" ca="1" si="8"/>
        <v>261.1972262606555</v>
      </c>
      <c r="G28" s="190">
        <f t="shared" ca="1" si="8"/>
        <v>358.22016565285918</v>
      </c>
      <c r="H28" s="190">
        <f t="shared" ca="1" si="8"/>
        <v>589.36442452028132</v>
      </c>
      <c r="I28" s="190">
        <f t="shared" ca="1" si="8"/>
        <v>937.83829884011618</v>
      </c>
      <c r="J28" s="190">
        <f t="shared" ca="1" si="8"/>
        <v>1043.002839734527</v>
      </c>
      <c r="K28" s="190">
        <f t="shared" ca="1" si="8"/>
        <v>1264.2514347186536</v>
      </c>
      <c r="L28" s="190">
        <f t="shared" ca="1" si="8"/>
        <v>775.00185437436016</v>
      </c>
      <c r="M28" s="190">
        <f t="shared" ca="1" si="8"/>
        <v>1296.6697298074091</v>
      </c>
      <c r="N28" s="190">
        <f t="shared" ca="1" si="8"/>
        <v>1608.7328003633506</v>
      </c>
      <c r="O28" s="190">
        <f t="shared" ca="1" si="8"/>
        <v>2230.2794770624228</v>
      </c>
      <c r="P28" s="190">
        <f t="shared" ca="1" si="8"/>
        <v>1846.9013116990054</v>
      </c>
      <c r="Q28" s="190">
        <f t="shared" ca="1" si="8"/>
        <v>1660.3806452688568</v>
      </c>
      <c r="R28" s="190">
        <f t="shared" ca="1" si="8"/>
        <v>1670.7652276807098</v>
      </c>
      <c r="S28" s="190">
        <f t="shared" ca="1" si="8"/>
        <v>1418.1216912053005</v>
      </c>
      <c r="T28" s="29" t="e">
        <f t="shared" si="8"/>
        <v>#REF!</v>
      </c>
      <c r="U28" s="29" t="e">
        <f t="shared" si="8"/>
        <v>#REF!</v>
      </c>
      <c r="V28" s="29" t="e">
        <f t="shared" si="8"/>
        <v>#REF!</v>
      </c>
      <c r="W28" s="29" t="e">
        <f t="shared" si="8"/>
        <v>#REF!</v>
      </c>
      <c r="X28" s="29" t="e">
        <f t="shared" si="8"/>
        <v>#REF!</v>
      </c>
      <c r="Y28" s="29" t="e">
        <f t="shared" si="8"/>
        <v>#REF!</v>
      </c>
      <c r="Z28" s="29" t="e">
        <f t="shared" si="8"/>
        <v>#REF!</v>
      </c>
      <c r="AA28" s="29" t="e">
        <f t="shared" si="8"/>
        <v>#REF!</v>
      </c>
      <c r="AB28" s="29" t="e">
        <f t="shared" si="8"/>
        <v>#REF!</v>
      </c>
      <c r="AC28" s="29" t="e">
        <f t="shared" si="8"/>
        <v>#REF!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Demand Curves</vt:lpstr>
      <vt:lpstr>Starlink</vt:lpstr>
      <vt:lpstr>Customer Launch</vt:lpstr>
      <vt:lpstr>Cash Allocation Engine</vt:lpstr>
      <vt:lpstr>AI - Compute</vt:lpstr>
      <vt:lpstr>Lunar - Mars</vt:lpstr>
      <vt:lpstr>Vehicle Build</vt:lpstr>
      <vt:lpstr>Facilities Build</vt:lpstr>
      <vt:lpstr>Group P&amp;L</vt:lpstr>
      <vt:lpstr>Segment P&amp;L</vt:lpstr>
      <vt:lpstr>Conservation</vt:lpstr>
      <vt:lpstr>SoTP - Valuation</vt:lpstr>
      <vt:lpstr>Launch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Saigau</dc:creator>
  <dc:description/>
  <cp:lastModifiedBy>Vlad Saigau</cp:lastModifiedBy>
  <cp:revision>1</cp:revision>
  <dcterms:created xsi:type="dcterms:W3CDTF">2026-05-28T15:46:57Z</dcterms:created>
  <dcterms:modified xsi:type="dcterms:W3CDTF">2026-06-08T19:45:36Z</dcterms:modified>
  <dc:language>en-US</dc:language>
</cp:coreProperties>
</file>